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FM Project\New folder\"/>
    </mc:Choice>
  </mc:AlternateContent>
  <xr:revisionPtr revIDLastSave="0" documentId="13_ncr:1_{8578D60A-8E28-42CE-93AA-38B2C4CA15B4}" xr6:coauthVersionLast="47" xr6:coauthVersionMax="47" xr10:uidLastSave="{00000000-0000-0000-0000-000000000000}"/>
  <bookViews>
    <workbookView xWindow="-108" yWindow="-108" windowWidth="23256" windowHeight="13896" firstSheet="2" activeTab="2" xr2:uid="{EE3079CC-C32D-4A98-BFF8-83CF82D4F805}"/>
  </bookViews>
  <sheets>
    <sheet name="Company 01-01-21 to 31-12-25" sheetId="1" r:id="rId1"/>
    <sheet name="Market 01-01-21 to 31-12-25" sheetId="5" r:id="rId2"/>
    <sheet name="Stock Returns" sheetId="2" r:id="rId3"/>
    <sheet name="Market Returns " sheetId="3" r:id="rId4"/>
    <sheet name="Coveriance and Correlation" sheetId="4" r:id="rId5"/>
    <sheet name="Beta" sheetId="6" r:id="rId6"/>
    <sheet name="5 years Beta" sheetId="8" r:id="rId7"/>
    <sheet name="CAPM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241" i="2" l="1"/>
  <c r="Q1241" i="2"/>
  <c r="R1240" i="2"/>
  <c r="Q1240" i="2"/>
  <c r="R1239" i="2"/>
  <c r="Q1239" i="2"/>
  <c r="R1238" i="2"/>
  <c r="Q1238" i="2"/>
  <c r="R1237" i="2"/>
  <c r="Q1237" i="2"/>
  <c r="R1236" i="2"/>
  <c r="Q1236" i="2"/>
  <c r="R1235" i="2"/>
  <c r="Q1235" i="2"/>
  <c r="R1234" i="2"/>
  <c r="Q1234" i="2"/>
  <c r="R1233" i="2"/>
  <c r="Q1233" i="2"/>
  <c r="R1232" i="2"/>
  <c r="Q1232" i="2"/>
  <c r="R1231" i="2"/>
  <c r="Q1231" i="2"/>
  <c r="R1230" i="2"/>
  <c r="Q1230" i="2"/>
  <c r="R1229" i="2"/>
  <c r="Q1229" i="2"/>
  <c r="R1228" i="2"/>
  <c r="Q1228" i="2"/>
  <c r="R1227" i="2"/>
  <c r="Q1227" i="2"/>
  <c r="R1226" i="2"/>
  <c r="Q1226" i="2"/>
  <c r="R1225" i="2"/>
  <c r="Q1225" i="2"/>
  <c r="R1224" i="2"/>
  <c r="Q1224" i="2"/>
  <c r="R1223" i="2"/>
  <c r="Q1223" i="2"/>
  <c r="R1222" i="2"/>
  <c r="Q1222" i="2"/>
  <c r="R1221" i="2"/>
  <c r="Q1221" i="2"/>
  <c r="R1220" i="2"/>
  <c r="Q1220" i="2"/>
  <c r="R1219" i="2"/>
  <c r="Q1219" i="2"/>
  <c r="R1218" i="2"/>
  <c r="Q1218" i="2"/>
  <c r="R1217" i="2"/>
  <c r="Q1217" i="2"/>
  <c r="R1216" i="2"/>
  <c r="Q1216" i="2"/>
  <c r="R1215" i="2"/>
  <c r="Q1215" i="2"/>
  <c r="R1214" i="2"/>
  <c r="Q1214" i="2"/>
  <c r="R1213" i="2"/>
  <c r="Q1213" i="2"/>
  <c r="R1212" i="2"/>
  <c r="Q1212" i="2"/>
  <c r="R1211" i="2"/>
  <c r="Q1211" i="2"/>
  <c r="R1210" i="2"/>
  <c r="Q1210" i="2"/>
  <c r="R1209" i="2"/>
  <c r="Q1209" i="2"/>
  <c r="R1208" i="2"/>
  <c r="Q1208" i="2"/>
  <c r="R1207" i="2"/>
  <c r="Q1207" i="2"/>
  <c r="R1206" i="2"/>
  <c r="Q1206" i="2"/>
  <c r="R1205" i="2"/>
  <c r="Q1205" i="2"/>
  <c r="R1204" i="2"/>
  <c r="Q1204" i="2"/>
  <c r="R1203" i="2"/>
  <c r="Q1203" i="2"/>
  <c r="R1202" i="2"/>
  <c r="Q1202" i="2"/>
  <c r="R1201" i="2"/>
  <c r="Q1201" i="2"/>
  <c r="R1200" i="2"/>
  <c r="Q1200" i="2"/>
  <c r="R1199" i="2"/>
  <c r="Q1199" i="2"/>
  <c r="R1198" i="2"/>
  <c r="Q1198" i="2"/>
  <c r="R1197" i="2"/>
  <c r="Q1197" i="2"/>
  <c r="R1196" i="2"/>
  <c r="Q1196" i="2"/>
  <c r="R1195" i="2"/>
  <c r="Q1195" i="2"/>
  <c r="R1194" i="2"/>
  <c r="Q1194" i="2"/>
  <c r="R1193" i="2"/>
  <c r="Q1193" i="2"/>
  <c r="R1192" i="2"/>
  <c r="Q1192" i="2"/>
  <c r="R1191" i="2"/>
  <c r="Q1191" i="2"/>
  <c r="R1190" i="2"/>
  <c r="Q1190" i="2"/>
  <c r="R1189" i="2"/>
  <c r="Q1189" i="2"/>
  <c r="R1188" i="2"/>
  <c r="Q1188" i="2"/>
  <c r="R1187" i="2"/>
  <c r="Q1187" i="2"/>
  <c r="R1186" i="2"/>
  <c r="Q1186" i="2"/>
  <c r="R1185" i="2"/>
  <c r="Q1185" i="2"/>
  <c r="R1184" i="2"/>
  <c r="Q1184" i="2"/>
  <c r="R1183" i="2"/>
  <c r="Q1183" i="2"/>
  <c r="R1182" i="2"/>
  <c r="Q1182" i="2"/>
  <c r="R1181" i="2"/>
  <c r="Q1181" i="2"/>
  <c r="R1180" i="2"/>
  <c r="Q1180" i="2"/>
  <c r="R1179" i="2"/>
  <c r="Q1179" i="2"/>
  <c r="R1178" i="2"/>
  <c r="Q1178" i="2"/>
  <c r="R1177" i="2"/>
  <c r="Q1177" i="2"/>
  <c r="R1176" i="2"/>
  <c r="Q1176" i="2"/>
  <c r="R1175" i="2"/>
  <c r="Q1175" i="2"/>
  <c r="R1174" i="2"/>
  <c r="Q1174" i="2"/>
  <c r="R1173" i="2"/>
  <c r="Q1173" i="2"/>
  <c r="R1172" i="2"/>
  <c r="Q1172" i="2"/>
  <c r="R1171" i="2"/>
  <c r="Q1171" i="2"/>
  <c r="R1170" i="2"/>
  <c r="Q1170" i="2"/>
  <c r="R1169" i="2"/>
  <c r="Q1169" i="2"/>
  <c r="R1168" i="2"/>
  <c r="Q1168" i="2"/>
  <c r="R1167" i="2"/>
  <c r="Q1167" i="2"/>
  <c r="R1166" i="2"/>
  <c r="Q1166" i="2"/>
  <c r="R1165" i="2"/>
  <c r="Q1165" i="2"/>
  <c r="R1164" i="2"/>
  <c r="Q1164" i="2"/>
  <c r="R1163" i="2"/>
  <c r="Q1163" i="2"/>
  <c r="R1162" i="2"/>
  <c r="Q1162" i="2"/>
  <c r="R1161" i="2"/>
  <c r="Q1161" i="2"/>
  <c r="R1160" i="2"/>
  <c r="Q1160" i="2"/>
  <c r="R1159" i="2"/>
  <c r="Q1159" i="2"/>
  <c r="R1158" i="2"/>
  <c r="Q1158" i="2"/>
  <c r="R1157" i="2"/>
  <c r="Q1157" i="2"/>
  <c r="R1156" i="2"/>
  <c r="Q1156" i="2"/>
  <c r="R1155" i="2"/>
  <c r="Q1155" i="2"/>
  <c r="R1154" i="2"/>
  <c r="Q1154" i="2"/>
  <c r="R1153" i="2"/>
  <c r="Q1153" i="2"/>
  <c r="R1152" i="2"/>
  <c r="Q1152" i="2"/>
  <c r="R1151" i="2"/>
  <c r="Q1151" i="2"/>
  <c r="R1150" i="2"/>
  <c r="Q1150" i="2"/>
  <c r="R1149" i="2"/>
  <c r="Q1149" i="2"/>
  <c r="R1148" i="2"/>
  <c r="Q1148" i="2"/>
  <c r="R1147" i="2"/>
  <c r="Q1147" i="2"/>
  <c r="R1146" i="2"/>
  <c r="Q1146" i="2"/>
  <c r="R1145" i="2"/>
  <c r="Q1145" i="2"/>
  <c r="R1144" i="2"/>
  <c r="Q1144" i="2"/>
  <c r="R1143" i="2"/>
  <c r="Q1143" i="2"/>
  <c r="R1142" i="2"/>
  <c r="Q1142" i="2"/>
  <c r="R1141" i="2"/>
  <c r="Q1141" i="2"/>
  <c r="R1140" i="2"/>
  <c r="Q1140" i="2"/>
  <c r="R1139" i="2"/>
  <c r="Q1139" i="2"/>
  <c r="R1138" i="2"/>
  <c r="Q1138" i="2"/>
  <c r="R1137" i="2"/>
  <c r="Q1137" i="2"/>
  <c r="R1136" i="2"/>
  <c r="Q1136" i="2"/>
  <c r="R1135" i="2"/>
  <c r="Q1135" i="2"/>
  <c r="R1134" i="2"/>
  <c r="Q1134" i="2"/>
  <c r="R1133" i="2"/>
  <c r="Q1133" i="2"/>
  <c r="R1132" i="2"/>
  <c r="Q1132" i="2"/>
  <c r="R1131" i="2"/>
  <c r="Q1131" i="2"/>
  <c r="R1130" i="2"/>
  <c r="Q1130" i="2"/>
  <c r="R1129" i="2"/>
  <c r="Q1129" i="2"/>
  <c r="R1128" i="2"/>
  <c r="Q1128" i="2"/>
  <c r="R1127" i="2"/>
  <c r="Q1127" i="2"/>
  <c r="R1126" i="2"/>
  <c r="Q1126" i="2"/>
  <c r="R1125" i="2"/>
  <c r="Q1125" i="2"/>
  <c r="R1124" i="2"/>
  <c r="Q1124" i="2"/>
  <c r="R1123" i="2"/>
  <c r="Q1123" i="2"/>
  <c r="R1122" i="2"/>
  <c r="Q1122" i="2"/>
  <c r="R1121" i="2"/>
  <c r="Q1121" i="2"/>
  <c r="R1120" i="2"/>
  <c r="Q1120" i="2"/>
  <c r="R1119" i="2"/>
  <c r="Q1119" i="2"/>
  <c r="R1118" i="2"/>
  <c r="Q1118" i="2"/>
  <c r="R1117" i="2"/>
  <c r="Q1117" i="2"/>
  <c r="R1116" i="2"/>
  <c r="Q1116" i="2"/>
  <c r="R1115" i="2"/>
  <c r="Q1115" i="2"/>
  <c r="R1114" i="2"/>
  <c r="Q1114" i="2"/>
  <c r="R1113" i="2"/>
  <c r="Q1113" i="2"/>
  <c r="R1112" i="2"/>
  <c r="Q1112" i="2"/>
  <c r="R1111" i="2"/>
  <c r="Q1111" i="2"/>
  <c r="R1110" i="2"/>
  <c r="Q1110" i="2"/>
  <c r="R1109" i="2"/>
  <c r="Q1109" i="2"/>
  <c r="R1108" i="2"/>
  <c r="Q1108" i="2"/>
  <c r="R1107" i="2"/>
  <c r="Q1107" i="2"/>
  <c r="R1106" i="2"/>
  <c r="Q1106" i="2"/>
  <c r="R1105" i="2"/>
  <c r="Q1105" i="2"/>
  <c r="R1104" i="2"/>
  <c r="Q1104" i="2"/>
  <c r="R1103" i="2"/>
  <c r="Q1103" i="2"/>
  <c r="R1102" i="2"/>
  <c r="Q1102" i="2"/>
  <c r="R1101" i="2"/>
  <c r="Q1101" i="2"/>
  <c r="R1100" i="2"/>
  <c r="Q1100" i="2"/>
  <c r="R1099" i="2"/>
  <c r="Q1099" i="2"/>
  <c r="R1098" i="2"/>
  <c r="Q1098" i="2"/>
  <c r="R1097" i="2"/>
  <c r="Q1097" i="2"/>
  <c r="R1096" i="2"/>
  <c r="Q1096" i="2"/>
  <c r="R1095" i="2"/>
  <c r="Q1095" i="2"/>
  <c r="R1094" i="2"/>
  <c r="Q1094" i="2"/>
  <c r="R1093" i="2"/>
  <c r="Q1093" i="2"/>
  <c r="R1092" i="2"/>
  <c r="Q1092" i="2"/>
  <c r="R1091" i="2"/>
  <c r="Q1091" i="2"/>
  <c r="R1090" i="2"/>
  <c r="Q1090" i="2"/>
  <c r="R1089" i="2"/>
  <c r="Q1089" i="2"/>
  <c r="R1088" i="2"/>
  <c r="Q1088" i="2"/>
  <c r="R1087" i="2"/>
  <c r="Q1087" i="2"/>
  <c r="R1086" i="2"/>
  <c r="Q1086" i="2"/>
  <c r="R1085" i="2"/>
  <c r="Q1085" i="2"/>
  <c r="R1084" i="2"/>
  <c r="Q1084" i="2"/>
  <c r="R1083" i="2"/>
  <c r="Q1083" i="2"/>
  <c r="R1082" i="2"/>
  <c r="Q1082" i="2"/>
  <c r="R1081" i="2"/>
  <c r="Q1081" i="2"/>
  <c r="R1080" i="2"/>
  <c r="Q1080" i="2"/>
  <c r="R1079" i="2"/>
  <c r="Q1079" i="2"/>
  <c r="R1078" i="2"/>
  <c r="Q1078" i="2"/>
  <c r="R1077" i="2"/>
  <c r="Q1077" i="2"/>
  <c r="R1076" i="2"/>
  <c r="Q1076" i="2"/>
  <c r="R1075" i="2"/>
  <c r="Q1075" i="2"/>
  <c r="R1074" i="2"/>
  <c r="Q1074" i="2"/>
  <c r="R1073" i="2"/>
  <c r="Q1073" i="2"/>
  <c r="R1072" i="2"/>
  <c r="Q1072" i="2"/>
  <c r="R1071" i="2"/>
  <c r="Q1071" i="2"/>
  <c r="R1070" i="2"/>
  <c r="Q1070" i="2"/>
  <c r="R1069" i="2"/>
  <c r="Q1069" i="2"/>
  <c r="R1068" i="2"/>
  <c r="Q1068" i="2"/>
  <c r="R1067" i="2"/>
  <c r="Q1067" i="2"/>
  <c r="R1066" i="2"/>
  <c r="Q1066" i="2"/>
  <c r="R1065" i="2"/>
  <c r="Q1065" i="2"/>
  <c r="R1064" i="2"/>
  <c r="Q1064" i="2"/>
  <c r="R1063" i="2"/>
  <c r="Q1063" i="2"/>
  <c r="R1062" i="2"/>
  <c r="Q1062" i="2"/>
  <c r="R1061" i="2"/>
  <c r="Q1061" i="2"/>
  <c r="R1060" i="2"/>
  <c r="Q1060" i="2"/>
  <c r="R1059" i="2"/>
  <c r="Q1059" i="2"/>
  <c r="R1058" i="2"/>
  <c r="Q1058" i="2"/>
  <c r="R1057" i="2"/>
  <c r="Q1057" i="2"/>
  <c r="R1056" i="2"/>
  <c r="Q1056" i="2"/>
  <c r="R1055" i="2"/>
  <c r="Q1055" i="2"/>
  <c r="R1054" i="2"/>
  <c r="Q1054" i="2"/>
  <c r="R1053" i="2"/>
  <c r="Q1053" i="2"/>
  <c r="R1052" i="2"/>
  <c r="Q1052" i="2"/>
  <c r="R1051" i="2"/>
  <c r="Q1051" i="2"/>
  <c r="R1050" i="2"/>
  <c r="Q1050" i="2"/>
  <c r="R1049" i="2"/>
  <c r="Q1049" i="2"/>
  <c r="R1048" i="2"/>
  <c r="Q1048" i="2"/>
  <c r="R1047" i="2"/>
  <c r="Q1047" i="2"/>
  <c r="R1046" i="2"/>
  <c r="Q1046" i="2"/>
  <c r="R1045" i="2"/>
  <c r="Q1045" i="2"/>
  <c r="R1044" i="2"/>
  <c r="Q1044" i="2"/>
  <c r="R1043" i="2"/>
  <c r="Q1043" i="2"/>
  <c r="R1042" i="2"/>
  <c r="Q1042" i="2"/>
  <c r="R1041" i="2"/>
  <c r="Q1041" i="2"/>
  <c r="R1040" i="2"/>
  <c r="Q1040" i="2"/>
  <c r="R1039" i="2"/>
  <c r="Q1039" i="2"/>
  <c r="R1038" i="2"/>
  <c r="Q1038" i="2"/>
  <c r="R1037" i="2"/>
  <c r="Q1037" i="2"/>
  <c r="R1036" i="2"/>
  <c r="Q1036" i="2"/>
  <c r="R1035" i="2"/>
  <c r="Q1035" i="2"/>
  <c r="R1034" i="2"/>
  <c r="Q1034" i="2"/>
  <c r="R1033" i="2"/>
  <c r="Q1033" i="2"/>
  <c r="R1032" i="2"/>
  <c r="Q1032" i="2"/>
  <c r="R1031" i="2"/>
  <c r="Q1031" i="2"/>
  <c r="R1030" i="2"/>
  <c r="Q1030" i="2"/>
  <c r="R1029" i="2"/>
  <c r="Q1029" i="2"/>
  <c r="R1028" i="2"/>
  <c r="Q1028" i="2"/>
  <c r="R1027" i="2"/>
  <c r="Q1027" i="2"/>
  <c r="R1026" i="2"/>
  <c r="Q1026" i="2"/>
  <c r="R1025" i="2"/>
  <c r="Q1025" i="2"/>
  <c r="R1024" i="2"/>
  <c r="Q1024" i="2"/>
  <c r="R1023" i="2"/>
  <c r="Q1023" i="2"/>
  <c r="R1022" i="2"/>
  <c r="Q1022" i="2"/>
  <c r="R1021" i="2"/>
  <c r="Q1021" i="2"/>
  <c r="R1020" i="2"/>
  <c r="Q1020" i="2"/>
  <c r="R1019" i="2"/>
  <c r="Q1019" i="2"/>
  <c r="R1018" i="2"/>
  <c r="Q1018" i="2"/>
  <c r="R1017" i="2"/>
  <c r="Q1017" i="2"/>
  <c r="R1016" i="2"/>
  <c r="Q1016" i="2"/>
  <c r="R1015" i="2"/>
  <c r="Q1015" i="2"/>
  <c r="R1014" i="2"/>
  <c r="Q1014" i="2"/>
  <c r="R1013" i="2"/>
  <c r="Q1013" i="2"/>
  <c r="R1012" i="2"/>
  <c r="Q1012" i="2"/>
  <c r="R1011" i="2"/>
  <c r="Q1011" i="2"/>
  <c r="R1010" i="2"/>
  <c r="Q1010" i="2"/>
  <c r="R1009" i="2"/>
  <c r="Q1009" i="2"/>
  <c r="R1008" i="2"/>
  <c r="Q1008" i="2"/>
  <c r="R1007" i="2"/>
  <c r="Q1007" i="2"/>
  <c r="R1006" i="2"/>
  <c r="Q1006" i="2"/>
  <c r="R1005" i="2"/>
  <c r="Q1005" i="2"/>
  <c r="R1004" i="2"/>
  <c r="Q1004" i="2"/>
  <c r="R1003" i="2"/>
  <c r="Q1003" i="2"/>
  <c r="R1002" i="2"/>
  <c r="Q1002" i="2"/>
  <c r="R1001" i="2"/>
  <c r="Q1001" i="2"/>
  <c r="R1000" i="2"/>
  <c r="Q1000" i="2"/>
  <c r="R999" i="2"/>
  <c r="Q999" i="2"/>
  <c r="R998" i="2"/>
  <c r="Q998" i="2"/>
  <c r="R997" i="2"/>
  <c r="Q997" i="2"/>
  <c r="R996" i="2"/>
  <c r="Q996" i="2"/>
  <c r="U13" i="2" s="1"/>
  <c r="V13" i="2" s="1"/>
  <c r="AM21" i="2" s="1"/>
  <c r="R995" i="2"/>
  <c r="Q995" i="2"/>
  <c r="R994" i="2"/>
  <c r="Q994" i="2"/>
  <c r="R993" i="2"/>
  <c r="Q993" i="2"/>
  <c r="R992" i="2"/>
  <c r="Q992" i="2"/>
  <c r="R991" i="2"/>
  <c r="Q991" i="2"/>
  <c r="R990" i="2"/>
  <c r="Q990" i="2"/>
  <c r="R989" i="2"/>
  <c r="Q989" i="2"/>
  <c r="R988" i="2"/>
  <c r="Q988" i="2"/>
  <c r="R987" i="2"/>
  <c r="Q987" i="2"/>
  <c r="R986" i="2"/>
  <c r="Q986" i="2"/>
  <c r="R985" i="2"/>
  <c r="Q985" i="2"/>
  <c r="R984" i="2"/>
  <c r="Q984" i="2"/>
  <c r="R983" i="2"/>
  <c r="Q983" i="2"/>
  <c r="R982" i="2"/>
  <c r="Q982" i="2"/>
  <c r="R981" i="2"/>
  <c r="Q981" i="2"/>
  <c r="R980" i="2"/>
  <c r="Q980" i="2"/>
  <c r="R979" i="2"/>
  <c r="Q979" i="2"/>
  <c r="R978" i="2"/>
  <c r="Q978" i="2"/>
  <c r="R977" i="2"/>
  <c r="Q977" i="2"/>
  <c r="R976" i="2"/>
  <c r="Q976" i="2"/>
  <c r="R975" i="2"/>
  <c r="Q975" i="2"/>
  <c r="R974" i="2"/>
  <c r="Q974" i="2"/>
  <c r="R973" i="2"/>
  <c r="Q973" i="2"/>
  <c r="R972" i="2"/>
  <c r="Q972" i="2"/>
  <c r="R971" i="2"/>
  <c r="Q971" i="2"/>
  <c r="R970" i="2"/>
  <c r="Q970" i="2"/>
  <c r="R969" i="2"/>
  <c r="Q969" i="2"/>
  <c r="R968" i="2"/>
  <c r="Q968" i="2"/>
  <c r="R967" i="2"/>
  <c r="Q967" i="2"/>
  <c r="R966" i="2"/>
  <c r="Q966" i="2"/>
  <c r="R965" i="2"/>
  <c r="Q965" i="2"/>
  <c r="R964" i="2"/>
  <c r="Q964" i="2"/>
  <c r="R963" i="2"/>
  <c r="Q963" i="2"/>
  <c r="R962" i="2"/>
  <c r="Q962" i="2"/>
  <c r="R961" i="2"/>
  <c r="Q961" i="2"/>
  <c r="R960" i="2"/>
  <c r="Q960" i="2"/>
  <c r="R959" i="2"/>
  <c r="Q959" i="2"/>
  <c r="R958" i="2"/>
  <c r="Q958" i="2"/>
  <c r="R957" i="2"/>
  <c r="Q957" i="2"/>
  <c r="R956" i="2"/>
  <c r="Q956" i="2"/>
  <c r="R955" i="2"/>
  <c r="Q955" i="2"/>
  <c r="R954" i="2"/>
  <c r="Q954" i="2"/>
  <c r="R953" i="2"/>
  <c r="Q953" i="2"/>
  <c r="R952" i="2"/>
  <c r="Q952" i="2"/>
  <c r="R951" i="2"/>
  <c r="Q951" i="2"/>
  <c r="R950" i="2"/>
  <c r="Q950" i="2"/>
  <c r="R949" i="2"/>
  <c r="Q949" i="2"/>
  <c r="R948" i="2"/>
  <c r="Q948" i="2"/>
  <c r="R947" i="2"/>
  <c r="Q947" i="2"/>
  <c r="R946" i="2"/>
  <c r="Q946" i="2"/>
  <c r="R945" i="2"/>
  <c r="Q945" i="2"/>
  <c r="R944" i="2"/>
  <c r="Q944" i="2"/>
  <c r="R943" i="2"/>
  <c r="Q943" i="2"/>
  <c r="R942" i="2"/>
  <c r="Q942" i="2"/>
  <c r="R941" i="2"/>
  <c r="Q941" i="2"/>
  <c r="R940" i="2"/>
  <c r="Q940" i="2"/>
  <c r="R939" i="2"/>
  <c r="Q939" i="2"/>
  <c r="R938" i="2"/>
  <c r="Q938" i="2"/>
  <c r="R937" i="2"/>
  <c r="Q937" i="2"/>
  <c r="R936" i="2"/>
  <c r="Q936" i="2"/>
  <c r="R935" i="2"/>
  <c r="Q935" i="2"/>
  <c r="R934" i="2"/>
  <c r="Q934" i="2"/>
  <c r="R933" i="2"/>
  <c r="Q933" i="2"/>
  <c r="R932" i="2"/>
  <c r="Q932" i="2"/>
  <c r="R931" i="2"/>
  <c r="Q931" i="2"/>
  <c r="R930" i="2"/>
  <c r="Q930" i="2"/>
  <c r="R929" i="2"/>
  <c r="Q929" i="2"/>
  <c r="R928" i="2"/>
  <c r="Q928" i="2"/>
  <c r="R927" i="2"/>
  <c r="Q927" i="2"/>
  <c r="R926" i="2"/>
  <c r="Q926" i="2"/>
  <c r="R925" i="2"/>
  <c r="Q925" i="2"/>
  <c r="R924" i="2"/>
  <c r="Q924" i="2"/>
  <c r="R923" i="2"/>
  <c r="Q923" i="2"/>
  <c r="R922" i="2"/>
  <c r="Q922" i="2"/>
  <c r="R921" i="2"/>
  <c r="Q921" i="2"/>
  <c r="R920" i="2"/>
  <c r="Q920" i="2"/>
  <c r="R919" i="2"/>
  <c r="Q919" i="2"/>
  <c r="R918" i="2"/>
  <c r="Q918" i="2"/>
  <c r="R917" i="2"/>
  <c r="Q917" i="2"/>
  <c r="R916" i="2"/>
  <c r="Q916" i="2"/>
  <c r="R915" i="2"/>
  <c r="Q915" i="2"/>
  <c r="R914" i="2"/>
  <c r="Q914" i="2"/>
  <c r="R913" i="2"/>
  <c r="Q913" i="2"/>
  <c r="R912" i="2"/>
  <c r="Q912" i="2"/>
  <c r="R911" i="2"/>
  <c r="Q911" i="2"/>
  <c r="R910" i="2"/>
  <c r="Q910" i="2"/>
  <c r="R909" i="2"/>
  <c r="Q909" i="2"/>
  <c r="R908" i="2"/>
  <c r="Q908" i="2"/>
  <c r="R907" i="2"/>
  <c r="Q907" i="2"/>
  <c r="R906" i="2"/>
  <c r="Q906" i="2"/>
  <c r="R905" i="2"/>
  <c r="Q905" i="2"/>
  <c r="R904" i="2"/>
  <c r="Q904" i="2"/>
  <c r="R903" i="2"/>
  <c r="Q903" i="2"/>
  <c r="R902" i="2"/>
  <c r="Q902" i="2"/>
  <c r="R901" i="2"/>
  <c r="Q901" i="2"/>
  <c r="R900" i="2"/>
  <c r="Q900" i="2"/>
  <c r="R899" i="2"/>
  <c r="Q899" i="2"/>
  <c r="R898" i="2"/>
  <c r="Q898" i="2"/>
  <c r="R897" i="2"/>
  <c r="Q897" i="2"/>
  <c r="R896" i="2"/>
  <c r="Q896" i="2"/>
  <c r="R895" i="2"/>
  <c r="Q895" i="2"/>
  <c r="R894" i="2"/>
  <c r="Q894" i="2"/>
  <c r="R893" i="2"/>
  <c r="Q893" i="2"/>
  <c r="R892" i="2"/>
  <c r="Q892" i="2"/>
  <c r="R891" i="2"/>
  <c r="Q891" i="2"/>
  <c r="R890" i="2"/>
  <c r="Q890" i="2"/>
  <c r="R889" i="2"/>
  <c r="Q889" i="2"/>
  <c r="R888" i="2"/>
  <c r="Q888" i="2"/>
  <c r="R887" i="2"/>
  <c r="Q887" i="2"/>
  <c r="R886" i="2"/>
  <c r="Q886" i="2"/>
  <c r="R885" i="2"/>
  <c r="Q885" i="2"/>
  <c r="R884" i="2"/>
  <c r="Q884" i="2"/>
  <c r="R883" i="2"/>
  <c r="Q883" i="2"/>
  <c r="R882" i="2"/>
  <c r="Q882" i="2"/>
  <c r="R881" i="2"/>
  <c r="Q881" i="2"/>
  <c r="R880" i="2"/>
  <c r="Q880" i="2"/>
  <c r="R879" i="2"/>
  <c r="Q879" i="2"/>
  <c r="R878" i="2"/>
  <c r="Q878" i="2"/>
  <c r="R877" i="2"/>
  <c r="Q877" i="2"/>
  <c r="R876" i="2"/>
  <c r="Q876" i="2"/>
  <c r="R875" i="2"/>
  <c r="Q875" i="2"/>
  <c r="R874" i="2"/>
  <c r="Q874" i="2"/>
  <c r="R873" i="2"/>
  <c r="Q873" i="2"/>
  <c r="R872" i="2"/>
  <c r="Q872" i="2"/>
  <c r="R871" i="2"/>
  <c r="Q871" i="2"/>
  <c r="R870" i="2"/>
  <c r="Q870" i="2"/>
  <c r="R869" i="2"/>
  <c r="Q869" i="2"/>
  <c r="R868" i="2"/>
  <c r="Q868" i="2"/>
  <c r="R867" i="2"/>
  <c r="Q867" i="2"/>
  <c r="R866" i="2"/>
  <c r="Q866" i="2"/>
  <c r="R865" i="2"/>
  <c r="Q865" i="2"/>
  <c r="R864" i="2"/>
  <c r="Q864" i="2"/>
  <c r="R863" i="2"/>
  <c r="Q863" i="2"/>
  <c r="R862" i="2"/>
  <c r="Q862" i="2"/>
  <c r="R861" i="2"/>
  <c r="Q861" i="2"/>
  <c r="R860" i="2"/>
  <c r="Q860" i="2"/>
  <c r="R859" i="2"/>
  <c r="Q859" i="2"/>
  <c r="R858" i="2"/>
  <c r="Q858" i="2"/>
  <c r="R857" i="2"/>
  <c r="Q857" i="2"/>
  <c r="R856" i="2"/>
  <c r="Q856" i="2"/>
  <c r="R855" i="2"/>
  <c r="Q855" i="2"/>
  <c r="R854" i="2"/>
  <c r="Q854" i="2"/>
  <c r="R853" i="2"/>
  <c r="Q853" i="2"/>
  <c r="R852" i="2"/>
  <c r="Q852" i="2"/>
  <c r="R851" i="2"/>
  <c r="Q851" i="2"/>
  <c r="R850" i="2"/>
  <c r="Q850" i="2"/>
  <c r="R849" i="2"/>
  <c r="Q849" i="2"/>
  <c r="R848" i="2"/>
  <c r="Q848" i="2"/>
  <c r="R847" i="2"/>
  <c r="Q847" i="2"/>
  <c r="R846" i="2"/>
  <c r="Q846" i="2"/>
  <c r="R845" i="2"/>
  <c r="Q845" i="2"/>
  <c r="R844" i="2"/>
  <c r="Q844" i="2"/>
  <c r="R843" i="2"/>
  <c r="Q843" i="2"/>
  <c r="R842" i="2"/>
  <c r="Q842" i="2"/>
  <c r="R841" i="2"/>
  <c r="Q841" i="2"/>
  <c r="R840" i="2"/>
  <c r="Q840" i="2"/>
  <c r="R839" i="2"/>
  <c r="Q839" i="2"/>
  <c r="R838" i="2"/>
  <c r="Q838" i="2"/>
  <c r="R837" i="2"/>
  <c r="Q837" i="2"/>
  <c r="R836" i="2"/>
  <c r="Q836" i="2"/>
  <c r="R835" i="2"/>
  <c r="Q835" i="2"/>
  <c r="R834" i="2"/>
  <c r="Q834" i="2"/>
  <c r="R833" i="2"/>
  <c r="Q833" i="2"/>
  <c r="R832" i="2"/>
  <c r="Q832" i="2"/>
  <c r="R831" i="2"/>
  <c r="Q831" i="2"/>
  <c r="R830" i="2"/>
  <c r="Q830" i="2"/>
  <c r="R829" i="2"/>
  <c r="Q829" i="2"/>
  <c r="R828" i="2"/>
  <c r="Q828" i="2"/>
  <c r="R827" i="2"/>
  <c r="Q827" i="2"/>
  <c r="R826" i="2"/>
  <c r="Q826" i="2"/>
  <c r="R825" i="2"/>
  <c r="Q825" i="2"/>
  <c r="R824" i="2"/>
  <c r="Q824" i="2"/>
  <c r="R823" i="2"/>
  <c r="Q823" i="2"/>
  <c r="R822" i="2"/>
  <c r="Q822" i="2"/>
  <c r="R821" i="2"/>
  <c r="Q821" i="2"/>
  <c r="R820" i="2"/>
  <c r="Q820" i="2"/>
  <c r="R819" i="2"/>
  <c r="Q819" i="2"/>
  <c r="R818" i="2"/>
  <c r="Q818" i="2"/>
  <c r="R817" i="2"/>
  <c r="Q817" i="2"/>
  <c r="R816" i="2"/>
  <c r="Q816" i="2"/>
  <c r="R815" i="2"/>
  <c r="Q815" i="2"/>
  <c r="R814" i="2"/>
  <c r="Q814" i="2"/>
  <c r="R813" i="2"/>
  <c r="Q813" i="2"/>
  <c r="R812" i="2"/>
  <c r="Q812" i="2"/>
  <c r="R811" i="2"/>
  <c r="Q811" i="2"/>
  <c r="R810" i="2"/>
  <c r="Q810" i="2"/>
  <c r="R809" i="2"/>
  <c r="Q809" i="2"/>
  <c r="R808" i="2"/>
  <c r="Q808" i="2"/>
  <c r="R807" i="2"/>
  <c r="Q807" i="2"/>
  <c r="R806" i="2"/>
  <c r="Q806" i="2"/>
  <c r="R805" i="2"/>
  <c r="Q805" i="2"/>
  <c r="R804" i="2"/>
  <c r="Q804" i="2"/>
  <c r="R803" i="2"/>
  <c r="Q803" i="2"/>
  <c r="R802" i="2"/>
  <c r="Q802" i="2"/>
  <c r="R801" i="2"/>
  <c r="Q801" i="2"/>
  <c r="R800" i="2"/>
  <c r="Q800" i="2"/>
  <c r="R799" i="2"/>
  <c r="Q799" i="2"/>
  <c r="R798" i="2"/>
  <c r="Q798" i="2"/>
  <c r="R797" i="2"/>
  <c r="Q797" i="2"/>
  <c r="R796" i="2"/>
  <c r="Q796" i="2"/>
  <c r="R795" i="2"/>
  <c r="Q795" i="2"/>
  <c r="R794" i="2"/>
  <c r="Q794" i="2"/>
  <c r="R793" i="2"/>
  <c r="Q793" i="2"/>
  <c r="R792" i="2"/>
  <c r="Q792" i="2"/>
  <c r="R791" i="2"/>
  <c r="Q791" i="2"/>
  <c r="R790" i="2"/>
  <c r="Q790" i="2"/>
  <c r="R789" i="2"/>
  <c r="Q789" i="2"/>
  <c r="R788" i="2"/>
  <c r="Q788" i="2"/>
  <c r="R787" i="2"/>
  <c r="Q787" i="2"/>
  <c r="R786" i="2"/>
  <c r="Q786" i="2"/>
  <c r="R785" i="2"/>
  <c r="Q785" i="2"/>
  <c r="R784" i="2"/>
  <c r="Q784" i="2"/>
  <c r="R783" i="2"/>
  <c r="Q783" i="2"/>
  <c r="R782" i="2"/>
  <c r="Q782" i="2"/>
  <c r="R781" i="2"/>
  <c r="Q781" i="2"/>
  <c r="R780" i="2"/>
  <c r="Q780" i="2"/>
  <c r="R779" i="2"/>
  <c r="Q779" i="2"/>
  <c r="R778" i="2"/>
  <c r="Q778" i="2"/>
  <c r="R777" i="2"/>
  <c r="Q777" i="2"/>
  <c r="R776" i="2"/>
  <c r="Q776" i="2"/>
  <c r="R775" i="2"/>
  <c r="Q775" i="2"/>
  <c r="R774" i="2"/>
  <c r="Q774" i="2"/>
  <c r="R773" i="2"/>
  <c r="Q773" i="2"/>
  <c r="R772" i="2"/>
  <c r="Q772" i="2"/>
  <c r="R771" i="2"/>
  <c r="Q771" i="2"/>
  <c r="R770" i="2"/>
  <c r="Q770" i="2"/>
  <c r="R769" i="2"/>
  <c r="Q769" i="2"/>
  <c r="R768" i="2"/>
  <c r="Q768" i="2"/>
  <c r="R767" i="2"/>
  <c r="Q767" i="2"/>
  <c r="R766" i="2"/>
  <c r="Q766" i="2"/>
  <c r="R765" i="2"/>
  <c r="Q765" i="2"/>
  <c r="R764" i="2"/>
  <c r="Q764" i="2"/>
  <c r="R763" i="2"/>
  <c r="Q763" i="2"/>
  <c r="R762" i="2"/>
  <c r="Q762" i="2"/>
  <c r="R761" i="2"/>
  <c r="Q761" i="2"/>
  <c r="R760" i="2"/>
  <c r="Q760" i="2"/>
  <c r="R759" i="2"/>
  <c r="Q759" i="2"/>
  <c r="R758" i="2"/>
  <c r="Q758" i="2"/>
  <c r="R757" i="2"/>
  <c r="Q757" i="2"/>
  <c r="R756" i="2"/>
  <c r="Q756" i="2"/>
  <c r="R755" i="2"/>
  <c r="Q755" i="2"/>
  <c r="R754" i="2"/>
  <c r="Q754" i="2"/>
  <c r="R753" i="2"/>
  <c r="Q753" i="2"/>
  <c r="R752" i="2"/>
  <c r="Q752" i="2"/>
  <c r="R751" i="2"/>
  <c r="Q751" i="2"/>
  <c r="R750" i="2"/>
  <c r="Q750" i="2"/>
  <c r="R749" i="2"/>
  <c r="Q749" i="2"/>
  <c r="R748" i="2"/>
  <c r="Q748" i="2"/>
  <c r="R747" i="2"/>
  <c r="Q747" i="2"/>
  <c r="R746" i="2"/>
  <c r="Q746" i="2"/>
  <c r="R745" i="2"/>
  <c r="Q745" i="2"/>
  <c r="R744" i="2"/>
  <c r="Q744" i="2"/>
  <c r="R743" i="2"/>
  <c r="Q743" i="2"/>
  <c r="R742" i="2"/>
  <c r="Q742" i="2"/>
  <c r="R741" i="2"/>
  <c r="Q741" i="2"/>
  <c r="R740" i="2"/>
  <c r="Q740" i="2"/>
  <c r="R739" i="2"/>
  <c r="Q739" i="2"/>
  <c r="R738" i="2"/>
  <c r="Q738" i="2"/>
  <c r="R737" i="2"/>
  <c r="Q737" i="2"/>
  <c r="R736" i="2"/>
  <c r="Q736" i="2"/>
  <c r="R735" i="2"/>
  <c r="Q735" i="2"/>
  <c r="R734" i="2"/>
  <c r="Q734" i="2"/>
  <c r="R733" i="2"/>
  <c r="Q733" i="2"/>
  <c r="R732" i="2"/>
  <c r="Q732" i="2"/>
  <c r="R731" i="2"/>
  <c r="Q731" i="2"/>
  <c r="R730" i="2"/>
  <c r="Q730" i="2"/>
  <c r="R729" i="2"/>
  <c r="Q729" i="2"/>
  <c r="R728" i="2"/>
  <c r="Q728" i="2"/>
  <c r="R727" i="2"/>
  <c r="Q727" i="2"/>
  <c r="R726" i="2"/>
  <c r="Q726" i="2"/>
  <c r="R725" i="2"/>
  <c r="Q725" i="2"/>
  <c r="R724" i="2"/>
  <c r="Q724" i="2"/>
  <c r="R723" i="2"/>
  <c r="Q723" i="2"/>
  <c r="R722" i="2"/>
  <c r="Q722" i="2"/>
  <c r="R721" i="2"/>
  <c r="Q721" i="2"/>
  <c r="R720" i="2"/>
  <c r="Q720" i="2"/>
  <c r="R719" i="2"/>
  <c r="Q719" i="2"/>
  <c r="R718" i="2"/>
  <c r="Q718" i="2"/>
  <c r="R717" i="2"/>
  <c r="Q717" i="2"/>
  <c r="R716" i="2"/>
  <c r="Q716" i="2"/>
  <c r="R715" i="2"/>
  <c r="Q715" i="2"/>
  <c r="R714" i="2"/>
  <c r="Q714" i="2"/>
  <c r="R713" i="2"/>
  <c r="Q713" i="2"/>
  <c r="R712" i="2"/>
  <c r="Q712" i="2"/>
  <c r="R711" i="2"/>
  <c r="Q711" i="2"/>
  <c r="R710" i="2"/>
  <c r="Q710" i="2"/>
  <c r="R709" i="2"/>
  <c r="Q709" i="2"/>
  <c r="R708" i="2"/>
  <c r="Q708" i="2"/>
  <c r="R707" i="2"/>
  <c r="Q707" i="2"/>
  <c r="R706" i="2"/>
  <c r="Q706" i="2"/>
  <c r="R705" i="2"/>
  <c r="Q705" i="2"/>
  <c r="R704" i="2"/>
  <c r="Q704" i="2"/>
  <c r="R703" i="2"/>
  <c r="Q703" i="2"/>
  <c r="R702" i="2"/>
  <c r="Q702" i="2"/>
  <c r="R701" i="2"/>
  <c r="Q701" i="2"/>
  <c r="R700" i="2"/>
  <c r="Q700" i="2"/>
  <c r="R699" i="2"/>
  <c r="Q699" i="2"/>
  <c r="R698" i="2"/>
  <c r="Q698" i="2"/>
  <c r="R697" i="2"/>
  <c r="Q697" i="2"/>
  <c r="R696" i="2"/>
  <c r="Q696" i="2"/>
  <c r="R695" i="2"/>
  <c r="Q695" i="2"/>
  <c r="R694" i="2"/>
  <c r="Q694" i="2"/>
  <c r="R693" i="2"/>
  <c r="Q693" i="2"/>
  <c r="R692" i="2"/>
  <c r="Q692" i="2"/>
  <c r="R691" i="2"/>
  <c r="Q691" i="2"/>
  <c r="R690" i="2"/>
  <c r="Q690" i="2"/>
  <c r="R689" i="2"/>
  <c r="Q689" i="2"/>
  <c r="R688" i="2"/>
  <c r="Q688" i="2"/>
  <c r="R687" i="2"/>
  <c r="Q687" i="2"/>
  <c r="R686" i="2"/>
  <c r="Q686" i="2"/>
  <c r="R685" i="2"/>
  <c r="Q685" i="2"/>
  <c r="R684" i="2"/>
  <c r="Q684" i="2"/>
  <c r="R683" i="2"/>
  <c r="Q683" i="2"/>
  <c r="R682" i="2"/>
  <c r="Q682" i="2"/>
  <c r="R681" i="2"/>
  <c r="Q681" i="2"/>
  <c r="R680" i="2"/>
  <c r="Q680" i="2"/>
  <c r="R679" i="2"/>
  <c r="Q679" i="2"/>
  <c r="R678" i="2"/>
  <c r="Q678" i="2"/>
  <c r="R677" i="2"/>
  <c r="Q677" i="2"/>
  <c r="R676" i="2"/>
  <c r="Q676" i="2"/>
  <c r="R675" i="2"/>
  <c r="Q675" i="2"/>
  <c r="R674" i="2"/>
  <c r="Q674" i="2"/>
  <c r="R673" i="2"/>
  <c r="Q673" i="2"/>
  <c r="R672" i="2"/>
  <c r="Q672" i="2"/>
  <c r="R671" i="2"/>
  <c r="Q671" i="2"/>
  <c r="R670" i="2"/>
  <c r="Q670" i="2"/>
  <c r="R669" i="2"/>
  <c r="Q669" i="2"/>
  <c r="R668" i="2"/>
  <c r="Q668" i="2"/>
  <c r="R667" i="2"/>
  <c r="Q667" i="2"/>
  <c r="R666" i="2"/>
  <c r="Q666" i="2"/>
  <c r="R665" i="2"/>
  <c r="Q665" i="2"/>
  <c r="R664" i="2"/>
  <c r="Q664" i="2"/>
  <c r="R663" i="2"/>
  <c r="Q663" i="2"/>
  <c r="R662" i="2"/>
  <c r="Q662" i="2"/>
  <c r="R661" i="2"/>
  <c r="Q661" i="2"/>
  <c r="R660" i="2"/>
  <c r="Q660" i="2"/>
  <c r="R659" i="2"/>
  <c r="Q659" i="2"/>
  <c r="R658" i="2"/>
  <c r="Q658" i="2"/>
  <c r="R657" i="2"/>
  <c r="Q657" i="2"/>
  <c r="R656" i="2"/>
  <c r="Q656" i="2"/>
  <c r="R655" i="2"/>
  <c r="Q655" i="2"/>
  <c r="R654" i="2"/>
  <c r="Q654" i="2"/>
  <c r="R653" i="2"/>
  <c r="Q653" i="2"/>
  <c r="R652" i="2"/>
  <c r="Q652" i="2"/>
  <c r="R651" i="2"/>
  <c r="Q651" i="2"/>
  <c r="R650" i="2"/>
  <c r="Q650" i="2"/>
  <c r="R649" i="2"/>
  <c r="Q649" i="2"/>
  <c r="R648" i="2"/>
  <c r="Q648" i="2"/>
  <c r="R647" i="2"/>
  <c r="Q647" i="2"/>
  <c r="R646" i="2"/>
  <c r="Q646" i="2"/>
  <c r="R645" i="2"/>
  <c r="Q645" i="2"/>
  <c r="R644" i="2"/>
  <c r="Q644" i="2"/>
  <c r="R643" i="2"/>
  <c r="Q643" i="2"/>
  <c r="R642" i="2"/>
  <c r="Q642" i="2"/>
  <c r="R641" i="2"/>
  <c r="Q641" i="2"/>
  <c r="R640" i="2"/>
  <c r="Q640" i="2"/>
  <c r="R639" i="2"/>
  <c r="Q639" i="2"/>
  <c r="R638" i="2"/>
  <c r="Q638" i="2"/>
  <c r="R637" i="2"/>
  <c r="Q637" i="2"/>
  <c r="R636" i="2"/>
  <c r="Q636" i="2"/>
  <c r="R635" i="2"/>
  <c r="Q635" i="2"/>
  <c r="R634" i="2"/>
  <c r="Q634" i="2"/>
  <c r="R633" i="2"/>
  <c r="Q633" i="2"/>
  <c r="R632" i="2"/>
  <c r="Q632" i="2"/>
  <c r="R631" i="2"/>
  <c r="Q631" i="2"/>
  <c r="R630" i="2"/>
  <c r="Q630" i="2"/>
  <c r="R629" i="2"/>
  <c r="Q629" i="2"/>
  <c r="R628" i="2"/>
  <c r="Q628" i="2"/>
  <c r="R627" i="2"/>
  <c r="Q627" i="2"/>
  <c r="R626" i="2"/>
  <c r="Q626" i="2"/>
  <c r="R625" i="2"/>
  <c r="Q625" i="2"/>
  <c r="R624" i="2"/>
  <c r="Q624" i="2"/>
  <c r="R623" i="2"/>
  <c r="Q623" i="2"/>
  <c r="R622" i="2"/>
  <c r="Q622" i="2"/>
  <c r="R621" i="2"/>
  <c r="Q621" i="2"/>
  <c r="R620" i="2"/>
  <c r="Q620" i="2"/>
  <c r="R619" i="2"/>
  <c r="Q619" i="2"/>
  <c r="R618" i="2"/>
  <c r="Q618" i="2"/>
  <c r="R617" i="2"/>
  <c r="Q617" i="2"/>
  <c r="R616" i="2"/>
  <c r="Q616" i="2"/>
  <c r="R615" i="2"/>
  <c r="Q615" i="2"/>
  <c r="R614" i="2"/>
  <c r="Q614" i="2"/>
  <c r="R613" i="2"/>
  <c r="Q613" i="2"/>
  <c r="R612" i="2"/>
  <c r="Q612" i="2"/>
  <c r="R611" i="2"/>
  <c r="Q611" i="2"/>
  <c r="R610" i="2"/>
  <c r="Q610" i="2"/>
  <c r="R609" i="2"/>
  <c r="Q609" i="2"/>
  <c r="R608" i="2"/>
  <c r="Q608" i="2"/>
  <c r="R607" i="2"/>
  <c r="Q607" i="2"/>
  <c r="R606" i="2"/>
  <c r="Q606" i="2"/>
  <c r="R605" i="2"/>
  <c r="Q605" i="2"/>
  <c r="R604" i="2"/>
  <c r="Q604" i="2"/>
  <c r="R603" i="2"/>
  <c r="Q603" i="2"/>
  <c r="R602" i="2"/>
  <c r="Q602" i="2"/>
  <c r="R601" i="2"/>
  <c r="Q601" i="2"/>
  <c r="R600" i="2"/>
  <c r="Q600" i="2"/>
  <c r="R599" i="2"/>
  <c r="Q599" i="2"/>
  <c r="R598" i="2"/>
  <c r="Q598" i="2"/>
  <c r="R597" i="2"/>
  <c r="Q597" i="2"/>
  <c r="R596" i="2"/>
  <c r="Q596" i="2"/>
  <c r="R595" i="2"/>
  <c r="Q595" i="2"/>
  <c r="R594" i="2"/>
  <c r="Q594" i="2"/>
  <c r="R593" i="2"/>
  <c r="Q593" i="2"/>
  <c r="R592" i="2"/>
  <c r="Q592" i="2"/>
  <c r="R591" i="2"/>
  <c r="Q591" i="2"/>
  <c r="R590" i="2"/>
  <c r="Q590" i="2"/>
  <c r="R589" i="2"/>
  <c r="Q589" i="2"/>
  <c r="R588" i="2"/>
  <c r="Q588" i="2"/>
  <c r="R587" i="2"/>
  <c r="Q587" i="2"/>
  <c r="R586" i="2"/>
  <c r="Q586" i="2"/>
  <c r="R585" i="2"/>
  <c r="Q585" i="2"/>
  <c r="R584" i="2"/>
  <c r="Q584" i="2"/>
  <c r="R583" i="2"/>
  <c r="Q583" i="2"/>
  <c r="R582" i="2"/>
  <c r="Q582" i="2"/>
  <c r="R581" i="2"/>
  <c r="Q581" i="2"/>
  <c r="R580" i="2"/>
  <c r="Q580" i="2"/>
  <c r="R579" i="2"/>
  <c r="Q579" i="2"/>
  <c r="R578" i="2"/>
  <c r="Q578" i="2"/>
  <c r="R577" i="2"/>
  <c r="Q577" i="2"/>
  <c r="R576" i="2"/>
  <c r="Q576" i="2"/>
  <c r="R575" i="2"/>
  <c r="Q575" i="2"/>
  <c r="R574" i="2"/>
  <c r="Q574" i="2"/>
  <c r="R573" i="2"/>
  <c r="Q573" i="2"/>
  <c r="R572" i="2"/>
  <c r="Q572" i="2"/>
  <c r="R571" i="2"/>
  <c r="Q571" i="2"/>
  <c r="R570" i="2"/>
  <c r="Q570" i="2"/>
  <c r="R569" i="2"/>
  <c r="Q569" i="2"/>
  <c r="R568" i="2"/>
  <c r="Q568" i="2"/>
  <c r="R567" i="2"/>
  <c r="Q567" i="2"/>
  <c r="R566" i="2"/>
  <c r="Q566" i="2"/>
  <c r="R565" i="2"/>
  <c r="Q565" i="2"/>
  <c r="R564" i="2"/>
  <c r="Q564" i="2"/>
  <c r="R563" i="2"/>
  <c r="Q563" i="2"/>
  <c r="R562" i="2"/>
  <c r="Q562" i="2"/>
  <c r="R561" i="2"/>
  <c r="Q561" i="2"/>
  <c r="R560" i="2"/>
  <c r="Q560" i="2"/>
  <c r="R559" i="2"/>
  <c r="Q559" i="2"/>
  <c r="R558" i="2"/>
  <c r="Q558" i="2"/>
  <c r="R557" i="2"/>
  <c r="Q557" i="2"/>
  <c r="R556" i="2"/>
  <c r="Q556" i="2"/>
  <c r="R555" i="2"/>
  <c r="Q555" i="2"/>
  <c r="R554" i="2"/>
  <c r="Q554" i="2"/>
  <c r="R553" i="2"/>
  <c r="Q553" i="2"/>
  <c r="R552" i="2"/>
  <c r="Q552" i="2"/>
  <c r="R551" i="2"/>
  <c r="Q551" i="2"/>
  <c r="R550" i="2"/>
  <c r="Q550" i="2"/>
  <c r="R549" i="2"/>
  <c r="Q549" i="2"/>
  <c r="R548" i="2"/>
  <c r="Q548" i="2"/>
  <c r="R547" i="2"/>
  <c r="Q547" i="2"/>
  <c r="R546" i="2"/>
  <c r="Q546" i="2"/>
  <c r="R545" i="2"/>
  <c r="Q545" i="2"/>
  <c r="R544" i="2"/>
  <c r="Q544" i="2"/>
  <c r="R543" i="2"/>
  <c r="Q543" i="2"/>
  <c r="R542" i="2"/>
  <c r="Q542" i="2"/>
  <c r="R541" i="2"/>
  <c r="Q541" i="2"/>
  <c r="R540" i="2"/>
  <c r="Q540" i="2"/>
  <c r="R539" i="2"/>
  <c r="Q539" i="2"/>
  <c r="R538" i="2"/>
  <c r="Q538" i="2"/>
  <c r="R537" i="2"/>
  <c r="Q537" i="2"/>
  <c r="R536" i="2"/>
  <c r="Q536" i="2"/>
  <c r="R535" i="2"/>
  <c r="Q535" i="2"/>
  <c r="R534" i="2"/>
  <c r="Q534" i="2"/>
  <c r="R533" i="2"/>
  <c r="Q533" i="2"/>
  <c r="R532" i="2"/>
  <c r="Q532" i="2"/>
  <c r="R531" i="2"/>
  <c r="Q531" i="2"/>
  <c r="R530" i="2"/>
  <c r="Q530" i="2"/>
  <c r="R529" i="2"/>
  <c r="Q529" i="2"/>
  <c r="R528" i="2"/>
  <c r="Q528" i="2"/>
  <c r="R527" i="2"/>
  <c r="Q527" i="2"/>
  <c r="R526" i="2"/>
  <c r="Q526" i="2"/>
  <c r="R525" i="2"/>
  <c r="Q525" i="2"/>
  <c r="R524" i="2"/>
  <c r="Q524" i="2"/>
  <c r="R523" i="2"/>
  <c r="Q523" i="2"/>
  <c r="R522" i="2"/>
  <c r="Q522" i="2"/>
  <c r="R521" i="2"/>
  <c r="Q521" i="2"/>
  <c r="R520" i="2"/>
  <c r="Q520" i="2"/>
  <c r="R519" i="2"/>
  <c r="Q519" i="2"/>
  <c r="R518" i="2"/>
  <c r="Q518" i="2"/>
  <c r="R517" i="2"/>
  <c r="Q517" i="2"/>
  <c r="R516" i="2"/>
  <c r="Q516" i="2"/>
  <c r="R515" i="2"/>
  <c r="Q515" i="2"/>
  <c r="R514" i="2"/>
  <c r="Q514" i="2"/>
  <c r="R513" i="2"/>
  <c r="Q513" i="2"/>
  <c r="R512" i="2"/>
  <c r="Q512" i="2"/>
  <c r="R511" i="2"/>
  <c r="Q511" i="2"/>
  <c r="R510" i="2"/>
  <c r="Q510" i="2"/>
  <c r="R509" i="2"/>
  <c r="Q509" i="2"/>
  <c r="R508" i="2"/>
  <c r="Q508" i="2"/>
  <c r="R507" i="2"/>
  <c r="Q507" i="2"/>
  <c r="R506" i="2"/>
  <c r="Q506" i="2"/>
  <c r="R505" i="2"/>
  <c r="Q505" i="2"/>
  <c r="R504" i="2"/>
  <c r="Q504" i="2"/>
  <c r="R503" i="2"/>
  <c r="Q503" i="2"/>
  <c r="R502" i="2"/>
  <c r="Q502" i="2"/>
  <c r="R501" i="2"/>
  <c r="Q501" i="2"/>
  <c r="R500" i="2"/>
  <c r="Q500" i="2"/>
  <c r="R499" i="2"/>
  <c r="Q499" i="2"/>
  <c r="R498" i="2"/>
  <c r="Q498" i="2"/>
  <c r="U11" i="2" s="1"/>
  <c r="V11" i="2" s="1"/>
  <c r="AM19" i="2" s="1"/>
  <c r="R497" i="2"/>
  <c r="Q497" i="2"/>
  <c r="R496" i="2"/>
  <c r="Q496" i="2"/>
  <c r="R495" i="2"/>
  <c r="Q495" i="2"/>
  <c r="R494" i="2"/>
  <c r="Q494" i="2"/>
  <c r="R493" i="2"/>
  <c r="Q493" i="2"/>
  <c r="R492" i="2"/>
  <c r="Q492" i="2"/>
  <c r="R491" i="2"/>
  <c r="Q491" i="2"/>
  <c r="R490" i="2"/>
  <c r="Q490" i="2"/>
  <c r="R489" i="2"/>
  <c r="Q489" i="2"/>
  <c r="R488" i="2"/>
  <c r="Q488" i="2"/>
  <c r="R487" i="2"/>
  <c r="Q487" i="2"/>
  <c r="R486" i="2"/>
  <c r="Q486" i="2"/>
  <c r="R485" i="2"/>
  <c r="Q485" i="2"/>
  <c r="R484" i="2"/>
  <c r="Q484" i="2"/>
  <c r="R483" i="2"/>
  <c r="Q483" i="2"/>
  <c r="R482" i="2"/>
  <c r="Q482" i="2"/>
  <c r="R481" i="2"/>
  <c r="Q481" i="2"/>
  <c r="R480" i="2"/>
  <c r="Q480" i="2"/>
  <c r="R479" i="2"/>
  <c r="Q479" i="2"/>
  <c r="R478" i="2"/>
  <c r="Q478" i="2"/>
  <c r="R477" i="2"/>
  <c r="Q477" i="2"/>
  <c r="R476" i="2"/>
  <c r="Q476" i="2"/>
  <c r="R475" i="2"/>
  <c r="Q475" i="2"/>
  <c r="R474" i="2"/>
  <c r="Q474" i="2"/>
  <c r="R473" i="2"/>
  <c r="Q473" i="2"/>
  <c r="R472" i="2"/>
  <c r="Q472" i="2"/>
  <c r="R471" i="2"/>
  <c r="Q471" i="2"/>
  <c r="R470" i="2"/>
  <c r="Q470" i="2"/>
  <c r="R469" i="2"/>
  <c r="Q469" i="2"/>
  <c r="R468" i="2"/>
  <c r="Q468" i="2"/>
  <c r="R467" i="2"/>
  <c r="Q467" i="2"/>
  <c r="R466" i="2"/>
  <c r="Q466" i="2"/>
  <c r="R465" i="2"/>
  <c r="Q465" i="2"/>
  <c r="R464" i="2"/>
  <c r="Q464" i="2"/>
  <c r="R463" i="2"/>
  <c r="Q463" i="2"/>
  <c r="R462" i="2"/>
  <c r="Q462" i="2"/>
  <c r="R461" i="2"/>
  <c r="Q461" i="2"/>
  <c r="R460" i="2"/>
  <c r="Q460" i="2"/>
  <c r="R459" i="2"/>
  <c r="Q459" i="2"/>
  <c r="R458" i="2"/>
  <c r="Q458" i="2"/>
  <c r="R457" i="2"/>
  <c r="Q457" i="2"/>
  <c r="R456" i="2"/>
  <c r="Q456" i="2"/>
  <c r="R455" i="2"/>
  <c r="Q455" i="2"/>
  <c r="R454" i="2"/>
  <c r="Q454" i="2"/>
  <c r="R453" i="2"/>
  <c r="Q453" i="2"/>
  <c r="R452" i="2"/>
  <c r="Q452" i="2"/>
  <c r="R451" i="2"/>
  <c r="Q451" i="2"/>
  <c r="R450" i="2"/>
  <c r="Q450" i="2"/>
  <c r="R449" i="2"/>
  <c r="Q449" i="2"/>
  <c r="R448" i="2"/>
  <c r="Q448" i="2"/>
  <c r="R447" i="2"/>
  <c r="Q447" i="2"/>
  <c r="R446" i="2"/>
  <c r="Q446" i="2"/>
  <c r="R445" i="2"/>
  <c r="Q445" i="2"/>
  <c r="R444" i="2"/>
  <c r="Q444" i="2"/>
  <c r="R443" i="2"/>
  <c r="Q443" i="2"/>
  <c r="R442" i="2"/>
  <c r="Q442" i="2"/>
  <c r="R441" i="2"/>
  <c r="Q441" i="2"/>
  <c r="R440" i="2"/>
  <c r="Q440" i="2"/>
  <c r="R439" i="2"/>
  <c r="Q439" i="2"/>
  <c r="R438" i="2"/>
  <c r="Q438" i="2"/>
  <c r="R437" i="2"/>
  <c r="Q437" i="2"/>
  <c r="R436" i="2"/>
  <c r="Q436" i="2"/>
  <c r="R435" i="2"/>
  <c r="Q435" i="2"/>
  <c r="R434" i="2"/>
  <c r="Q434" i="2"/>
  <c r="R433" i="2"/>
  <c r="Q433" i="2"/>
  <c r="R432" i="2"/>
  <c r="Q432" i="2"/>
  <c r="R431" i="2"/>
  <c r="Q431" i="2"/>
  <c r="R430" i="2"/>
  <c r="Q430" i="2"/>
  <c r="R429" i="2"/>
  <c r="Q429" i="2"/>
  <c r="R428" i="2"/>
  <c r="Q428" i="2"/>
  <c r="R427" i="2"/>
  <c r="Q427" i="2"/>
  <c r="R426" i="2"/>
  <c r="Q426" i="2"/>
  <c r="R425" i="2"/>
  <c r="Q425" i="2"/>
  <c r="R424" i="2"/>
  <c r="Q424" i="2"/>
  <c r="R423" i="2"/>
  <c r="Q423" i="2"/>
  <c r="R422" i="2"/>
  <c r="Q422" i="2"/>
  <c r="R421" i="2"/>
  <c r="Q421" i="2"/>
  <c r="R420" i="2"/>
  <c r="Q420" i="2"/>
  <c r="R419" i="2"/>
  <c r="Q419" i="2"/>
  <c r="R418" i="2"/>
  <c r="Q418" i="2"/>
  <c r="R417" i="2"/>
  <c r="Q417" i="2"/>
  <c r="R416" i="2"/>
  <c r="Q416" i="2"/>
  <c r="R415" i="2"/>
  <c r="Q415" i="2"/>
  <c r="R414" i="2"/>
  <c r="Q414" i="2"/>
  <c r="R413" i="2"/>
  <c r="Q413" i="2"/>
  <c r="R412" i="2"/>
  <c r="Q412" i="2"/>
  <c r="R411" i="2"/>
  <c r="Q411" i="2"/>
  <c r="R410" i="2"/>
  <c r="Q410" i="2"/>
  <c r="R409" i="2"/>
  <c r="Q409" i="2"/>
  <c r="R408" i="2"/>
  <c r="Q408" i="2"/>
  <c r="R407" i="2"/>
  <c r="Q407" i="2"/>
  <c r="R406" i="2"/>
  <c r="Q406" i="2"/>
  <c r="R405" i="2"/>
  <c r="Q405" i="2"/>
  <c r="R404" i="2"/>
  <c r="Q404" i="2"/>
  <c r="R403" i="2"/>
  <c r="Q403" i="2"/>
  <c r="R402" i="2"/>
  <c r="Q402" i="2"/>
  <c r="R401" i="2"/>
  <c r="Q401" i="2"/>
  <c r="R400" i="2"/>
  <c r="Q400" i="2"/>
  <c r="R399" i="2"/>
  <c r="Q399" i="2"/>
  <c r="R398" i="2"/>
  <c r="Q398" i="2"/>
  <c r="R397" i="2"/>
  <c r="Q397" i="2"/>
  <c r="R396" i="2"/>
  <c r="Q396" i="2"/>
  <c r="R395" i="2"/>
  <c r="Q395" i="2"/>
  <c r="R394" i="2"/>
  <c r="Q394" i="2"/>
  <c r="R393" i="2"/>
  <c r="Q393" i="2"/>
  <c r="R392" i="2"/>
  <c r="Q392" i="2"/>
  <c r="R391" i="2"/>
  <c r="Q391" i="2"/>
  <c r="R390" i="2"/>
  <c r="Q390" i="2"/>
  <c r="R389" i="2"/>
  <c r="Q389" i="2"/>
  <c r="R388" i="2"/>
  <c r="Q388" i="2"/>
  <c r="R387" i="2"/>
  <c r="Q387" i="2"/>
  <c r="R386" i="2"/>
  <c r="Q386" i="2"/>
  <c r="R385" i="2"/>
  <c r="Q385" i="2"/>
  <c r="R384" i="2"/>
  <c r="Q384" i="2"/>
  <c r="R383" i="2"/>
  <c r="Q383" i="2"/>
  <c r="R382" i="2"/>
  <c r="Q382" i="2"/>
  <c r="R381" i="2"/>
  <c r="Q381" i="2"/>
  <c r="R380" i="2"/>
  <c r="Q380" i="2"/>
  <c r="R379" i="2"/>
  <c r="Q379" i="2"/>
  <c r="R378" i="2"/>
  <c r="Q378" i="2"/>
  <c r="R377" i="2"/>
  <c r="Q377" i="2"/>
  <c r="R376" i="2"/>
  <c r="Q376" i="2"/>
  <c r="R375" i="2"/>
  <c r="Q375" i="2"/>
  <c r="R374" i="2"/>
  <c r="Q374" i="2"/>
  <c r="R373" i="2"/>
  <c r="Q373" i="2"/>
  <c r="R372" i="2"/>
  <c r="Q372" i="2"/>
  <c r="R371" i="2"/>
  <c r="Q371" i="2"/>
  <c r="R370" i="2"/>
  <c r="Q370" i="2"/>
  <c r="R369" i="2"/>
  <c r="Q369" i="2"/>
  <c r="R368" i="2"/>
  <c r="Q368" i="2"/>
  <c r="R367" i="2"/>
  <c r="Q367" i="2"/>
  <c r="R366" i="2"/>
  <c r="Q366" i="2"/>
  <c r="R365" i="2"/>
  <c r="Q365" i="2"/>
  <c r="R364" i="2"/>
  <c r="Q364" i="2"/>
  <c r="R363" i="2"/>
  <c r="Q363" i="2"/>
  <c r="R362" i="2"/>
  <c r="Q362" i="2"/>
  <c r="R361" i="2"/>
  <c r="Q361" i="2"/>
  <c r="R360" i="2"/>
  <c r="Q360" i="2"/>
  <c r="R359" i="2"/>
  <c r="Q359" i="2"/>
  <c r="R358" i="2"/>
  <c r="Q358" i="2"/>
  <c r="R357" i="2"/>
  <c r="Q357" i="2"/>
  <c r="R356" i="2"/>
  <c r="Q356" i="2"/>
  <c r="R355" i="2"/>
  <c r="Q355" i="2"/>
  <c r="R354" i="2"/>
  <c r="Q354" i="2"/>
  <c r="R353" i="2"/>
  <c r="Q353" i="2"/>
  <c r="R352" i="2"/>
  <c r="Q352" i="2"/>
  <c r="R351" i="2"/>
  <c r="Q351" i="2"/>
  <c r="R350" i="2"/>
  <c r="Q350" i="2"/>
  <c r="R349" i="2"/>
  <c r="Q349" i="2"/>
  <c r="R348" i="2"/>
  <c r="Q348" i="2"/>
  <c r="R347" i="2"/>
  <c r="Q347" i="2"/>
  <c r="R346" i="2"/>
  <c r="Q346" i="2"/>
  <c r="R345" i="2"/>
  <c r="Q345" i="2"/>
  <c r="R344" i="2"/>
  <c r="Q344" i="2"/>
  <c r="R343" i="2"/>
  <c r="Q343" i="2"/>
  <c r="R342" i="2"/>
  <c r="Q342" i="2"/>
  <c r="R341" i="2"/>
  <c r="Q341" i="2"/>
  <c r="R340" i="2"/>
  <c r="Q340" i="2"/>
  <c r="R339" i="2"/>
  <c r="Q339" i="2"/>
  <c r="R338" i="2"/>
  <c r="Q338" i="2"/>
  <c r="R337" i="2"/>
  <c r="Q337" i="2"/>
  <c r="R336" i="2"/>
  <c r="Q336" i="2"/>
  <c r="R335" i="2"/>
  <c r="Q335" i="2"/>
  <c r="R334" i="2"/>
  <c r="Q334" i="2"/>
  <c r="R333" i="2"/>
  <c r="Q333" i="2"/>
  <c r="R332" i="2"/>
  <c r="Q332" i="2"/>
  <c r="R331" i="2"/>
  <c r="Q331" i="2"/>
  <c r="R330" i="2"/>
  <c r="Q330" i="2"/>
  <c r="R329" i="2"/>
  <c r="Q329" i="2"/>
  <c r="R328" i="2"/>
  <c r="Q328" i="2"/>
  <c r="R327" i="2"/>
  <c r="Q327" i="2"/>
  <c r="R326" i="2"/>
  <c r="Q326" i="2"/>
  <c r="R325" i="2"/>
  <c r="Q325" i="2"/>
  <c r="R324" i="2"/>
  <c r="Q324" i="2"/>
  <c r="R323" i="2"/>
  <c r="Q323" i="2"/>
  <c r="R322" i="2"/>
  <c r="Q322" i="2"/>
  <c r="R321" i="2"/>
  <c r="Q321" i="2"/>
  <c r="R320" i="2"/>
  <c r="Q320" i="2"/>
  <c r="R319" i="2"/>
  <c r="Q319" i="2"/>
  <c r="R318" i="2"/>
  <c r="Q318" i="2"/>
  <c r="R317" i="2"/>
  <c r="Q317" i="2"/>
  <c r="R316" i="2"/>
  <c r="Q316" i="2"/>
  <c r="R315" i="2"/>
  <c r="Q315" i="2"/>
  <c r="R314" i="2"/>
  <c r="Q314" i="2"/>
  <c r="R313" i="2"/>
  <c r="Q313" i="2"/>
  <c r="R312" i="2"/>
  <c r="Q312" i="2"/>
  <c r="R311" i="2"/>
  <c r="Q311" i="2"/>
  <c r="R310" i="2"/>
  <c r="Q310" i="2"/>
  <c r="R309" i="2"/>
  <c r="Q309" i="2"/>
  <c r="R308" i="2"/>
  <c r="Q308" i="2"/>
  <c r="R307" i="2"/>
  <c r="Q307" i="2"/>
  <c r="R306" i="2"/>
  <c r="Q306" i="2"/>
  <c r="R305" i="2"/>
  <c r="Q305" i="2"/>
  <c r="R304" i="2"/>
  <c r="Q304" i="2"/>
  <c r="R303" i="2"/>
  <c r="Q303" i="2"/>
  <c r="R302" i="2"/>
  <c r="Q302" i="2"/>
  <c r="R301" i="2"/>
  <c r="Q301" i="2"/>
  <c r="R300" i="2"/>
  <c r="Q300" i="2"/>
  <c r="R299" i="2"/>
  <c r="Q299" i="2"/>
  <c r="R298" i="2"/>
  <c r="Q298" i="2"/>
  <c r="R297" i="2"/>
  <c r="Q297" i="2"/>
  <c r="R296" i="2"/>
  <c r="Q296" i="2"/>
  <c r="R295" i="2"/>
  <c r="Q295" i="2"/>
  <c r="R294" i="2"/>
  <c r="Q294" i="2"/>
  <c r="R293" i="2"/>
  <c r="Q293" i="2"/>
  <c r="R292" i="2"/>
  <c r="Q292" i="2"/>
  <c r="R291" i="2"/>
  <c r="Q291" i="2"/>
  <c r="R290" i="2"/>
  <c r="Q290" i="2"/>
  <c r="R289" i="2"/>
  <c r="Q289" i="2"/>
  <c r="R288" i="2"/>
  <c r="Q288" i="2"/>
  <c r="R287" i="2"/>
  <c r="Q287" i="2"/>
  <c r="R286" i="2"/>
  <c r="Q286" i="2"/>
  <c r="R285" i="2"/>
  <c r="Q285" i="2"/>
  <c r="R284" i="2"/>
  <c r="Q284" i="2"/>
  <c r="R283" i="2"/>
  <c r="Q283" i="2"/>
  <c r="R282" i="2"/>
  <c r="Q282" i="2"/>
  <c r="R281" i="2"/>
  <c r="Q281" i="2"/>
  <c r="R280" i="2"/>
  <c r="Q280" i="2"/>
  <c r="R279" i="2"/>
  <c r="Q279" i="2"/>
  <c r="R278" i="2"/>
  <c r="Q278" i="2"/>
  <c r="R277" i="2"/>
  <c r="Q277" i="2"/>
  <c r="R276" i="2"/>
  <c r="Q276" i="2"/>
  <c r="R275" i="2"/>
  <c r="Q275" i="2"/>
  <c r="R274" i="2"/>
  <c r="Q274" i="2"/>
  <c r="R273" i="2"/>
  <c r="Q273" i="2"/>
  <c r="R272" i="2"/>
  <c r="Q272" i="2"/>
  <c r="R271" i="2"/>
  <c r="Q271" i="2"/>
  <c r="R270" i="2"/>
  <c r="Q270" i="2"/>
  <c r="R269" i="2"/>
  <c r="Q269" i="2"/>
  <c r="R268" i="2"/>
  <c r="Q268" i="2"/>
  <c r="R267" i="2"/>
  <c r="Q267" i="2"/>
  <c r="R266" i="2"/>
  <c r="Q266" i="2"/>
  <c r="R265" i="2"/>
  <c r="Q265" i="2"/>
  <c r="R264" i="2"/>
  <c r="Q264" i="2"/>
  <c r="R263" i="2"/>
  <c r="Q263" i="2"/>
  <c r="R262" i="2"/>
  <c r="Q262" i="2"/>
  <c r="R261" i="2"/>
  <c r="Q261" i="2"/>
  <c r="R260" i="2"/>
  <c r="Q260" i="2"/>
  <c r="R259" i="2"/>
  <c r="Q259" i="2"/>
  <c r="R258" i="2"/>
  <c r="Q258" i="2"/>
  <c r="R257" i="2"/>
  <c r="Q257" i="2"/>
  <c r="R256" i="2"/>
  <c r="Q256" i="2"/>
  <c r="R255" i="2"/>
  <c r="Q255" i="2"/>
  <c r="R254" i="2"/>
  <c r="Q254" i="2"/>
  <c r="R253" i="2"/>
  <c r="Q253" i="2"/>
  <c r="R252" i="2"/>
  <c r="Q252" i="2"/>
  <c r="AJ18" i="2" s="1"/>
  <c r="R251" i="2"/>
  <c r="Q251" i="2"/>
  <c r="R250" i="2"/>
  <c r="Q250" i="2"/>
  <c r="R249" i="2"/>
  <c r="Q249" i="2"/>
  <c r="R248" i="2"/>
  <c r="Q248" i="2"/>
  <c r="R247" i="2"/>
  <c r="Q247" i="2"/>
  <c r="R246" i="2"/>
  <c r="Q246" i="2"/>
  <c r="R245" i="2"/>
  <c r="Q245" i="2"/>
  <c r="R244" i="2"/>
  <c r="Q244" i="2"/>
  <c r="R243" i="2"/>
  <c r="Q243" i="2"/>
  <c r="R242" i="2"/>
  <c r="Q242" i="2"/>
  <c r="R241" i="2"/>
  <c r="Q241" i="2"/>
  <c r="R240" i="2"/>
  <c r="Q240" i="2"/>
  <c r="R239" i="2"/>
  <c r="Q239" i="2"/>
  <c r="R238" i="2"/>
  <c r="Q238" i="2"/>
  <c r="R237" i="2"/>
  <c r="Q237" i="2"/>
  <c r="R236" i="2"/>
  <c r="Q236" i="2"/>
  <c r="R235" i="2"/>
  <c r="Q235" i="2"/>
  <c r="R234" i="2"/>
  <c r="Q234" i="2"/>
  <c r="R233" i="2"/>
  <c r="Q233" i="2"/>
  <c r="R232" i="2"/>
  <c r="Q232" i="2"/>
  <c r="R231" i="2"/>
  <c r="Q231" i="2"/>
  <c r="R230" i="2"/>
  <c r="Q230" i="2"/>
  <c r="R229" i="2"/>
  <c r="Q229" i="2"/>
  <c r="R228" i="2"/>
  <c r="Q228" i="2"/>
  <c r="R227" i="2"/>
  <c r="Q227" i="2"/>
  <c r="R226" i="2"/>
  <c r="Q226" i="2"/>
  <c r="R225" i="2"/>
  <c r="Q225" i="2"/>
  <c r="R224" i="2"/>
  <c r="Q224" i="2"/>
  <c r="R223" i="2"/>
  <c r="Q223" i="2"/>
  <c r="R222" i="2"/>
  <c r="Q222" i="2"/>
  <c r="R221" i="2"/>
  <c r="Q221" i="2"/>
  <c r="R220" i="2"/>
  <c r="Q220" i="2"/>
  <c r="R219" i="2"/>
  <c r="Q219" i="2"/>
  <c r="R218" i="2"/>
  <c r="Q218" i="2"/>
  <c r="R217" i="2"/>
  <c r="Q217" i="2"/>
  <c r="R216" i="2"/>
  <c r="Q216" i="2"/>
  <c r="R215" i="2"/>
  <c r="Q215" i="2"/>
  <c r="R214" i="2"/>
  <c r="Q214" i="2"/>
  <c r="R213" i="2"/>
  <c r="Q213" i="2"/>
  <c r="R212" i="2"/>
  <c r="Q212" i="2"/>
  <c r="R211" i="2"/>
  <c r="Q211" i="2"/>
  <c r="R210" i="2"/>
  <c r="Q210" i="2"/>
  <c r="R209" i="2"/>
  <c r="Q209" i="2"/>
  <c r="R208" i="2"/>
  <c r="Q208" i="2"/>
  <c r="R207" i="2"/>
  <c r="Q207" i="2"/>
  <c r="R206" i="2"/>
  <c r="Q206" i="2"/>
  <c r="R205" i="2"/>
  <c r="Q205" i="2"/>
  <c r="R204" i="2"/>
  <c r="Q204" i="2"/>
  <c r="R203" i="2"/>
  <c r="Q203" i="2"/>
  <c r="R202" i="2"/>
  <c r="Q202" i="2"/>
  <c r="R201" i="2"/>
  <c r="Q201" i="2"/>
  <c r="R200" i="2"/>
  <c r="Q200" i="2"/>
  <c r="R199" i="2"/>
  <c r="Q199" i="2"/>
  <c r="R198" i="2"/>
  <c r="Q198" i="2"/>
  <c r="R197" i="2"/>
  <c r="Q197" i="2"/>
  <c r="R196" i="2"/>
  <c r="Q196" i="2"/>
  <c r="R195" i="2"/>
  <c r="Q195" i="2"/>
  <c r="R194" i="2"/>
  <c r="Q194" i="2"/>
  <c r="R193" i="2"/>
  <c r="Q193" i="2"/>
  <c r="R192" i="2"/>
  <c r="Q192" i="2"/>
  <c r="R191" i="2"/>
  <c r="Q191" i="2"/>
  <c r="R190" i="2"/>
  <c r="Q190" i="2"/>
  <c r="R189" i="2"/>
  <c r="Q189" i="2"/>
  <c r="R188" i="2"/>
  <c r="Q188" i="2"/>
  <c r="R187" i="2"/>
  <c r="Q187" i="2"/>
  <c r="R186" i="2"/>
  <c r="Q186" i="2"/>
  <c r="R185" i="2"/>
  <c r="Q185" i="2"/>
  <c r="R184" i="2"/>
  <c r="Q184" i="2"/>
  <c r="R183" i="2"/>
  <c r="Q183" i="2"/>
  <c r="R182" i="2"/>
  <c r="Q182" i="2"/>
  <c r="R181" i="2"/>
  <c r="Q181" i="2"/>
  <c r="R180" i="2"/>
  <c r="Q180" i="2"/>
  <c r="R179" i="2"/>
  <c r="Q179" i="2"/>
  <c r="R178" i="2"/>
  <c r="Q178" i="2"/>
  <c r="R177" i="2"/>
  <c r="Q177" i="2"/>
  <c r="R176" i="2"/>
  <c r="Q176" i="2"/>
  <c r="R175" i="2"/>
  <c r="Q175" i="2"/>
  <c r="R174" i="2"/>
  <c r="Q174" i="2"/>
  <c r="R173" i="2"/>
  <c r="Q173" i="2"/>
  <c r="R172" i="2"/>
  <c r="Q172" i="2"/>
  <c r="R171" i="2"/>
  <c r="Q171" i="2"/>
  <c r="R170" i="2"/>
  <c r="Q170" i="2"/>
  <c r="R169" i="2"/>
  <c r="Q169" i="2"/>
  <c r="R168" i="2"/>
  <c r="Q168" i="2"/>
  <c r="R167" i="2"/>
  <c r="Q167" i="2"/>
  <c r="R166" i="2"/>
  <c r="Q166" i="2"/>
  <c r="R165" i="2"/>
  <c r="Q165" i="2"/>
  <c r="R164" i="2"/>
  <c r="Q164" i="2"/>
  <c r="R163" i="2"/>
  <c r="Q163" i="2"/>
  <c r="R162" i="2"/>
  <c r="Q162" i="2"/>
  <c r="R161" i="2"/>
  <c r="Q161" i="2"/>
  <c r="R160" i="2"/>
  <c r="Q160" i="2"/>
  <c r="R159" i="2"/>
  <c r="Q159" i="2"/>
  <c r="R158" i="2"/>
  <c r="Q158" i="2"/>
  <c r="R157" i="2"/>
  <c r="Q157" i="2"/>
  <c r="R156" i="2"/>
  <c r="Q156" i="2"/>
  <c r="R155" i="2"/>
  <c r="Q155" i="2"/>
  <c r="R154" i="2"/>
  <c r="Q154" i="2"/>
  <c r="R153" i="2"/>
  <c r="Q153" i="2"/>
  <c r="R152" i="2"/>
  <c r="Q152" i="2"/>
  <c r="R151" i="2"/>
  <c r="Q151" i="2"/>
  <c r="R150" i="2"/>
  <c r="Q150" i="2"/>
  <c r="R149" i="2"/>
  <c r="Q149" i="2"/>
  <c r="R148" i="2"/>
  <c r="Q148" i="2"/>
  <c r="R147" i="2"/>
  <c r="Q147" i="2"/>
  <c r="R146" i="2"/>
  <c r="Q146" i="2"/>
  <c r="R145" i="2"/>
  <c r="Q145" i="2"/>
  <c r="R144" i="2"/>
  <c r="Q144" i="2"/>
  <c r="R143" i="2"/>
  <c r="Q143" i="2"/>
  <c r="R142" i="2"/>
  <c r="Q142" i="2"/>
  <c r="R141" i="2"/>
  <c r="Q141" i="2"/>
  <c r="R140" i="2"/>
  <c r="Q140" i="2"/>
  <c r="R139" i="2"/>
  <c r="Q139" i="2"/>
  <c r="R138" i="2"/>
  <c r="Q138" i="2"/>
  <c r="R137" i="2"/>
  <c r="Q137" i="2"/>
  <c r="R136" i="2"/>
  <c r="Q136" i="2"/>
  <c r="R135" i="2"/>
  <c r="Q135" i="2"/>
  <c r="R134" i="2"/>
  <c r="Q134" i="2"/>
  <c r="R133" i="2"/>
  <c r="Q133" i="2"/>
  <c r="R132" i="2"/>
  <c r="Q132" i="2"/>
  <c r="R131" i="2"/>
  <c r="Q131" i="2"/>
  <c r="R130" i="2"/>
  <c r="Q130" i="2"/>
  <c r="R129" i="2"/>
  <c r="Q129" i="2"/>
  <c r="R128" i="2"/>
  <c r="Q128" i="2"/>
  <c r="R127" i="2"/>
  <c r="Q127" i="2"/>
  <c r="R126" i="2"/>
  <c r="Q126" i="2"/>
  <c r="R125" i="2"/>
  <c r="Q125" i="2"/>
  <c r="R124" i="2"/>
  <c r="Q124" i="2"/>
  <c r="R123" i="2"/>
  <c r="Q123" i="2"/>
  <c r="R122" i="2"/>
  <c r="Q122" i="2"/>
  <c r="R121" i="2"/>
  <c r="Q121" i="2"/>
  <c r="R120" i="2"/>
  <c r="Q120" i="2"/>
  <c r="R119" i="2"/>
  <c r="Q119" i="2"/>
  <c r="R118" i="2"/>
  <c r="Q118" i="2"/>
  <c r="R117" i="2"/>
  <c r="Q117" i="2"/>
  <c r="R116" i="2"/>
  <c r="Q116" i="2"/>
  <c r="R115" i="2"/>
  <c r="Q115" i="2"/>
  <c r="R114" i="2"/>
  <c r="Q114" i="2"/>
  <c r="R113" i="2"/>
  <c r="Q113" i="2"/>
  <c r="R112" i="2"/>
  <c r="Q112" i="2"/>
  <c r="R111" i="2"/>
  <c r="Q111" i="2"/>
  <c r="R110" i="2"/>
  <c r="Q110" i="2"/>
  <c r="R109" i="2"/>
  <c r="Q109" i="2"/>
  <c r="R108" i="2"/>
  <c r="Q108" i="2"/>
  <c r="R107" i="2"/>
  <c r="Q107" i="2"/>
  <c r="R106" i="2"/>
  <c r="Q106" i="2"/>
  <c r="R105" i="2"/>
  <c r="Q105" i="2"/>
  <c r="R104" i="2"/>
  <c r="Q104" i="2"/>
  <c r="R103" i="2"/>
  <c r="Q103" i="2"/>
  <c r="R102" i="2"/>
  <c r="Q102" i="2"/>
  <c r="R101" i="2"/>
  <c r="Q101" i="2"/>
  <c r="R100" i="2"/>
  <c r="Q100" i="2"/>
  <c r="R99" i="2"/>
  <c r="Q99" i="2"/>
  <c r="R98" i="2"/>
  <c r="Q98" i="2"/>
  <c r="R97" i="2"/>
  <c r="Q97" i="2"/>
  <c r="R96" i="2"/>
  <c r="Q96" i="2"/>
  <c r="R95" i="2"/>
  <c r="Q95" i="2"/>
  <c r="R94" i="2"/>
  <c r="Q94" i="2"/>
  <c r="R93" i="2"/>
  <c r="Q93" i="2"/>
  <c r="R92" i="2"/>
  <c r="Q92" i="2"/>
  <c r="R91" i="2"/>
  <c r="Q91" i="2"/>
  <c r="R90" i="2"/>
  <c r="Q90" i="2"/>
  <c r="R89" i="2"/>
  <c r="Q89" i="2"/>
  <c r="R88" i="2"/>
  <c r="Q88" i="2"/>
  <c r="R87" i="2"/>
  <c r="Q87" i="2"/>
  <c r="R86" i="2"/>
  <c r="Q86" i="2"/>
  <c r="R85" i="2"/>
  <c r="Q85" i="2"/>
  <c r="R84" i="2"/>
  <c r="Q84" i="2"/>
  <c r="R83" i="2"/>
  <c r="Q83" i="2"/>
  <c r="R82" i="2"/>
  <c r="Q82" i="2"/>
  <c r="R81" i="2"/>
  <c r="Q81" i="2"/>
  <c r="R80" i="2"/>
  <c r="Q80" i="2"/>
  <c r="R79" i="2"/>
  <c r="Q79" i="2"/>
  <c r="R78" i="2"/>
  <c r="Q78" i="2"/>
  <c r="R77" i="2"/>
  <c r="Q77" i="2"/>
  <c r="R76" i="2"/>
  <c r="Q76" i="2"/>
  <c r="R75" i="2"/>
  <c r="Q75" i="2"/>
  <c r="R74" i="2"/>
  <c r="Q74" i="2"/>
  <c r="R73" i="2"/>
  <c r="Q73" i="2"/>
  <c r="R72" i="2"/>
  <c r="Q72" i="2"/>
  <c r="R71" i="2"/>
  <c r="Q71" i="2"/>
  <c r="R70" i="2"/>
  <c r="Q70" i="2"/>
  <c r="R69" i="2"/>
  <c r="Q69" i="2"/>
  <c r="R68" i="2"/>
  <c r="Q68" i="2"/>
  <c r="R67" i="2"/>
  <c r="Q67" i="2"/>
  <c r="R66" i="2"/>
  <c r="Q66" i="2"/>
  <c r="R65" i="2"/>
  <c r="Q65" i="2"/>
  <c r="R64" i="2"/>
  <c r="Q64" i="2"/>
  <c r="R63" i="2"/>
  <c r="Q63" i="2"/>
  <c r="R62" i="2"/>
  <c r="Q62" i="2"/>
  <c r="R61" i="2"/>
  <c r="Q61" i="2"/>
  <c r="R60" i="2"/>
  <c r="Q60" i="2"/>
  <c r="R59" i="2"/>
  <c r="Q59" i="2"/>
  <c r="R58" i="2"/>
  <c r="Q58" i="2"/>
  <c r="R57" i="2"/>
  <c r="Q57" i="2"/>
  <c r="R56" i="2"/>
  <c r="Q56" i="2"/>
  <c r="R55" i="2"/>
  <c r="Q55" i="2"/>
  <c r="R54" i="2"/>
  <c r="Q54" i="2"/>
  <c r="R53" i="2"/>
  <c r="Q53" i="2"/>
  <c r="R52" i="2"/>
  <c r="Q52" i="2"/>
  <c r="R51" i="2"/>
  <c r="Q51" i="2"/>
  <c r="R50" i="2"/>
  <c r="Q50" i="2"/>
  <c r="R49" i="2"/>
  <c r="Q49" i="2"/>
  <c r="R48" i="2"/>
  <c r="Q48" i="2"/>
  <c r="R47" i="2"/>
  <c r="Q47" i="2"/>
  <c r="R46" i="2"/>
  <c r="Q46" i="2"/>
  <c r="R45" i="2"/>
  <c r="Q45" i="2"/>
  <c r="R44" i="2"/>
  <c r="Q44" i="2"/>
  <c r="R43" i="2"/>
  <c r="Q43" i="2"/>
  <c r="R42" i="2"/>
  <c r="Q42" i="2"/>
  <c r="R41" i="2"/>
  <c r="Q41" i="2"/>
  <c r="R40" i="2"/>
  <c r="Q40" i="2"/>
  <c r="R39" i="2"/>
  <c r="Q39" i="2"/>
  <c r="R38" i="2"/>
  <c r="Q38" i="2"/>
  <c r="R37" i="2"/>
  <c r="Q37" i="2"/>
  <c r="R36" i="2"/>
  <c r="Q36" i="2"/>
  <c r="R35" i="2"/>
  <c r="Q35" i="2"/>
  <c r="R34" i="2"/>
  <c r="Q34" i="2"/>
  <c r="R33" i="2"/>
  <c r="Q33" i="2"/>
  <c r="R32" i="2"/>
  <c r="Q32" i="2"/>
  <c r="R31" i="2"/>
  <c r="Q31" i="2"/>
  <c r="R30" i="2"/>
  <c r="Q30" i="2"/>
  <c r="R29" i="2"/>
  <c r="Q29" i="2"/>
  <c r="R28" i="2"/>
  <c r="Q28" i="2"/>
  <c r="R27" i="2"/>
  <c r="Q27" i="2"/>
  <c r="R26" i="2"/>
  <c r="Q26" i="2"/>
  <c r="R25" i="2"/>
  <c r="Q25" i="2"/>
  <c r="R24" i="2"/>
  <c r="Q24" i="2"/>
  <c r="R23" i="2"/>
  <c r="Q23" i="2"/>
  <c r="R22" i="2"/>
  <c r="Q22" i="2"/>
  <c r="R21" i="2"/>
  <c r="Q21" i="2"/>
  <c r="R20" i="2"/>
  <c r="Q20" i="2"/>
  <c r="R19" i="2"/>
  <c r="Q19" i="2"/>
  <c r="R18" i="2"/>
  <c r="Q18" i="2"/>
  <c r="R17" i="2"/>
  <c r="Q17" i="2"/>
  <c r="R16" i="2"/>
  <c r="Q16" i="2"/>
  <c r="R15" i="2"/>
  <c r="Q15" i="2"/>
  <c r="R14" i="2"/>
  <c r="Q14" i="2"/>
  <c r="R13" i="2"/>
  <c r="Q13" i="2"/>
  <c r="R12" i="2"/>
  <c r="Q12" i="2"/>
  <c r="R11" i="2"/>
  <c r="Q11" i="2"/>
  <c r="R10" i="2"/>
  <c r="Q10" i="2"/>
  <c r="R9" i="2"/>
  <c r="Q9" i="2"/>
  <c r="R8" i="2"/>
  <c r="Q8" i="2"/>
  <c r="R7" i="2"/>
  <c r="Q7" i="2"/>
  <c r="R6" i="2"/>
  <c r="Q6" i="2"/>
  <c r="R5" i="2"/>
  <c r="Q5" i="2"/>
  <c r="R4" i="2"/>
  <c r="Q4" i="2"/>
  <c r="R3" i="2"/>
  <c r="Q3" i="2"/>
  <c r="U5" i="2" s="1"/>
  <c r="F20" i="7"/>
  <c r="F21" i="7"/>
  <c r="F22" i="7"/>
  <c r="F19" i="7"/>
  <c r="F18" i="7"/>
  <c r="E22" i="7"/>
  <c r="E21" i="7"/>
  <c r="E20" i="7"/>
  <c r="E19" i="7"/>
  <c r="E18" i="7"/>
  <c r="G8" i="8"/>
  <c r="G10" i="8"/>
  <c r="G9" i="8"/>
  <c r="G7" i="8"/>
  <c r="G6" i="8"/>
  <c r="H10" i="3"/>
  <c r="H11" i="3"/>
  <c r="H12" i="3"/>
  <c r="H13" i="3"/>
  <c r="H9" i="3"/>
  <c r="G10" i="3"/>
  <c r="G9" i="3"/>
  <c r="G13" i="3"/>
  <c r="G12" i="3"/>
  <c r="G11" i="3"/>
  <c r="G4" i="3"/>
  <c r="G5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3" i="3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3" i="2"/>
  <c r="C3" i="2"/>
  <c r="I10" i="2" s="1"/>
  <c r="J10" i="2" s="1"/>
  <c r="C4" i="2"/>
  <c r="C5" i="2"/>
  <c r="B2" i="4" s="1"/>
  <c r="C6" i="2"/>
  <c r="Z6" i="2" s="1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B19" i="7" s="1"/>
  <c r="B7" i="8" s="1"/>
  <c r="C254" i="2"/>
  <c r="C255" i="2"/>
  <c r="C256" i="2"/>
  <c r="C257" i="2"/>
  <c r="C258" i="2"/>
  <c r="I11" i="2" s="1"/>
  <c r="J11" i="2" s="1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AJ19" i="2" s="1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B21" i="7" s="1"/>
  <c r="H21" i="7" s="1"/>
  <c r="C745" i="2"/>
  <c r="C746" i="2"/>
  <c r="C747" i="2"/>
  <c r="C748" i="2"/>
  <c r="I13" i="2" s="1"/>
  <c r="J13" i="2" s="1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B10" i="8" s="1"/>
  <c r="C994" i="2"/>
  <c r="AJ21" i="2" s="1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AQ19" i="2" l="1"/>
  <c r="I7" i="8"/>
  <c r="C19" i="7"/>
  <c r="AO18" i="2"/>
  <c r="AO20" i="2"/>
  <c r="C21" i="7"/>
  <c r="I9" i="8"/>
  <c r="C18" i="7"/>
  <c r="AO17" i="2"/>
  <c r="I6" i="8"/>
  <c r="AQ21" i="2"/>
  <c r="B1" i="4"/>
  <c r="I12" i="2"/>
  <c r="J12" i="2" s="1"/>
  <c r="U9" i="2"/>
  <c r="V9" i="2" s="1"/>
  <c r="AM17" i="2" s="1"/>
  <c r="B20" i="7"/>
  <c r="B8" i="8" s="1"/>
  <c r="U12" i="2"/>
  <c r="V12" i="2" s="1"/>
  <c r="AM20" i="2" s="1"/>
  <c r="F5" i="2"/>
  <c r="B9" i="8"/>
  <c r="AJ20" i="2"/>
  <c r="AQ20" i="2" s="1"/>
  <c r="Z7" i="2"/>
  <c r="B6" i="8"/>
  <c r="V4" i="2"/>
  <c r="G5" i="2"/>
  <c r="U4" i="2"/>
  <c r="F6" i="2"/>
  <c r="V5" i="2"/>
  <c r="G6" i="2"/>
  <c r="I14" i="2"/>
  <c r="J14" i="2" s="1"/>
  <c r="B22" i="7"/>
  <c r="H22" i="7" s="1"/>
  <c r="U10" i="2"/>
  <c r="V10" i="2" s="1"/>
  <c r="AM18" i="2" s="1"/>
  <c r="AQ18" i="2" s="1"/>
  <c r="B1" i="6"/>
  <c r="B18" i="7"/>
  <c r="H18" i="7" s="1"/>
  <c r="AJ17" i="2"/>
  <c r="AQ17" i="2" s="1"/>
  <c r="H20" i="7"/>
  <c r="H19" i="7"/>
  <c r="H5" i="3"/>
  <c r="H4" i="3"/>
  <c r="C22" i="7" l="1"/>
  <c r="AO21" i="2"/>
  <c r="I10" i="8"/>
  <c r="C20" i="7"/>
  <c r="I8" i="8"/>
  <c r="AO19" i="2"/>
</calcChain>
</file>

<file path=xl/sharedStrings.xml><?xml version="1.0" encoding="utf-8"?>
<sst xmlns="http://schemas.openxmlformats.org/spreadsheetml/2006/main" count="203" uniqueCount="86">
  <si>
    <t>Date</t>
  </si>
  <si>
    <t>Open Price</t>
  </si>
  <si>
    <t>High Price</t>
  </si>
  <si>
    <t>Low Price</t>
  </si>
  <si>
    <t>Close Price</t>
  </si>
  <si>
    <t>WAP</t>
  </si>
  <si>
    <t>No.of Shares</t>
  </si>
  <si>
    <t>No. of Trades</t>
  </si>
  <si>
    <t>Total Turnover (Rs.)</t>
  </si>
  <si>
    <t>Deliverable Quantity</t>
  </si>
  <si>
    <t>% Deli. Qty to Traded Qty</t>
  </si>
  <si>
    <t>Spread High-Low</t>
  </si>
  <si>
    <t>Spread Close-Open</t>
  </si>
  <si>
    <t>-</t>
  </si>
  <si>
    <t>Average Daily Stock Returns</t>
  </si>
  <si>
    <t>Daily Market Returns</t>
  </si>
  <si>
    <t>Daily Stock Returns</t>
  </si>
  <si>
    <t>Daily Stock Returns%</t>
  </si>
  <si>
    <t>Standard Deviation of daily Stock Returns</t>
  </si>
  <si>
    <t>Daily Market Returns%</t>
  </si>
  <si>
    <t>Returns</t>
  </si>
  <si>
    <t>Returns%</t>
  </si>
  <si>
    <t>Covariance between the stock returns and market returns</t>
  </si>
  <si>
    <t>Correlation coefficient between the stock returns and market returns</t>
  </si>
  <si>
    <t>Average Daily Market Returns</t>
  </si>
  <si>
    <t>Standard Deviation of daily Market Returns</t>
  </si>
  <si>
    <t>Open</t>
  </si>
  <si>
    <t>High</t>
  </si>
  <si>
    <t>Low</t>
  </si>
  <si>
    <t>Close</t>
  </si>
  <si>
    <t>Points Change</t>
  </si>
  <si>
    <t>Change(%)</t>
  </si>
  <si>
    <t>Volume(Cr.)</t>
  </si>
  <si>
    <t>Turnover (Rs.Cr.)</t>
  </si>
  <si>
    <t>P/E</t>
  </si>
  <si>
    <t>P/B</t>
  </si>
  <si>
    <t>Div Yield</t>
  </si>
  <si>
    <t>Beta</t>
  </si>
  <si>
    <t>COVARIANCE.S(Company_Returns,Market_Returns)/VAR.S(Market_Returns)</t>
  </si>
  <si>
    <r>
      <t xml:space="preserve">This means Dynamic Cables Ltd. has </t>
    </r>
    <r>
      <rPr>
        <b/>
        <sz val="11"/>
        <color theme="1"/>
        <rFont val="Calibri"/>
        <family val="2"/>
        <scheme val="minor"/>
      </rPr>
      <t>slightly lower systematic risk than the market</t>
    </r>
    <r>
      <rPr>
        <sz val="11"/>
        <color theme="1"/>
        <rFont val="Calibri"/>
        <family val="2"/>
        <scheme val="minor"/>
      </rPr>
      <t>.</t>
    </r>
  </si>
  <si>
    <r>
      <t>β = 1</t>
    </r>
    <r>
      <rPr>
        <sz val="11"/>
        <color theme="1"/>
        <rFont val="Calibri"/>
        <family val="2"/>
        <scheme val="minor"/>
      </rPr>
      <t xml:space="preserve"> → moves approximately in line with the market</t>
    </r>
  </si>
  <si>
    <r>
      <t>β &gt; 1</t>
    </r>
    <r>
      <rPr>
        <sz val="11"/>
        <color theme="1"/>
        <rFont val="Calibri"/>
        <family val="2"/>
        <scheme val="minor"/>
      </rPr>
      <t xml:space="preserve"> → more sensitive/risky than the market</t>
    </r>
  </si>
  <si>
    <r>
      <t>β &lt; 1</t>
    </r>
    <r>
      <rPr>
        <sz val="11"/>
        <color theme="1"/>
        <rFont val="Calibri"/>
        <family val="2"/>
        <scheme val="minor"/>
      </rPr>
      <t xml:space="preserve"> → less sensitive than the market</t>
    </r>
  </si>
  <si>
    <r>
      <t>β = 0.94</t>
    </r>
    <r>
      <rPr>
        <sz val="11"/>
        <color theme="1"/>
        <rFont val="Calibri"/>
        <family val="2"/>
        <scheme val="minor"/>
      </rPr>
      <t xml:space="preserve"> → if the market moves by 1%, Dynamic Cables would theoretically be expected to move by about </t>
    </r>
    <r>
      <rPr>
        <b/>
        <sz val="11"/>
        <color theme="1"/>
        <rFont val="Calibri"/>
        <family val="2"/>
        <scheme val="minor"/>
      </rPr>
      <t>0.94% in the same direction</t>
    </r>
    <r>
      <rPr>
        <sz val="11"/>
        <color theme="1"/>
        <rFont val="Calibri"/>
        <family val="2"/>
        <scheme val="minor"/>
      </rPr>
      <t>, on average.</t>
    </r>
  </si>
  <si>
    <t>Dynamic Cables Ltd. has a beta of approximately 0.94, indicating that the stock has slightly lower systematic risk than the market.  movements is slightly lower.</t>
  </si>
  <si>
    <t>The stock tends to move in the same direction as the market, but its sensitivity to market</t>
  </si>
  <si>
    <t>So we can say that:</t>
  </si>
  <si>
    <t xml:space="preserve"> βi​  -</t>
  </si>
  <si>
    <t>E(Ri​)=Rf​+βi​(Rm​−Rf​)​</t>
  </si>
  <si>
    <t>E(Ri​) = Expected return of the company</t>
  </si>
  <si>
    <r>
      <t xml:space="preserve">Rf​ = Risk-free rate = </t>
    </r>
    <r>
      <rPr>
        <b/>
        <sz val="11"/>
        <color theme="1"/>
        <rFont val="Calibri"/>
        <family val="2"/>
        <scheme val="minor"/>
      </rPr>
      <t>6.72%</t>
    </r>
  </si>
  <si>
    <t>βi​ = Beta of the company</t>
  </si>
  <si>
    <t>Rm​ = Annual market return</t>
  </si>
  <si>
    <t>Market Return</t>
  </si>
  <si>
    <t>year1 01-01-21 to 31-12-21</t>
  </si>
  <si>
    <t>year 2 01-01-22 to 31-12-22</t>
  </si>
  <si>
    <t>year 3 01-01-23 to 31-12-23</t>
  </si>
  <si>
    <t>year 4 01-01-24 to 31-12-24</t>
  </si>
  <si>
    <t>year 5 01-01-25 to 31-12-25</t>
  </si>
  <si>
    <t>Year</t>
  </si>
  <si>
    <t>CAPM Expected</t>
  </si>
  <si>
    <t>Interpretation</t>
  </si>
  <si>
    <t>Year 1</t>
  </si>
  <si>
    <t>Year 2</t>
  </si>
  <si>
    <t>Year 3</t>
  </si>
  <si>
    <t>Year 4</t>
  </si>
  <si>
    <t>Year 5</t>
  </si>
  <si>
    <t>Years</t>
  </si>
  <si>
    <t>For 5 years</t>
  </si>
  <si>
    <t>Lower market sensitivity</t>
  </si>
  <si>
    <t>Approximately same sensitivity as market</t>
  </si>
  <si>
    <t>Much higher market sensitivity</t>
  </si>
  <si>
    <t>Stock Return</t>
  </si>
  <si>
    <t>5 Year Beta</t>
  </si>
  <si>
    <t>Rf​ = Risk-free rate = 6.72%</t>
  </si>
  <si>
    <t xml:space="preserve">1. Capital Asset Pricing Model (CAPM) With 5 year Beta </t>
  </si>
  <si>
    <t xml:space="preserve">Capital Asset Pricing Model (CAPM) With Per year Beta for 5 years </t>
  </si>
  <si>
    <t>Daiy Stock Return</t>
  </si>
  <si>
    <t>Annualized daily Return</t>
  </si>
  <si>
    <t>Daily Market Return</t>
  </si>
  <si>
    <t>Annualized Market Return</t>
  </si>
  <si>
    <t>Annualized Daily Return</t>
  </si>
  <si>
    <t>Annualized Stock Return</t>
  </si>
  <si>
    <t>Annualized Market Return %</t>
  </si>
  <si>
    <t>Above</t>
  </si>
  <si>
    <t>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</si>
</sst>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E+00"/>
    <numFmt numFmtId="165" formatCode="0.0000000"/>
    <numFmt numFmtId="166" formatCode="0.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15" fontId="0" fillId="0" borderId="0" xfId="0" applyNumberFormat="1"/>
    <xf numFmtId="10" fontId="0" fillId="0" borderId="0" xfId="42" applyNumberFormat="1" applyFont="1"/>
    <xf numFmtId="0" fontId="16" fillId="0" borderId="0" xfId="0" applyFont="1"/>
    <xf numFmtId="0" fontId="0" fillId="0" borderId="0" xfId="42" applyNumberFormat="1" applyFont="1"/>
    <xf numFmtId="164" fontId="0" fillId="0" borderId="0" xfId="0" applyNumberFormat="1"/>
    <xf numFmtId="0" fontId="0" fillId="0" borderId="0" xfId="0" applyAlignment="1">
      <alignment horizontal="left" vertical="center" indent="1"/>
    </xf>
    <xf numFmtId="0" fontId="16" fillId="0" borderId="0" xfId="0" applyFont="1" applyAlignment="1">
      <alignment horizontal="left" vertical="center" inden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horizontal="right" vertical="center" wrapText="1"/>
    </xf>
    <xf numFmtId="166" fontId="0" fillId="0" borderId="0" xfId="0" applyNumberFormat="1"/>
    <xf numFmtId="165" fontId="0" fillId="0" borderId="0" xfId="0" applyNumberFormat="1" applyAlignment="1">
      <alignment horizontal="right" vertical="center" wrapText="1"/>
    </xf>
    <xf numFmtId="2" fontId="0" fillId="0" borderId="0" xfId="0" applyNumberFormat="1"/>
    <xf numFmtId="10" fontId="0" fillId="0" borderId="0" xfId="0" applyNumberFormat="1"/>
    <xf numFmtId="0" fontId="16" fillId="0" borderId="0" xfId="0" applyFont="1" applyAlignment="1">
      <alignment vertical="center"/>
    </xf>
    <xf numFmtId="0" fontId="0" fillId="33" borderId="0" xfId="0" applyFill="1"/>
    <xf numFmtId="0" fontId="19" fillId="33" borderId="0" xfId="0" applyFont="1" applyFill="1"/>
    <xf numFmtId="0" fontId="16" fillId="33" borderId="0" xfId="0" applyFont="1" applyFill="1"/>
    <xf numFmtId="10" fontId="0" fillId="33" borderId="0" xfId="42" applyNumberFormat="1" applyFont="1" applyFill="1"/>
    <xf numFmtId="0" fontId="0" fillId="33" borderId="0" xfId="42" applyNumberFormat="1" applyFont="1" applyFill="1"/>
    <xf numFmtId="0" fontId="0" fillId="34" borderId="0" xfId="0" applyFill="1"/>
    <xf numFmtId="0" fontId="16" fillId="34" borderId="0" xfId="0" applyFont="1" applyFill="1"/>
    <xf numFmtId="164" fontId="0" fillId="34" borderId="0" xfId="0" applyNumberFormat="1" applyFill="1"/>
    <xf numFmtId="0" fontId="0" fillId="35" borderId="0" xfId="0" applyFill="1"/>
    <xf numFmtId="0" fontId="16" fillId="35" borderId="0" xfId="0" applyFont="1" applyFill="1" applyAlignment="1">
      <alignment vertical="center"/>
    </xf>
    <xf numFmtId="0" fontId="0" fillId="35" borderId="0" xfId="42" applyNumberFormat="1" applyFont="1" applyFill="1"/>
    <xf numFmtId="0" fontId="16" fillId="35" borderId="0" xfId="0" applyFont="1" applyFill="1"/>
    <xf numFmtId="0" fontId="16" fillId="35" borderId="0" xfId="0" applyFont="1" applyFill="1" applyAlignment="1">
      <alignment horizontal="center" vertical="center" wrapText="1"/>
    </xf>
    <xf numFmtId="0" fontId="16" fillId="35" borderId="0" xfId="0" applyFont="1" applyFill="1" applyAlignment="1">
      <alignment horizontal="left" vertical="center" indent="1"/>
    </xf>
    <xf numFmtId="0" fontId="0" fillId="35" borderId="0" xfId="0" applyFill="1" applyAlignment="1">
      <alignment vertical="center" wrapText="1"/>
    </xf>
    <xf numFmtId="0" fontId="16" fillId="35" borderId="10" xfId="0" applyFont="1" applyFill="1" applyBorder="1"/>
    <xf numFmtId="0" fontId="0" fillId="35" borderId="10" xfId="0" applyFill="1" applyBorder="1"/>
    <xf numFmtId="0" fontId="16" fillId="35" borderId="10" xfId="0" applyFont="1" applyFill="1" applyBorder="1" applyAlignment="1">
      <alignment horizontal="right" vertical="center" wrapText="1"/>
    </xf>
    <xf numFmtId="0" fontId="16" fillId="35" borderId="10" xfId="0" applyFont="1" applyFill="1" applyBorder="1" applyAlignment="1">
      <alignment horizontal="center" vertical="center" wrapText="1"/>
    </xf>
    <xf numFmtId="10" fontId="0" fillId="35" borderId="10" xfId="0" applyNumberFormat="1" applyFill="1" applyBorder="1" applyAlignment="1">
      <alignment horizontal="right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ill>
        <patternFill patternType="none">
          <fgColor indexed="64"/>
          <bgColor indexed="65"/>
        </patternFill>
      </fill>
    </dxf>
    <dxf>
      <numFmt numFmtId="20" formatCode="dd/mmm/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ill>
        <patternFill patternType="none">
          <fgColor indexed="64"/>
          <bgColor indexed="65"/>
        </patternFill>
      </fill>
    </dxf>
    <dxf>
      <numFmt numFmtId="20" formatCode="dd/m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ill>
        <patternFill patternType="none">
          <fgColor indexed="64"/>
          <bgColor indexed="65"/>
        </patternFill>
      </fill>
    </dxf>
    <dxf>
      <numFmt numFmtId="20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255905</xdr:colOff>
      <xdr:row>11</xdr:row>
      <xdr:rowOff>100647</xdr:rowOff>
    </xdr:from>
    <xdr:to>
      <xdr:col>32</xdr:col>
      <xdr:colOff>454025</xdr:colOff>
      <xdr:row>26</xdr:row>
      <xdr:rowOff>108268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6C859AB-3261-4DE5-ABAD-B1BC58EB5EE6}"/>
            </a:ext>
          </a:extLst>
        </xdr:cNvPr>
        <xdr:cNvSpPr txBox="1"/>
      </xdr:nvSpPr>
      <xdr:spPr>
        <a:xfrm>
          <a:off x="24092218" y="2156460"/>
          <a:ext cx="7365682" cy="27460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Covariance</a:t>
          </a:r>
        </a:p>
        <a:p>
          <a:r>
            <a:rPr lang="en-IN"/>
            <a:t>The covariance between Dynamic Cables' stock returns and market returns is </a:t>
          </a:r>
          <a:r>
            <a:rPr lang="en-IN" b="1"/>
            <a:t>0.0000732915</a:t>
          </a:r>
          <a:r>
            <a:rPr lang="en-IN"/>
            <a:t>, which is </a:t>
          </a:r>
          <a:r>
            <a:rPr lang="en-IN" b="1"/>
            <a:t>positive</a:t>
          </a:r>
          <a:r>
            <a:rPr lang="en-IN"/>
            <a:t>.</a:t>
          </a:r>
        </a:p>
        <a:p>
          <a:r>
            <a:rPr lang="en-IN"/>
            <a:t>This indicates that Dynamic Cables' returns generally tend to move in the </a:t>
          </a:r>
          <a:r>
            <a:rPr lang="en-IN" b="1"/>
            <a:t>same direction as the market</a:t>
          </a:r>
          <a:r>
            <a:rPr lang="en-IN"/>
            <a:t>. When market returns increase, Dynamic Cables tends to have higher returns, and when market returns decrease, the stock tends to move downward as well.</a:t>
          </a:r>
        </a:p>
        <a:p>
          <a:r>
            <a:rPr lang="en-IN"/>
            <a:t>However, covariance by itself does not tell us the strength of the relationship because its magnitude depends on the units of the variables.</a:t>
          </a:r>
        </a:p>
        <a:p>
          <a:r>
            <a:rPr lang="en-IN" b="1"/>
            <a:t>4. Correlation Coefficient</a:t>
          </a:r>
        </a:p>
        <a:p>
          <a:r>
            <a:rPr lang="en-IN"/>
            <a:t>The correlation coefficient is </a:t>
          </a:r>
          <a:r>
            <a:rPr lang="en-IN" b="1"/>
            <a:t>0.2128</a:t>
          </a:r>
          <a:r>
            <a:rPr lang="en-IN"/>
            <a:t>.</a:t>
          </a:r>
        </a:p>
        <a:p>
          <a:r>
            <a:rPr lang="en-IN"/>
            <a:t>Since the value is positive but relatively close to zero, it indicates a </a:t>
          </a:r>
          <a:r>
            <a:rPr lang="en-IN" b="1"/>
            <a:t>weak positive relationship</a:t>
          </a:r>
          <a:r>
            <a:rPr lang="en-IN"/>
            <a:t> between Dynamic Cables' stock returns and market returns.</a:t>
          </a:r>
        </a:p>
        <a:p>
          <a:r>
            <a:rPr lang="en-IN"/>
            <a:t>In simple terms, Dynamic Cables tends to move in the same direction as the market, but </a:t>
          </a:r>
          <a:r>
            <a:rPr lang="en-IN" b="1"/>
            <a:t>the relationship is not strong</a:t>
          </a:r>
          <a:r>
            <a:rPr lang="en-IN"/>
            <a:t>. This suggests that factors other than overall market movements may have a significant influence on the company's stock returns.</a:t>
          </a:r>
        </a:p>
        <a:p>
          <a:endParaRPr lang="en-IN" sz="1100"/>
        </a:p>
      </xdr:txBody>
    </xdr:sp>
    <xdr:clientData/>
  </xdr:twoCellAnchor>
  <xdr:twoCellAnchor>
    <xdr:from>
      <xdr:col>5</xdr:col>
      <xdr:colOff>346393</xdr:colOff>
      <xdr:row>0</xdr:row>
      <xdr:rowOff>25400</xdr:rowOff>
    </xdr:from>
    <xdr:to>
      <xdr:col>7</xdr:col>
      <xdr:colOff>1143000</xdr:colOff>
      <xdr:row>2</xdr:row>
      <xdr:rowOff>175260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A376FAB-60F8-9CF2-9CB1-70907894650F}"/>
            </a:ext>
          </a:extLst>
        </xdr:cNvPr>
        <xdr:cNvSpPr txBox="1"/>
      </xdr:nvSpPr>
      <xdr:spPr>
        <a:xfrm>
          <a:off x="7448233" y="25400"/>
          <a:ext cx="2015807" cy="5613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3200" b="1"/>
            <a:t>     Stock</a:t>
          </a:r>
        </a:p>
      </xdr:txBody>
    </xdr:sp>
    <xdr:clientData/>
  </xdr:twoCellAnchor>
  <xdr:twoCellAnchor>
    <xdr:from>
      <xdr:col>19</xdr:col>
      <xdr:colOff>881062</xdr:colOff>
      <xdr:row>0</xdr:row>
      <xdr:rowOff>53339</xdr:rowOff>
    </xdr:from>
    <xdr:to>
      <xdr:col>19</xdr:col>
      <xdr:colOff>3127375</xdr:colOff>
      <xdr:row>2</xdr:row>
      <xdr:rowOff>175260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C5988D3-01A5-C8B1-B5AC-E1E0E1268828}"/>
            </a:ext>
          </a:extLst>
        </xdr:cNvPr>
        <xdr:cNvSpPr txBox="1"/>
      </xdr:nvSpPr>
      <xdr:spPr>
        <a:xfrm>
          <a:off x="21180742" y="53339"/>
          <a:ext cx="2246313" cy="5334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3200" b="1"/>
            <a:t>     Market</a:t>
          </a:r>
        </a:p>
      </xdr:txBody>
    </xdr:sp>
    <xdr:clientData/>
  </xdr:twoCellAnchor>
  <xdr:twoCellAnchor>
    <xdr:from>
      <xdr:col>24</xdr:col>
      <xdr:colOff>1317625</xdr:colOff>
      <xdr:row>1</xdr:row>
      <xdr:rowOff>71437</xdr:rowOff>
    </xdr:from>
    <xdr:to>
      <xdr:col>28</xdr:col>
      <xdr:colOff>277813</xdr:colOff>
      <xdr:row>4</xdr:row>
      <xdr:rowOff>95251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1668B43-1F91-A2C3-24F1-6565E1E79D67}"/>
            </a:ext>
          </a:extLst>
        </xdr:cNvPr>
        <xdr:cNvSpPr txBox="1"/>
      </xdr:nvSpPr>
      <xdr:spPr>
        <a:xfrm>
          <a:off x="25153938" y="254000"/>
          <a:ext cx="3683000" cy="6191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400" b="1"/>
            <a:t>Covariance and Correlation</a:t>
          </a:r>
        </a:p>
      </xdr:txBody>
    </xdr:sp>
    <xdr:clientData/>
  </xdr:twoCellAnchor>
  <xdr:twoCellAnchor>
    <xdr:from>
      <xdr:col>36</xdr:col>
      <xdr:colOff>1666875</xdr:colOff>
      <xdr:row>1</xdr:row>
      <xdr:rowOff>23813</xdr:rowOff>
    </xdr:from>
    <xdr:to>
      <xdr:col>41</xdr:col>
      <xdr:colOff>198437</xdr:colOff>
      <xdr:row>4</xdr:row>
      <xdr:rowOff>55563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99101C3-C28E-29C2-F852-95399585EB11}"/>
            </a:ext>
          </a:extLst>
        </xdr:cNvPr>
        <xdr:cNvSpPr txBox="1"/>
      </xdr:nvSpPr>
      <xdr:spPr>
        <a:xfrm>
          <a:off x="37742813" y="206376"/>
          <a:ext cx="3746499" cy="62706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800" b="1"/>
            <a:t>CAPM With</a:t>
          </a:r>
          <a:r>
            <a:rPr lang="en-IN" sz="2800" b="1" baseline="0"/>
            <a:t> </a:t>
          </a:r>
          <a:r>
            <a:rPr lang="en-IN" sz="2800" b="1"/>
            <a:t>5 Year</a:t>
          </a:r>
          <a:r>
            <a:rPr lang="en-IN" sz="2800" b="1" baseline="0"/>
            <a:t> Beta</a:t>
          </a:r>
          <a:endParaRPr lang="en-IN" sz="2800" b="1"/>
        </a:p>
      </xdr:txBody>
    </xdr:sp>
    <xdr:clientData/>
  </xdr:twoCellAnchor>
  <xdr:twoCellAnchor>
    <xdr:from>
      <xdr:col>34</xdr:col>
      <xdr:colOff>55565</xdr:colOff>
      <xdr:row>22</xdr:row>
      <xdr:rowOff>71438</xdr:rowOff>
    </xdr:from>
    <xdr:to>
      <xdr:col>46</xdr:col>
      <xdr:colOff>1002032</xdr:colOff>
      <xdr:row>35</xdr:row>
      <xdr:rowOff>60326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5ACBB3-6C28-4BF6-BFF9-9963D3F1C7D0}"/>
            </a:ext>
          </a:extLst>
        </xdr:cNvPr>
        <xdr:cNvSpPr txBox="1"/>
      </xdr:nvSpPr>
      <xdr:spPr>
        <a:xfrm>
          <a:off x="36488690" y="4270376"/>
          <a:ext cx="13098780" cy="2362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/>
            <a:t>Final Conclusion</a:t>
          </a:r>
        </a:p>
        <a:p>
          <a:r>
            <a:rPr lang="en-IN" sz="1200"/>
            <a:t>The CAPM analysis of </a:t>
          </a:r>
          <a:r>
            <a:rPr lang="en-IN" sz="1200" b="1"/>
            <a:t>Dynamic Cables Ltd.</a:t>
          </a:r>
          <a:r>
            <a:rPr lang="en-IN" sz="1200"/>
            <a:t> shows that the stock exhibited varying levels of systematic risk over the five-year period. The Beta values increased from </a:t>
          </a:r>
          <a:r>
            <a:rPr lang="en-IN" sz="1200" b="1"/>
            <a:t>0.59 in 2021</a:t>
          </a:r>
          <a:r>
            <a:rPr lang="en-IN" sz="1200"/>
            <a:t> to </a:t>
          </a:r>
          <a:r>
            <a:rPr lang="en-IN" sz="1200" b="1"/>
            <a:t>1.79 in 2025</a:t>
          </a:r>
          <a:r>
            <a:rPr lang="en-IN" sz="1200"/>
            <a:t>, indicating that the stock became increasingly sensitive to overall market movements. From 2021 to 2023, the stock had a Beta below 1, suggesting lower systematic risk than the market, while in 2024 the Beta was approximately 1, indicating market-level sensitivity. In 2025, the Beta rose significantly to 1.79, indicating substantially higher systematic risk.</a:t>
          </a:r>
        </a:p>
        <a:p>
          <a:r>
            <a:rPr lang="en-IN" sz="1200"/>
            <a:t>The stock's returns were </a:t>
          </a:r>
          <a:r>
            <a:rPr lang="en-IN" sz="1200" b="1"/>
            <a:t>above the CAPM expected return in 2021, 2022, 2023, and 2024</a:t>
          </a:r>
          <a:r>
            <a:rPr lang="en-IN" sz="1200"/>
            <a:t>, indicating that Dynamic Cables generated returns higher than those required for its level of systematic risk during these years. However, in </a:t>
          </a:r>
          <a:r>
            <a:rPr lang="en-IN" sz="1200" b="1"/>
            <a:t>2025</a:t>
          </a:r>
          <a:r>
            <a:rPr lang="en-IN" sz="1200"/>
            <a:t>, the stock generated a negative return of </a:t>
          </a:r>
          <a:r>
            <a:rPr lang="en-IN" sz="1200" b="1"/>
            <a:t>-51.29%</a:t>
          </a:r>
          <a:r>
            <a:rPr lang="en-IN" sz="1200"/>
            <a:t>, while the CAPM expected return was </a:t>
          </a:r>
          <a:r>
            <a:rPr lang="en-IN" sz="1200" b="1"/>
            <a:t>12.45%</a:t>
          </a:r>
          <a:r>
            <a:rPr lang="en-IN" sz="1200"/>
            <a:t>, meaning the actual return was significantly below the return expected for its level of risk.</a:t>
          </a:r>
        </a:p>
        <a:p>
          <a:r>
            <a:rPr lang="en-IN" sz="1200"/>
            <a:t>Overall, </a:t>
          </a:r>
          <a:r>
            <a:rPr lang="en-IN" sz="1200" b="1"/>
            <a:t>Dynamic Cables Ltd. delivered strong returns relative to CAPM expectations during 2021–2024, but its performance deteriorated sharply in 2025 while its market sensitivity increased considerably.</a:t>
          </a:r>
          <a:r>
            <a:rPr lang="en-IN" sz="1200"/>
            <a:t> Therefore, the stock provided attractive risk-adjusted performance in most of the period but showed significantly higher systematic risk and poor performance in 2025.</a:t>
          </a:r>
        </a:p>
        <a:p>
          <a:endParaRPr lang="en-IN" sz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144780</xdr:colOff>
      <xdr:row>3</xdr:row>
      <xdr:rowOff>60960</xdr:rowOff>
    </xdr:from>
    <xdr:to>
      <xdr:col>8</xdr:col>
      <xdr:colOff>342900</xdr:colOff>
      <xdr:row>18</xdr:row>
      <xdr:rowOff>68580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FBF9928-FF89-81EB-E4AF-3B729E58540C}"/>
            </a:ext>
          </a:extLst>
        </xdr:cNvPr>
        <xdr:cNvSpPr txBox="1"/>
      </xdr:nvSpPr>
      <xdr:spPr>
        <a:xfrm>
          <a:off x="144780" y="609600"/>
          <a:ext cx="13335000" cy="27508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Covariance</a:t>
          </a:r>
        </a:p>
        <a:p>
          <a:r>
            <a:rPr lang="en-IN"/>
            <a:t>The covariance between Dynamic Cables' stock returns and market returns is </a:t>
          </a:r>
          <a:r>
            <a:rPr lang="en-IN" b="1"/>
            <a:t>0.0000732915</a:t>
          </a:r>
          <a:r>
            <a:rPr lang="en-IN"/>
            <a:t>, which is </a:t>
          </a:r>
          <a:r>
            <a:rPr lang="en-IN" b="1"/>
            <a:t>positive</a:t>
          </a:r>
          <a:r>
            <a:rPr lang="en-IN"/>
            <a:t>.</a:t>
          </a:r>
        </a:p>
        <a:p>
          <a:r>
            <a:rPr lang="en-IN"/>
            <a:t>This indicates that Dynamic Cables' returns generally tend to move in the </a:t>
          </a:r>
          <a:r>
            <a:rPr lang="en-IN" b="1"/>
            <a:t>same direction as the market</a:t>
          </a:r>
          <a:r>
            <a:rPr lang="en-IN"/>
            <a:t>. When market returns increase, Dynamic Cables tends to have higher returns, and when market returns decrease, the stock tends to move downward as well.</a:t>
          </a:r>
        </a:p>
        <a:p>
          <a:r>
            <a:rPr lang="en-IN"/>
            <a:t>However, covariance by itself does not tell us the strength of the relationship because its magnitude depends on the units of the variables.</a:t>
          </a:r>
        </a:p>
        <a:p>
          <a:r>
            <a:rPr lang="en-IN" b="1"/>
            <a:t>4. Correlation Coefficient</a:t>
          </a:r>
        </a:p>
        <a:p>
          <a:r>
            <a:rPr lang="en-IN"/>
            <a:t>The correlation coefficient is </a:t>
          </a:r>
          <a:r>
            <a:rPr lang="en-IN" b="1"/>
            <a:t>0.2128</a:t>
          </a:r>
          <a:r>
            <a:rPr lang="en-IN"/>
            <a:t>.</a:t>
          </a:r>
        </a:p>
        <a:p>
          <a:r>
            <a:rPr lang="en-IN"/>
            <a:t>Since the value is positive but relatively close to zero, it indicates a </a:t>
          </a:r>
          <a:r>
            <a:rPr lang="en-IN" b="1"/>
            <a:t>weak positive relationship</a:t>
          </a:r>
          <a:r>
            <a:rPr lang="en-IN"/>
            <a:t> between Dynamic Cables' stock returns and market returns.</a:t>
          </a:r>
        </a:p>
        <a:p>
          <a:r>
            <a:rPr lang="en-IN"/>
            <a:t>In simple terms, Dynamic Cables tends to move in the same direction as the market, but </a:t>
          </a:r>
          <a:r>
            <a:rPr lang="en-IN" b="1"/>
            <a:t>the relationship is not strong</a:t>
          </a:r>
          <a:r>
            <a:rPr lang="en-IN"/>
            <a:t>. This suggests that factors other than overall market movements may have a significant influence on the company's stock returns.</a:t>
          </a:r>
        </a:p>
        <a:p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22860</xdr:rowOff>
    </xdr:from>
    <xdr:to>
      <xdr:col>9</xdr:col>
      <xdr:colOff>906780</xdr:colOff>
      <xdr:row>35</xdr:row>
      <xdr:rowOff>7620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0F7E2E0-1FD4-E959-EA50-B20F1FA543AF}"/>
            </a:ext>
          </a:extLst>
        </xdr:cNvPr>
        <xdr:cNvSpPr txBox="1"/>
      </xdr:nvSpPr>
      <xdr:spPr>
        <a:xfrm>
          <a:off x="0" y="4107180"/>
          <a:ext cx="12573000" cy="2362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/>
            <a:t>Final Conclusion</a:t>
          </a:r>
        </a:p>
        <a:p>
          <a:r>
            <a:rPr lang="en-IN" sz="1200"/>
            <a:t>The CAPM analysis of </a:t>
          </a:r>
          <a:r>
            <a:rPr lang="en-IN" sz="1200" b="1"/>
            <a:t>Dynamic Cables Ltd.</a:t>
          </a:r>
          <a:r>
            <a:rPr lang="en-IN" sz="1200"/>
            <a:t> shows that the stock exhibited varying levels of systematic risk over the five-year period. The Beta values increased from </a:t>
          </a:r>
          <a:r>
            <a:rPr lang="en-IN" sz="1200" b="1"/>
            <a:t>0.59 in 2021</a:t>
          </a:r>
          <a:r>
            <a:rPr lang="en-IN" sz="1200"/>
            <a:t> to </a:t>
          </a:r>
          <a:r>
            <a:rPr lang="en-IN" sz="1200" b="1"/>
            <a:t>1.79 in 2025</a:t>
          </a:r>
          <a:r>
            <a:rPr lang="en-IN" sz="1200"/>
            <a:t>, indicating that the stock became increasingly sensitive to overall market movements. From 2021 to 2023, the stock had a Beta below 1, suggesting lower systematic risk than the market, while in 2024 the Beta was approximately 1, indicating market-level sensitivity. In 2025, the Beta rose significantly to 1.79, indicating substantially higher systematic risk.</a:t>
          </a:r>
        </a:p>
        <a:p>
          <a:r>
            <a:rPr lang="en-IN" sz="1200"/>
            <a:t>The stock's returns were </a:t>
          </a:r>
          <a:r>
            <a:rPr lang="en-IN" sz="1200" b="1"/>
            <a:t>above the CAPM expected return in 2021, 2022, 2023, and 2024</a:t>
          </a:r>
          <a:r>
            <a:rPr lang="en-IN" sz="1200"/>
            <a:t>, indicating that Dynamic Cables generated returns higher than those required for its level of systematic risk during these years. However, in </a:t>
          </a:r>
          <a:r>
            <a:rPr lang="en-IN" sz="1200" b="1"/>
            <a:t>2025</a:t>
          </a:r>
          <a:r>
            <a:rPr lang="en-IN" sz="1200"/>
            <a:t>, the stock generated a negative return of </a:t>
          </a:r>
          <a:r>
            <a:rPr lang="en-IN" sz="1200" b="1"/>
            <a:t>-51.29%</a:t>
          </a:r>
          <a:r>
            <a:rPr lang="en-IN" sz="1200"/>
            <a:t>, while the CAPM expected return was </a:t>
          </a:r>
          <a:r>
            <a:rPr lang="en-IN" sz="1200" b="1"/>
            <a:t>12.45%</a:t>
          </a:r>
          <a:r>
            <a:rPr lang="en-IN" sz="1200"/>
            <a:t>, meaning the actual return was significantly below the return expected for its level of risk.</a:t>
          </a:r>
        </a:p>
        <a:p>
          <a:r>
            <a:rPr lang="en-IN" sz="1200"/>
            <a:t>Overall, </a:t>
          </a:r>
          <a:r>
            <a:rPr lang="en-IN" sz="1200" b="1"/>
            <a:t>Dynamic Cables Ltd. delivered strong returns relative to CAPM expectations during 2021–2024, but its performance deteriorated sharply in 2025 while its market sensitivity increased considerably.</a:t>
          </a:r>
          <a:r>
            <a:rPr lang="en-IN" sz="1200"/>
            <a:t> Therefore, the stock provided attractive risk-adjusted performance in most of the period but showed significantly higher systematic risk and poor performance in 2025.</a:t>
          </a:r>
        </a:p>
        <a:p>
          <a:endParaRPr lang="en-IN" sz="12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6C1C8A-8101-4EB6-AF1F-E6A6D1B7EB8D}" name="Table1" displayName="Table1" ref="A1:D1241" totalsRowShown="0" headerRowDxfId="3">
  <autoFilter ref="A1:D1241" xr:uid="{716C1C8A-8101-4EB6-AF1F-E6A6D1B7EB8D}"/>
  <tableColumns count="4">
    <tableColumn id="1" xr3:uid="{2658FFBE-22BD-4EC1-AB50-F57753B149C2}" name="Date" dataDxfId="2"/>
    <tableColumn id="2" xr3:uid="{3670831C-2DEA-4639-9C44-4F8BEF33E660}" name="Close Price" dataDxfId="1"/>
    <tableColumn id="3" xr3:uid="{A068E948-4523-4F17-A689-4B05BA6DB5E4}" name="Daily Stock Returns">
      <calculatedColumnFormula>(B2-B1)/B1</calculatedColumnFormula>
    </tableColumn>
    <tableColumn id="4" xr3:uid="{443224AF-9A0B-46E5-8633-720D8987E9DE}" name="Daily Stock Returns%" dataDxfId="0" dataCellStyle="Percent">
      <calculatedColumnFormula>(B2-B1)/B1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BF0EFC-EC7E-452D-BE52-72AA0382EDAE}" name="Table24" displayName="Table24" ref="O1:R1241" totalsRowShown="0">
  <autoFilter ref="O1:R1241" xr:uid="{A3BF0EFC-EC7E-452D-BE52-72AA0382EDAE}"/>
  <tableColumns count="4">
    <tableColumn id="1" xr3:uid="{69B90FCB-6A1B-4D4F-932E-CFFC37731C6C}" name="Date" dataDxfId="6"/>
    <tableColumn id="2" xr3:uid="{CDCDED49-3D62-42B4-9879-21526D4DF1C7}" name="Close Price" dataDxfId="5"/>
    <tableColumn id="3" xr3:uid="{D796792D-8FE7-434C-9FE9-20A773E020ED}" name="Daily Market Returns">
      <calculatedColumnFormula>(P2-P1)/P1</calculatedColumnFormula>
    </tableColumn>
    <tableColumn id="4" xr3:uid="{1250D9EA-5FF0-4BE8-BDD2-E51A68E2AD89}" name="Daily Market Returns%" dataDxfId="4" dataCellStyle="Percent">
      <calculatedColumnFormula>(P2-P1)/P1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2690F6-EDBC-4FE7-8332-BC0E37BB2D7E}" name="Table2" displayName="Table2" ref="A1:D1241" totalsRowShown="0">
  <autoFilter ref="A1:D1241" xr:uid="{5C2690F6-EDBC-4FE7-8332-BC0E37BB2D7E}"/>
  <tableColumns count="4">
    <tableColumn id="1" xr3:uid="{71FBFCB0-CF90-4F7B-82D7-E07A8D49C3DD}" name="Date" dataDxfId="9"/>
    <tableColumn id="2" xr3:uid="{A96EE5F6-4B7F-42E8-AB4A-E8ABCA1AAB84}" name="Close Price" dataDxfId="8"/>
    <tableColumn id="3" xr3:uid="{75A4E13C-C514-492C-9D2A-235DC5907B1E}" name="Daily Market Returns">
      <calculatedColumnFormula>(B2-B1)/B1</calculatedColumnFormula>
    </tableColumn>
    <tableColumn id="4" xr3:uid="{B1C637B9-DE09-461F-B287-6AB1F64CF24A}" name="Daily Market Returns%" dataDxfId="7" dataCellStyle="Percent">
      <calculatedColumnFormula>(B2-B1)/B1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5FF1-09A7-4671-83A8-EFCB84B7D108}">
  <dimension ref="A1:M1241"/>
  <sheetViews>
    <sheetView topLeftCell="A243" workbookViewId="0">
      <selection activeCell="E1" sqref="E1"/>
    </sheetView>
  </sheetViews>
  <sheetFormatPr defaultColWidth="12.21875"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44197</v>
      </c>
      <c r="B2">
        <v>33</v>
      </c>
      <c r="C2">
        <v>33.9</v>
      </c>
      <c r="D2">
        <v>33</v>
      </c>
      <c r="E2">
        <v>33.1</v>
      </c>
      <c r="F2">
        <v>33.279063225261901</v>
      </c>
      <c r="G2">
        <v>14219</v>
      </c>
      <c r="H2">
        <v>72</v>
      </c>
      <c r="I2">
        <v>473195</v>
      </c>
      <c r="J2">
        <v>9315</v>
      </c>
      <c r="K2">
        <v>65.510000000000005</v>
      </c>
      <c r="L2">
        <v>0.9</v>
      </c>
      <c r="M2">
        <v>0.1</v>
      </c>
    </row>
    <row r="3" spans="1:13" x14ac:dyDescent="0.3">
      <c r="A3" s="1">
        <v>44200</v>
      </c>
      <c r="B3">
        <v>33.9</v>
      </c>
      <c r="C3">
        <v>34</v>
      </c>
      <c r="D3">
        <v>32</v>
      </c>
      <c r="E3">
        <v>32.200000000000003</v>
      </c>
      <c r="F3">
        <v>33.048505912130203</v>
      </c>
      <c r="G3">
        <v>26471</v>
      </c>
      <c r="H3">
        <v>103</v>
      </c>
      <c r="I3">
        <v>874827</v>
      </c>
      <c r="J3">
        <v>21948</v>
      </c>
      <c r="K3">
        <v>82.91</v>
      </c>
      <c r="L3">
        <v>2</v>
      </c>
      <c r="M3">
        <v>-1.7</v>
      </c>
    </row>
    <row r="4" spans="1:13" x14ac:dyDescent="0.3">
      <c r="A4" s="1">
        <v>44201</v>
      </c>
      <c r="B4">
        <v>32.200000000000003</v>
      </c>
      <c r="C4">
        <v>32.950000000000003</v>
      </c>
      <c r="D4">
        <v>31.1</v>
      </c>
      <c r="E4">
        <v>31.95</v>
      </c>
      <c r="F4">
        <v>32.168497019140197</v>
      </c>
      <c r="G4">
        <v>25496</v>
      </c>
      <c r="H4">
        <v>69</v>
      </c>
      <c r="I4">
        <v>820168</v>
      </c>
      <c r="J4">
        <v>23428</v>
      </c>
      <c r="K4">
        <v>91.89</v>
      </c>
      <c r="L4">
        <v>1.85</v>
      </c>
      <c r="M4">
        <v>-0.25</v>
      </c>
    </row>
    <row r="5" spans="1:13" x14ac:dyDescent="0.3">
      <c r="A5" s="1">
        <v>44202</v>
      </c>
      <c r="B5">
        <v>31.95</v>
      </c>
      <c r="C5">
        <v>32.299999999999997</v>
      </c>
      <c r="D5">
        <v>30.5</v>
      </c>
      <c r="E5">
        <v>30.9</v>
      </c>
      <c r="F5">
        <v>31.2604041444845</v>
      </c>
      <c r="G5">
        <v>17469</v>
      </c>
      <c r="H5">
        <v>75</v>
      </c>
      <c r="I5">
        <v>546088</v>
      </c>
      <c r="J5">
        <v>15016</v>
      </c>
      <c r="K5">
        <v>85.96</v>
      </c>
      <c r="L5">
        <v>1.8</v>
      </c>
      <c r="M5">
        <v>-1.05</v>
      </c>
    </row>
    <row r="6" spans="1:13" x14ac:dyDescent="0.3">
      <c r="A6" s="1">
        <v>44203</v>
      </c>
      <c r="B6">
        <v>32</v>
      </c>
      <c r="C6">
        <v>35.9</v>
      </c>
      <c r="D6">
        <v>29.15</v>
      </c>
      <c r="E6">
        <v>33.9</v>
      </c>
      <c r="F6">
        <v>33.2671102217151</v>
      </c>
      <c r="G6">
        <v>213878</v>
      </c>
      <c r="H6">
        <v>861</v>
      </c>
      <c r="I6">
        <v>7115103</v>
      </c>
      <c r="J6">
        <v>96814</v>
      </c>
      <c r="K6">
        <v>45.27</v>
      </c>
      <c r="L6">
        <v>6.75</v>
      </c>
      <c r="M6">
        <v>1.9</v>
      </c>
    </row>
    <row r="7" spans="1:13" x14ac:dyDescent="0.3">
      <c r="A7" s="1">
        <v>44204</v>
      </c>
      <c r="B7">
        <v>35.5</v>
      </c>
      <c r="C7">
        <v>35.6</v>
      </c>
      <c r="D7">
        <v>32.200000000000003</v>
      </c>
      <c r="E7">
        <v>33.049999999999997</v>
      </c>
      <c r="F7">
        <v>34.356202819159499</v>
      </c>
      <c r="G7">
        <v>29938</v>
      </c>
      <c r="H7">
        <v>223</v>
      </c>
      <c r="I7">
        <v>1028556</v>
      </c>
      <c r="J7">
        <v>22424</v>
      </c>
      <c r="K7">
        <v>74.900000000000006</v>
      </c>
      <c r="L7">
        <v>3.4</v>
      </c>
      <c r="M7">
        <v>-2.4500000000000002</v>
      </c>
    </row>
    <row r="8" spans="1:13" x14ac:dyDescent="0.3">
      <c r="A8" s="1">
        <v>44207</v>
      </c>
      <c r="B8">
        <v>34.950000000000003</v>
      </c>
      <c r="C8">
        <v>35</v>
      </c>
      <c r="D8">
        <v>32.5</v>
      </c>
      <c r="E8">
        <v>32.85</v>
      </c>
      <c r="F8">
        <v>33.556154571159198</v>
      </c>
      <c r="G8">
        <v>26525</v>
      </c>
      <c r="H8">
        <v>165</v>
      </c>
      <c r="I8">
        <v>890077</v>
      </c>
      <c r="J8">
        <v>19887</v>
      </c>
      <c r="K8">
        <v>74.97</v>
      </c>
      <c r="L8">
        <v>2.5</v>
      </c>
      <c r="M8">
        <v>-2.1</v>
      </c>
    </row>
    <row r="9" spans="1:13" x14ac:dyDescent="0.3">
      <c r="A9" s="1">
        <v>44208</v>
      </c>
      <c r="B9">
        <v>32</v>
      </c>
      <c r="C9">
        <v>32.65</v>
      </c>
      <c r="D9">
        <v>31.25</v>
      </c>
      <c r="E9">
        <v>32.049999999999997</v>
      </c>
      <c r="F9">
        <v>32.061391136515397</v>
      </c>
      <c r="G9">
        <v>13471</v>
      </c>
      <c r="H9">
        <v>71</v>
      </c>
      <c r="I9">
        <v>431899</v>
      </c>
      <c r="J9">
        <v>12322</v>
      </c>
      <c r="K9">
        <v>91.47</v>
      </c>
      <c r="L9">
        <v>1.4</v>
      </c>
      <c r="M9">
        <v>0.05</v>
      </c>
    </row>
    <row r="10" spans="1:13" x14ac:dyDescent="0.3">
      <c r="A10" s="1">
        <v>44209</v>
      </c>
      <c r="B10">
        <v>31.45</v>
      </c>
      <c r="C10">
        <v>32.25</v>
      </c>
      <c r="D10">
        <v>31</v>
      </c>
      <c r="E10">
        <v>31.2</v>
      </c>
      <c r="F10">
        <v>31.447238159523</v>
      </c>
      <c r="G10">
        <v>17778</v>
      </c>
      <c r="H10">
        <v>87</v>
      </c>
      <c r="I10">
        <v>559069</v>
      </c>
      <c r="J10">
        <v>16055</v>
      </c>
      <c r="K10">
        <v>90.31</v>
      </c>
      <c r="L10">
        <v>1.25</v>
      </c>
      <c r="M10">
        <v>-0.25</v>
      </c>
    </row>
    <row r="11" spans="1:13" x14ac:dyDescent="0.3">
      <c r="A11" s="1">
        <v>44210</v>
      </c>
      <c r="B11">
        <v>32.4</v>
      </c>
      <c r="C11">
        <v>32.4</v>
      </c>
      <c r="D11">
        <v>28.35</v>
      </c>
      <c r="E11">
        <v>29.75</v>
      </c>
      <c r="F11">
        <v>30.1545813106796</v>
      </c>
      <c r="G11">
        <v>19776</v>
      </c>
      <c r="H11">
        <v>134</v>
      </c>
      <c r="I11">
        <v>596337</v>
      </c>
      <c r="J11">
        <v>18350</v>
      </c>
      <c r="K11">
        <v>92.79</v>
      </c>
      <c r="L11">
        <v>4.05</v>
      </c>
      <c r="M11">
        <v>-2.65</v>
      </c>
    </row>
    <row r="12" spans="1:13" x14ac:dyDescent="0.3">
      <c r="A12" s="1">
        <v>44211</v>
      </c>
      <c r="B12">
        <v>27.2</v>
      </c>
      <c r="C12">
        <v>29.5</v>
      </c>
      <c r="D12">
        <v>27.2</v>
      </c>
      <c r="E12">
        <v>29.25</v>
      </c>
      <c r="F12">
        <v>28.817923186344199</v>
      </c>
      <c r="G12">
        <v>13357</v>
      </c>
      <c r="H12">
        <v>56</v>
      </c>
      <c r="I12">
        <v>384921</v>
      </c>
      <c r="J12">
        <v>12457</v>
      </c>
      <c r="K12">
        <v>93.26</v>
      </c>
      <c r="L12">
        <v>2.2999999999999998</v>
      </c>
      <c r="M12">
        <v>2.0499999999999998</v>
      </c>
    </row>
    <row r="13" spans="1:13" x14ac:dyDescent="0.3">
      <c r="A13" s="1">
        <v>44214</v>
      </c>
      <c r="B13">
        <v>29</v>
      </c>
      <c r="C13">
        <v>29.9</v>
      </c>
      <c r="D13">
        <v>29</v>
      </c>
      <c r="E13">
        <v>29.1</v>
      </c>
      <c r="F13">
        <v>29.2458605117912</v>
      </c>
      <c r="G13">
        <v>9965</v>
      </c>
      <c r="H13">
        <v>47</v>
      </c>
      <c r="I13">
        <v>291435</v>
      </c>
      <c r="J13">
        <v>9265</v>
      </c>
      <c r="K13">
        <v>92.98</v>
      </c>
      <c r="L13">
        <v>0.9</v>
      </c>
      <c r="M13">
        <v>0.1</v>
      </c>
    </row>
    <row r="14" spans="1:13" x14ac:dyDescent="0.3">
      <c r="A14" s="1">
        <v>44215</v>
      </c>
      <c r="B14">
        <v>30</v>
      </c>
      <c r="C14">
        <v>31.95</v>
      </c>
      <c r="D14">
        <v>29.5</v>
      </c>
      <c r="E14">
        <v>30.2</v>
      </c>
      <c r="F14">
        <v>30.332120231837099</v>
      </c>
      <c r="G14">
        <v>14838</v>
      </c>
      <c r="H14">
        <v>124</v>
      </c>
      <c r="I14">
        <v>450068</v>
      </c>
      <c r="J14">
        <v>10149</v>
      </c>
      <c r="K14">
        <v>68.400000000000006</v>
      </c>
      <c r="L14">
        <v>2.4500000000000002</v>
      </c>
      <c r="M14">
        <v>0.2</v>
      </c>
    </row>
    <row r="15" spans="1:13" x14ac:dyDescent="0.3">
      <c r="A15" s="1">
        <v>44216</v>
      </c>
      <c r="B15">
        <v>30.9</v>
      </c>
      <c r="C15">
        <v>31</v>
      </c>
      <c r="D15">
        <v>29.5</v>
      </c>
      <c r="E15">
        <v>30.15</v>
      </c>
      <c r="F15">
        <v>30.1182678311499</v>
      </c>
      <c r="G15">
        <v>24732</v>
      </c>
      <c r="H15">
        <v>83</v>
      </c>
      <c r="I15">
        <v>744885</v>
      </c>
      <c r="J15">
        <v>21605</v>
      </c>
      <c r="K15">
        <v>87.36</v>
      </c>
      <c r="L15">
        <v>1.5</v>
      </c>
      <c r="M15">
        <v>-0.75</v>
      </c>
    </row>
    <row r="16" spans="1:13" x14ac:dyDescent="0.3">
      <c r="A16" s="1">
        <v>44217</v>
      </c>
      <c r="B16">
        <v>30.6</v>
      </c>
      <c r="C16">
        <v>30.6</v>
      </c>
      <c r="D16">
        <v>28.8</v>
      </c>
      <c r="E16">
        <v>29</v>
      </c>
      <c r="F16">
        <v>29.507336970916899</v>
      </c>
      <c r="G16">
        <v>18877</v>
      </c>
      <c r="H16">
        <v>75</v>
      </c>
      <c r="I16">
        <v>557010</v>
      </c>
      <c r="J16">
        <v>15181</v>
      </c>
      <c r="K16">
        <v>80.42</v>
      </c>
      <c r="L16">
        <v>1.8</v>
      </c>
      <c r="M16">
        <v>-1.6</v>
      </c>
    </row>
    <row r="17" spans="1:13" x14ac:dyDescent="0.3">
      <c r="A17" s="1">
        <v>44218</v>
      </c>
      <c r="B17">
        <v>29.25</v>
      </c>
      <c r="C17">
        <v>29.25</v>
      </c>
      <c r="D17">
        <v>27.65</v>
      </c>
      <c r="E17">
        <v>27.8</v>
      </c>
      <c r="F17">
        <v>28.0745390792896</v>
      </c>
      <c r="G17">
        <v>8841</v>
      </c>
      <c r="H17">
        <v>65</v>
      </c>
      <c r="I17">
        <v>248207</v>
      </c>
      <c r="J17">
        <v>7726</v>
      </c>
      <c r="K17">
        <v>87.39</v>
      </c>
      <c r="L17">
        <v>1.6</v>
      </c>
      <c r="M17">
        <v>-1.45</v>
      </c>
    </row>
    <row r="18" spans="1:13" x14ac:dyDescent="0.3">
      <c r="A18" s="1">
        <v>44221</v>
      </c>
      <c r="B18">
        <v>29.3</v>
      </c>
      <c r="C18">
        <v>29.3</v>
      </c>
      <c r="D18">
        <v>25.7</v>
      </c>
      <c r="E18">
        <v>27.05</v>
      </c>
      <c r="F18">
        <v>27.281884924022499</v>
      </c>
      <c r="G18">
        <v>5857</v>
      </c>
      <c r="H18">
        <v>43</v>
      </c>
      <c r="I18">
        <v>159790</v>
      </c>
      <c r="J18">
        <v>5295</v>
      </c>
      <c r="K18">
        <v>90.4</v>
      </c>
      <c r="L18">
        <v>3.6</v>
      </c>
      <c r="M18">
        <v>-2.25</v>
      </c>
    </row>
    <row r="19" spans="1:13" x14ac:dyDescent="0.3">
      <c r="A19" s="1">
        <v>44223</v>
      </c>
      <c r="B19">
        <v>27</v>
      </c>
      <c r="C19">
        <v>30</v>
      </c>
      <c r="D19">
        <v>25.7</v>
      </c>
      <c r="E19">
        <v>28.35</v>
      </c>
      <c r="F19">
        <v>28.838373529569701</v>
      </c>
      <c r="G19">
        <v>18617</v>
      </c>
      <c r="H19">
        <v>116</v>
      </c>
      <c r="I19">
        <v>536884</v>
      </c>
      <c r="J19">
        <v>13868</v>
      </c>
      <c r="K19">
        <v>74.489999999999995</v>
      </c>
      <c r="L19">
        <v>4.3</v>
      </c>
      <c r="M19">
        <v>1.35</v>
      </c>
    </row>
    <row r="20" spans="1:13" x14ac:dyDescent="0.3">
      <c r="A20" s="1">
        <v>44224</v>
      </c>
      <c r="B20">
        <v>28.9</v>
      </c>
      <c r="C20">
        <v>29</v>
      </c>
      <c r="D20">
        <v>27.2</v>
      </c>
      <c r="E20">
        <v>27.65</v>
      </c>
      <c r="F20">
        <v>27.943473083912998</v>
      </c>
      <c r="G20">
        <v>15957</v>
      </c>
      <c r="H20">
        <v>33</v>
      </c>
      <c r="I20">
        <v>445894</v>
      </c>
      <c r="J20">
        <v>15218</v>
      </c>
      <c r="K20">
        <v>95.37</v>
      </c>
      <c r="L20">
        <v>1.8</v>
      </c>
      <c r="M20">
        <v>-1.25</v>
      </c>
    </row>
    <row r="21" spans="1:13" x14ac:dyDescent="0.3">
      <c r="A21" s="1">
        <v>44225</v>
      </c>
      <c r="B21">
        <v>28.7</v>
      </c>
      <c r="C21">
        <v>28.7</v>
      </c>
      <c r="D21">
        <v>28</v>
      </c>
      <c r="E21">
        <v>28.1</v>
      </c>
      <c r="F21">
        <v>28.073901658423001</v>
      </c>
      <c r="G21">
        <v>6874</v>
      </c>
      <c r="H21">
        <v>21</v>
      </c>
      <c r="I21">
        <v>192980</v>
      </c>
      <c r="J21">
        <v>6173</v>
      </c>
      <c r="K21">
        <v>89.8</v>
      </c>
      <c r="L21">
        <v>0.7</v>
      </c>
      <c r="M21">
        <v>-0.6</v>
      </c>
    </row>
    <row r="22" spans="1:13" x14ac:dyDescent="0.3">
      <c r="A22" s="1">
        <v>44228</v>
      </c>
      <c r="B22">
        <v>27</v>
      </c>
      <c r="C22">
        <v>28.7</v>
      </c>
      <c r="D22">
        <v>27</v>
      </c>
      <c r="E22">
        <v>28.2</v>
      </c>
      <c r="F22">
        <v>27.962334437086</v>
      </c>
      <c r="G22">
        <v>2416</v>
      </c>
      <c r="H22">
        <v>27</v>
      </c>
      <c r="I22">
        <v>67557</v>
      </c>
      <c r="J22">
        <v>1751</v>
      </c>
      <c r="K22">
        <v>72.48</v>
      </c>
      <c r="L22">
        <v>1.7</v>
      </c>
      <c r="M22">
        <v>1.2</v>
      </c>
    </row>
    <row r="23" spans="1:13" x14ac:dyDescent="0.3">
      <c r="A23" s="1">
        <v>44229</v>
      </c>
      <c r="B23">
        <v>29</v>
      </c>
      <c r="C23">
        <v>29.85</v>
      </c>
      <c r="D23">
        <v>28.15</v>
      </c>
      <c r="E23">
        <v>28.2</v>
      </c>
      <c r="F23">
        <v>28.989467064926799</v>
      </c>
      <c r="G23">
        <v>6361</v>
      </c>
      <c r="H23">
        <v>49</v>
      </c>
      <c r="I23">
        <v>184402</v>
      </c>
      <c r="J23">
        <v>4820</v>
      </c>
      <c r="K23">
        <v>75.77</v>
      </c>
      <c r="L23">
        <v>1.7</v>
      </c>
      <c r="M23">
        <v>-0.8</v>
      </c>
    </row>
    <row r="24" spans="1:13" x14ac:dyDescent="0.3">
      <c r="A24" s="1">
        <v>44230</v>
      </c>
      <c r="B24">
        <v>28.25</v>
      </c>
      <c r="C24">
        <v>29</v>
      </c>
      <c r="D24">
        <v>27</v>
      </c>
      <c r="E24">
        <v>27.95</v>
      </c>
      <c r="F24">
        <v>27.9313829084665</v>
      </c>
      <c r="G24">
        <v>15142</v>
      </c>
      <c r="H24">
        <v>55</v>
      </c>
      <c r="I24">
        <v>422937</v>
      </c>
      <c r="J24">
        <v>13972</v>
      </c>
      <c r="K24">
        <v>92.27</v>
      </c>
      <c r="L24">
        <v>2</v>
      </c>
      <c r="M24">
        <v>-0.3</v>
      </c>
    </row>
    <row r="25" spans="1:13" x14ac:dyDescent="0.3">
      <c r="A25" s="1">
        <v>44231</v>
      </c>
      <c r="B25">
        <v>27.8</v>
      </c>
      <c r="C25">
        <v>28.5</v>
      </c>
      <c r="D25">
        <v>27.5</v>
      </c>
      <c r="E25">
        <v>28.5</v>
      </c>
      <c r="F25">
        <v>28.0244178525226</v>
      </c>
      <c r="G25">
        <v>6184</v>
      </c>
      <c r="H25">
        <v>34</v>
      </c>
      <c r="I25">
        <v>173303</v>
      </c>
      <c r="J25">
        <v>5735</v>
      </c>
      <c r="K25">
        <v>92.74</v>
      </c>
      <c r="L25">
        <v>1</v>
      </c>
      <c r="M25">
        <v>0.7</v>
      </c>
    </row>
    <row r="26" spans="1:13" x14ac:dyDescent="0.3">
      <c r="A26" s="1">
        <v>44232</v>
      </c>
      <c r="B26">
        <v>29</v>
      </c>
      <c r="C26">
        <v>29</v>
      </c>
      <c r="D26">
        <v>27.1</v>
      </c>
      <c r="E26">
        <v>28.3</v>
      </c>
      <c r="F26">
        <v>28.165327744789799</v>
      </c>
      <c r="G26">
        <v>8589</v>
      </c>
      <c r="H26">
        <v>43</v>
      </c>
      <c r="I26">
        <v>241912</v>
      </c>
      <c r="J26">
        <v>6219</v>
      </c>
      <c r="K26">
        <v>72.41</v>
      </c>
      <c r="L26">
        <v>1.9</v>
      </c>
      <c r="M26">
        <v>-0.7</v>
      </c>
    </row>
    <row r="27" spans="1:13" x14ac:dyDescent="0.3">
      <c r="A27" s="1">
        <v>44235</v>
      </c>
      <c r="B27">
        <v>28.7</v>
      </c>
      <c r="C27">
        <v>31</v>
      </c>
      <c r="D27">
        <v>28.7</v>
      </c>
      <c r="E27">
        <v>30.25</v>
      </c>
      <c r="F27">
        <v>30.233164838930701</v>
      </c>
      <c r="G27">
        <v>70032</v>
      </c>
      <c r="H27">
        <v>93</v>
      </c>
      <c r="I27">
        <v>2117289</v>
      </c>
      <c r="J27">
        <v>67428</v>
      </c>
      <c r="K27">
        <v>96.28</v>
      </c>
      <c r="L27">
        <v>2.2999999999999998</v>
      </c>
      <c r="M27">
        <v>1.55</v>
      </c>
    </row>
    <row r="28" spans="1:13" x14ac:dyDescent="0.3">
      <c r="A28" s="1">
        <v>44236</v>
      </c>
      <c r="B28">
        <v>29.3</v>
      </c>
      <c r="C28">
        <v>30.85</v>
      </c>
      <c r="D28">
        <v>28.6</v>
      </c>
      <c r="E28">
        <v>30.25</v>
      </c>
      <c r="F28">
        <v>30.0912552638652</v>
      </c>
      <c r="G28">
        <v>22322</v>
      </c>
      <c r="H28">
        <v>92</v>
      </c>
      <c r="I28">
        <v>671697</v>
      </c>
      <c r="J28">
        <v>20190</v>
      </c>
      <c r="K28">
        <v>90.45</v>
      </c>
      <c r="L28">
        <v>2.25</v>
      </c>
      <c r="M28">
        <v>0.95</v>
      </c>
    </row>
    <row r="29" spans="1:13" x14ac:dyDescent="0.3">
      <c r="A29" s="1">
        <v>44237</v>
      </c>
      <c r="B29">
        <v>29.7</v>
      </c>
      <c r="C29">
        <v>29.85</v>
      </c>
      <c r="D29">
        <v>28.65</v>
      </c>
      <c r="E29">
        <v>28.8</v>
      </c>
      <c r="F29">
        <v>29.003838548330801</v>
      </c>
      <c r="G29">
        <v>8597</v>
      </c>
      <c r="H29">
        <v>36</v>
      </c>
      <c r="I29">
        <v>249346</v>
      </c>
      <c r="J29">
        <v>7772</v>
      </c>
      <c r="K29">
        <v>90.4</v>
      </c>
      <c r="L29">
        <v>1.2</v>
      </c>
      <c r="M29">
        <v>-0.9</v>
      </c>
    </row>
    <row r="30" spans="1:13" x14ac:dyDescent="0.3">
      <c r="A30" s="1">
        <v>44238</v>
      </c>
      <c r="B30">
        <v>28.55</v>
      </c>
      <c r="C30">
        <v>32</v>
      </c>
      <c r="D30">
        <v>28.45</v>
      </c>
      <c r="E30">
        <v>29.9</v>
      </c>
      <c r="F30">
        <v>30.662582614232701</v>
      </c>
      <c r="G30">
        <v>45543</v>
      </c>
      <c r="H30">
        <v>180</v>
      </c>
      <c r="I30">
        <v>1396466</v>
      </c>
      <c r="J30">
        <v>32000</v>
      </c>
      <c r="K30">
        <v>70.260000000000005</v>
      </c>
      <c r="L30">
        <v>3.55</v>
      </c>
      <c r="M30">
        <v>1.35</v>
      </c>
    </row>
    <row r="31" spans="1:13" x14ac:dyDescent="0.3">
      <c r="A31" s="1">
        <v>44239</v>
      </c>
      <c r="B31">
        <v>30.4</v>
      </c>
      <c r="C31">
        <v>30.4</v>
      </c>
      <c r="D31">
        <v>28.8</v>
      </c>
      <c r="E31">
        <v>29.65</v>
      </c>
      <c r="F31">
        <v>29.570065864183501</v>
      </c>
      <c r="G31">
        <v>4403</v>
      </c>
      <c r="H31">
        <v>35</v>
      </c>
      <c r="I31">
        <v>130197</v>
      </c>
      <c r="J31">
        <v>2569</v>
      </c>
      <c r="K31">
        <v>58.35</v>
      </c>
      <c r="L31">
        <v>1.6</v>
      </c>
      <c r="M31">
        <v>-0.75</v>
      </c>
    </row>
    <row r="32" spans="1:13" x14ac:dyDescent="0.3">
      <c r="A32" s="1">
        <v>44242</v>
      </c>
      <c r="B32">
        <v>29</v>
      </c>
      <c r="C32">
        <v>29</v>
      </c>
      <c r="D32">
        <v>25.75</v>
      </c>
      <c r="E32">
        <v>27.25</v>
      </c>
      <c r="F32">
        <v>26.779804165685199</v>
      </c>
      <c r="G32">
        <v>59438</v>
      </c>
      <c r="H32">
        <v>230</v>
      </c>
      <c r="I32">
        <v>1591738</v>
      </c>
      <c r="J32">
        <v>39578</v>
      </c>
      <c r="K32">
        <v>66.59</v>
      </c>
      <c r="L32">
        <v>3.25</v>
      </c>
      <c r="M32">
        <v>-1.75</v>
      </c>
    </row>
    <row r="33" spans="1:13" x14ac:dyDescent="0.3">
      <c r="A33" s="1">
        <v>44243</v>
      </c>
      <c r="B33">
        <v>26.35</v>
      </c>
      <c r="C33">
        <v>27.7</v>
      </c>
      <c r="D33">
        <v>26.25</v>
      </c>
      <c r="E33">
        <v>26.45</v>
      </c>
      <c r="F33">
        <v>26.682580645161199</v>
      </c>
      <c r="G33">
        <v>7750</v>
      </c>
      <c r="H33">
        <v>55</v>
      </c>
      <c r="I33">
        <v>206790</v>
      </c>
      <c r="J33">
        <v>6290</v>
      </c>
      <c r="K33">
        <v>81.16</v>
      </c>
      <c r="L33">
        <v>1.45</v>
      </c>
      <c r="M33">
        <v>0.1</v>
      </c>
    </row>
    <row r="34" spans="1:13" x14ac:dyDescent="0.3">
      <c r="A34" s="1">
        <v>44244</v>
      </c>
      <c r="B34">
        <v>26.5</v>
      </c>
      <c r="C34">
        <v>27</v>
      </c>
      <c r="D34">
        <v>25.3</v>
      </c>
      <c r="E34">
        <v>25.95</v>
      </c>
      <c r="F34">
        <v>25.8451935081148</v>
      </c>
      <c r="G34">
        <v>19224</v>
      </c>
      <c r="H34">
        <v>93</v>
      </c>
      <c r="I34">
        <v>496848</v>
      </c>
      <c r="J34">
        <v>16033</v>
      </c>
      <c r="K34">
        <v>83.4</v>
      </c>
      <c r="L34">
        <v>1.7</v>
      </c>
      <c r="M34">
        <v>-0.55000000000000004</v>
      </c>
    </row>
    <row r="35" spans="1:13" x14ac:dyDescent="0.3">
      <c r="A35" s="1">
        <v>44245</v>
      </c>
      <c r="B35">
        <v>26</v>
      </c>
      <c r="C35">
        <v>26.3</v>
      </c>
      <c r="D35">
        <v>24.75</v>
      </c>
      <c r="E35">
        <v>24.95</v>
      </c>
      <c r="F35">
        <v>25.407055269237599</v>
      </c>
      <c r="G35">
        <v>22508</v>
      </c>
      <c r="H35">
        <v>94</v>
      </c>
      <c r="I35">
        <v>571862</v>
      </c>
      <c r="J35">
        <v>18152</v>
      </c>
      <c r="K35">
        <v>80.650000000000006</v>
      </c>
      <c r="L35">
        <v>1.55</v>
      </c>
      <c r="M35">
        <v>-1.05</v>
      </c>
    </row>
    <row r="36" spans="1:13" x14ac:dyDescent="0.3">
      <c r="A36" s="1">
        <v>44246</v>
      </c>
      <c r="B36">
        <v>25.3</v>
      </c>
      <c r="C36">
        <v>27.7</v>
      </c>
      <c r="D36">
        <v>25</v>
      </c>
      <c r="E36">
        <v>25.85</v>
      </c>
      <c r="F36">
        <v>26.326365842785599</v>
      </c>
      <c r="G36">
        <v>60567</v>
      </c>
      <c r="H36">
        <v>210</v>
      </c>
      <c r="I36">
        <v>1594509</v>
      </c>
      <c r="J36">
        <v>42438</v>
      </c>
      <c r="K36">
        <v>70.069999999999993</v>
      </c>
      <c r="L36">
        <v>2.7</v>
      </c>
      <c r="M36">
        <v>0.55000000000000004</v>
      </c>
    </row>
    <row r="37" spans="1:13" x14ac:dyDescent="0.3">
      <c r="A37" s="1">
        <v>44249</v>
      </c>
      <c r="B37">
        <v>26</v>
      </c>
      <c r="C37">
        <v>26.85</v>
      </c>
      <c r="D37">
        <v>24.6</v>
      </c>
      <c r="E37">
        <v>25.45</v>
      </c>
      <c r="F37">
        <v>25.5331932253677</v>
      </c>
      <c r="G37">
        <v>16178</v>
      </c>
      <c r="H37">
        <v>81</v>
      </c>
      <c r="I37">
        <v>413076</v>
      </c>
      <c r="J37">
        <v>13094</v>
      </c>
      <c r="K37">
        <v>80.94</v>
      </c>
      <c r="L37">
        <v>2.25</v>
      </c>
      <c r="M37">
        <v>-0.55000000000000004</v>
      </c>
    </row>
    <row r="38" spans="1:13" x14ac:dyDescent="0.3">
      <c r="A38" s="1">
        <v>44250</v>
      </c>
      <c r="B38">
        <v>25.5</v>
      </c>
      <c r="C38">
        <v>26.5</v>
      </c>
      <c r="D38">
        <v>24.6</v>
      </c>
      <c r="E38">
        <v>25.2</v>
      </c>
      <c r="F38">
        <v>25.554932211313599</v>
      </c>
      <c r="G38">
        <v>4278</v>
      </c>
      <c r="H38">
        <v>40</v>
      </c>
      <c r="I38">
        <v>109324</v>
      </c>
      <c r="J38">
        <v>3144</v>
      </c>
      <c r="K38">
        <v>73.489999999999995</v>
      </c>
      <c r="L38">
        <v>1.9</v>
      </c>
      <c r="M38">
        <v>-0.3</v>
      </c>
    </row>
    <row r="39" spans="1:13" x14ac:dyDescent="0.3">
      <c r="A39" s="1">
        <v>44251</v>
      </c>
      <c r="B39">
        <v>25.85</v>
      </c>
      <c r="C39">
        <v>26.65</v>
      </c>
      <c r="D39">
        <v>25.2</v>
      </c>
      <c r="E39">
        <v>26.05</v>
      </c>
      <c r="F39">
        <v>25.631680940176199</v>
      </c>
      <c r="G39">
        <v>15997</v>
      </c>
      <c r="H39">
        <v>53</v>
      </c>
      <c r="I39">
        <v>410030</v>
      </c>
      <c r="J39">
        <v>13481</v>
      </c>
      <c r="K39">
        <v>84.27</v>
      </c>
      <c r="L39">
        <v>1.45</v>
      </c>
      <c r="M39">
        <v>0.2</v>
      </c>
    </row>
    <row r="40" spans="1:13" x14ac:dyDescent="0.3">
      <c r="A40" s="1">
        <v>44252</v>
      </c>
      <c r="B40">
        <v>26.75</v>
      </c>
      <c r="C40">
        <v>26.75</v>
      </c>
      <c r="D40">
        <v>25.5</v>
      </c>
      <c r="E40">
        <v>25.65</v>
      </c>
      <c r="F40">
        <v>25.873047236801401</v>
      </c>
      <c r="G40">
        <v>16195</v>
      </c>
      <c r="H40">
        <v>58</v>
      </c>
      <c r="I40">
        <v>419014</v>
      </c>
      <c r="J40">
        <v>9462</v>
      </c>
      <c r="K40">
        <v>58.43</v>
      </c>
      <c r="L40">
        <v>1.25</v>
      </c>
      <c r="M40">
        <v>-1.1000000000000001</v>
      </c>
    </row>
    <row r="41" spans="1:13" x14ac:dyDescent="0.3">
      <c r="A41" s="1">
        <v>44253</v>
      </c>
      <c r="B41">
        <v>25.8</v>
      </c>
      <c r="C41">
        <v>25.85</v>
      </c>
      <c r="D41">
        <v>24.9</v>
      </c>
      <c r="E41">
        <v>25.85</v>
      </c>
      <c r="F41">
        <v>25.295187571049599</v>
      </c>
      <c r="G41">
        <v>5278</v>
      </c>
      <c r="H41">
        <v>31</v>
      </c>
      <c r="I41">
        <v>133508</v>
      </c>
      <c r="J41">
        <v>3780</v>
      </c>
      <c r="K41">
        <v>71.62</v>
      </c>
      <c r="L41">
        <v>0.95</v>
      </c>
      <c r="M41">
        <v>0.05</v>
      </c>
    </row>
    <row r="42" spans="1:13" x14ac:dyDescent="0.3">
      <c r="A42" s="1">
        <v>44256</v>
      </c>
      <c r="B42">
        <v>26</v>
      </c>
      <c r="C42">
        <v>26.45</v>
      </c>
      <c r="D42">
        <v>25.25</v>
      </c>
      <c r="E42">
        <v>25.7</v>
      </c>
      <c r="F42">
        <v>26.0379624446593</v>
      </c>
      <c r="G42">
        <v>19651</v>
      </c>
      <c r="H42">
        <v>43</v>
      </c>
      <c r="I42">
        <v>511672</v>
      </c>
      <c r="J42">
        <v>18138</v>
      </c>
      <c r="K42">
        <v>92.3</v>
      </c>
      <c r="L42">
        <v>1.2</v>
      </c>
      <c r="M42">
        <v>-0.3</v>
      </c>
    </row>
    <row r="43" spans="1:13" x14ac:dyDescent="0.3">
      <c r="A43" s="1">
        <v>44257</v>
      </c>
      <c r="B43">
        <v>25.25</v>
      </c>
      <c r="C43">
        <v>26.25</v>
      </c>
      <c r="D43">
        <v>25.25</v>
      </c>
      <c r="E43">
        <v>25.7</v>
      </c>
      <c r="F43">
        <v>25.880240443896401</v>
      </c>
      <c r="G43">
        <v>6488</v>
      </c>
      <c r="H43">
        <v>32</v>
      </c>
      <c r="I43">
        <v>167911</v>
      </c>
      <c r="J43">
        <v>5733</v>
      </c>
      <c r="K43">
        <v>88.36</v>
      </c>
      <c r="L43">
        <v>1</v>
      </c>
      <c r="M43">
        <v>0.45</v>
      </c>
    </row>
    <row r="44" spans="1:13" x14ac:dyDescent="0.3">
      <c r="A44" s="1">
        <v>44258</v>
      </c>
      <c r="B44">
        <v>25.6</v>
      </c>
      <c r="C44">
        <v>26.2</v>
      </c>
      <c r="D44">
        <v>25.15</v>
      </c>
      <c r="E44">
        <v>25.7</v>
      </c>
      <c r="F44">
        <v>25.751984126984102</v>
      </c>
      <c r="G44">
        <v>4032</v>
      </c>
      <c r="H44">
        <v>28</v>
      </c>
      <c r="I44">
        <v>103832</v>
      </c>
      <c r="J44">
        <v>1934</v>
      </c>
      <c r="K44">
        <v>47.97</v>
      </c>
      <c r="L44">
        <v>1.05</v>
      </c>
      <c r="M44">
        <v>0.1</v>
      </c>
    </row>
    <row r="45" spans="1:13" x14ac:dyDescent="0.3">
      <c r="A45" s="1">
        <v>44259</v>
      </c>
      <c r="B45">
        <v>25.6</v>
      </c>
      <c r="C45">
        <v>25.95</v>
      </c>
      <c r="D45">
        <v>25</v>
      </c>
      <c r="E45">
        <v>25.1</v>
      </c>
      <c r="F45">
        <v>25.300369685766999</v>
      </c>
      <c r="G45">
        <v>12984</v>
      </c>
      <c r="H45">
        <v>66</v>
      </c>
      <c r="I45">
        <v>328500</v>
      </c>
      <c r="J45">
        <v>9799</v>
      </c>
      <c r="K45">
        <v>75.47</v>
      </c>
      <c r="L45">
        <v>0.95</v>
      </c>
      <c r="M45">
        <v>-0.5</v>
      </c>
    </row>
    <row r="46" spans="1:13" x14ac:dyDescent="0.3">
      <c r="A46" s="1">
        <v>44260</v>
      </c>
      <c r="B46">
        <v>26</v>
      </c>
      <c r="C46">
        <v>26</v>
      </c>
      <c r="D46">
        <v>24.6</v>
      </c>
      <c r="E46">
        <v>25.1</v>
      </c>
      <c r="F46">
        <v>25.2447275922671</v>
      </c>
      <c r="G46">
        <v>9104</v>
      </c>
      <c r="H46">
        <v>40</v>
      </c>
      <c r="I46">
        <v>229828</v>
      </c>
      <c r="J46">
        <v>8444</v>
      </c>
      <c r="K46">
        <v>92.75</v>
      </c>
      <c r="L46">
        <v>1.4</v>
      </c>
      <c r="M46">
        <v>-0.9</v>
      </c>
    </row>
    <row r="47" spans="1:13" x14ac:dyDescent="0.3">
      <c r="A47" s="1">
        <v>44263</v>
      </c>
      <c r="B47">
        <v>25.1</v>
      </c>
      <c r="C47">
        <v>26.4</v>
      </c>
      <c r="D47">
        <v>24.65</v>
      </c>
      <c r="E47">
        <v>26.05</v>
      </c>
      <c r="F47">
        <v>25.361013197803</v>
      </c>
      <c r="G47">
        <v>12199</v>
      </c>
      <c r="H47">
        <v>53</v>
      </c>
      <c r="I47">
        <v>309379</v>
      </c>
      <c r="J47">
        <v>8976</v>
      </c>
      <c r="K47">
        <v>73.58</v>
      </c>
      <c r="L47">
        <v>1.75</v>
      </c>
      <c r="M47">
        <v>0.95</v>
      </c>
    </row>
    <row r="48" spans="1:13" x14ac:dyDescent="0.3">
      <c r="A48" s="1">
        <v>44264</v>
      </c>
      <c r="B48">
        <v>25.45</v>
      </c>
      <c r="C48">
        <v>26.7</v>
      </c>
      <c r="D48">
        <v>24.85</v>
      </c>
      <c r="E48">
        <v>24.95</v>
      </c>
      <c r="F48">
        <v>25.357486060792901</v>
      </c>
      <c r="G48">
        <v>38919</v>
      </c>
      <c r="H48">
        <v>95</v>
      </c>
      <c r="I48">
        <v>986888</v>
      </c>
      <c r="J48">
        <v>23422</v>
      </c>
      <c r="K48">
        <v>60.18</v>
      </c>
      <c r="L48">
        <v>1.85</v>
      </c>
      <c r="M48">
        <v>-0.5</v>
      </c>
    </row>
    <row r="49" spans="1:13" x14ac:dyDescent="0.3">
      <c r="A49" s="1">
        <v>44265</v>
      </c>
      <c r="B49">
        <v>25.8</v>
      </c>
      <c r="C49">
        <v>25.8</v>
      </c>
      <c r="D49">
        <v>24.85</v>
      </c>
      <c r="E49">
        <v>25.2</v>
      </c>
      <c r="F49">
        <v>25.311028637899501</v>
      </c>
      <c r="G49">
        <v>18053</v>
      </c>
      <c r="H49">
        <v>74</v>
      </c>
      <c r="I49">
        <v>456940</v>
      </c>
      <c r="J49">
        <v>11627</v>
      </c>
      <c r="K49">
        <v>64.400000000000006</v>
      </c>
      <c r="L49">
        <v>0.95</v>
      </c>
      <c r="M49">
        <v>-0.6</v>
      </c>
    </row>
    <row r="50" spans="1:13" x14ac:dyDescent="0.3">
      <c r="A50" s="1">
        <v>44267</v>
      </c>
      <c r="B50">
        <v>25.5</v>
      </c>
      <c r="C50">
        <v>25.75</v>
      </c>
      <c r="D50">
        <v>25</v>
      </c>
      <c r="E50">
        <v>25</v>
      </c>
      <c r="F50">
        <v>25.416957026713099</v>
      </c>
      <c r="G50">
        <v>4305</v>
      </c>
      <c r="H50">
        <v>31</v>
      </c>
      <c r="I50">
        <v>109420</v>
      </c>
      <c r="J50">
        <v>2014</v>
      </c>
      <c r="K50">
        <v>46.78</v>
      </c>
      <c r="L50">
        <v>0.75</v>
      </c>
      <c r="M50">
        <v>-0.5</v>
      </c>
    </row>
    <row r="51" spans="1:13" x14ac:dyDescent="0.3">
      <c r="A51" s="1">
        <v>44270</v>
      </c>
      <c r="B51">
        <v>25.5</v>
      </c>
      <c r="C51">
        <v>25.5</v>
      </c>
      <c r="D51">
        <v>24.6</v>
      </c>
      <c r="E51">
        <v>24.85</v>
      </c>
      <c r="F51">
        <v>24.890219029883799</v>
      </c>
      <c r="G51">
        <v>11277</v>
      </c>
      <c r="H51">
        <v>44</v>
      </c>
      <c r="I51">
        <v>280687</v>
      </c>
      <c r="J51">
        <v>9266</v>
      </c>
      <c r="K51">
        <v>82.17</v>
      </c>
      <c r="L51">
        <v>0.9</v>
      </c>
      <c r="M51">
        <v>-0.65</v>
      </c>
    </row>
    <row r="52" spans="1:13" x14ac:dyDescent="0.3">
      <c r="A52" s="1">
        <v>44271</v>
      </c>
      <c r="B52">
        <v>25</v>
      </c>
      <c r="C52">
        <v>25.4</v>
      </c>
      <c r="D52">
        <v>25</v>
      </c>
      <c r="E52">
        <v>25.3</v>
      </c>
      <c r="F52">
        <v>25.080645161290299</v>
      </c>
      <c r="G52">
        <v>1426</v>
      </c>
      <c r="H52">
        <v>24</v>
      </c>
      <c r="I52">
        <v>35765</v>
      </c>
      <c r="J52">
        <v>1406</v>
      </c>
      <c r="K52">
        <v>98.6</v>
      </c>
      <c r="L52">
        <v>0.4</v>
      </c>
      <c r="M52">
        <v>0.3</v>
      </c>
    </row>
    <row r="53" spans="1:13" x14ac:dyDescent="0.3">
      <c r="A53" s="1">
        <v>44272</v>
      </c>
      <c r="B53">
        <v>26.2</v>
      </c>
      <c r="C53">
        <v>26.2</v>
      </c>
      <c r="D53">
        <v>25.05</v>
      </c>
      <c r="E53">
        <v>25.7</v>
      </c>
      <c r="F53">
        <v>25.695543498140498</v>
      </c>
      <c r="G53">
        <v>16403</v>
      </c>
      <c r="H53">
        <v>44</v>
      </c>
      <c r="I53">
        <v>421484</v>
      </c>
      <c r="J53">
        <v>15038</v>
      </c>
      <c r="K53">
        <v>91.68</v>
      </c>
      <c r="L53">
        <v>1.1499999999999999</v>
      </c>
      <c r="M53">
        <v>-0.5</v>
      </c>
    </row>
    <row r="54" spans="1:13" x14ac:dyDescent="0.3">
      <c r="A54" s="1">
        <v>44273</v>
      </c>
      <c r="B54">
        <v>27</v>
      </c>
      <c r="C54">
        <v>27</v>
      </c>
      <c r="D54">
        <v>25.05</v>
      </c>
      <c r="E54">
        <v>25.8</v>
      </c>
      <c r="F54">
        <v>25.728345468240001</v>
      </c>
      <c r="G54">
        <v>3983</v>
      </c>
      <c r="H54">
        <v>24</v>
      </c>
      <c r="I54">
        <v>102476</v>
      </c>
      <c r="J54">
        <v>3907</v>
      </c>
      <c r="K54">
        <v>98.09</v>
      </c>
      <c r="L54">
        <v>1.95</v>
      </c>
      <c r="M54">
        <v>-1.2</v>
      </c>
    </row>
    <row r="55" spans="1:13" x14ac:dyDescent="0.3">
      <c r="A55" s="1">
        <v>44274</v>
      </c>
      <c r="B55">
        <v>25</v>
      </c>
      <c r="C55">
        <v>25</v>
      </c>
      <c r="D55">
        <v>23</v>
      </c>
      <c r="E55">
        <v>23.55</v>
      </c>
      <c r="F55">
        <v>23.806648680899599</v>
      </c>
      <c r="G55">
        <v>77098</v>
      </c>
      <c r="H55">
        <v>174</v>
      </c>
      <c r="I55">
        <v>1835445</v>
      </c>
      <c r="J55">
        <v>67507</v>
      </c>
      <c r="K55">
        <v>87.56</v>
      </c>
      <c r="L55">
        <v>2</v>
      </c>
      <c r="M55">
        <v>-1.45</v>
      </c>
    </row>
    <row r="56" spans="1:13" x14ac:dyDescent="0.3">
      <c r="A56" s="1">
        <v>44277</v>
      </c>
      <c r="B56">
        <v>23.3</v>
      </c>
      <c r="C56">
        <v>23.9</v>
      </c>
      <c r="D56">
        <v>23.05</v>
      </c>
      <c r="E56">
        <v>23.3</v>
      </c>
      <c r="F56">
        <v>23.552991755764499</v>
      </c>
      <c r="G56">
        <v>62104</v>
      </c>
      <c r="H56">
        <v>72</v>
      </c>
      <c r="I56">
        <v>1462735</v>
      </c>
      <c r="J56">
        <v>60302</v>
      </c>
      <c r="K56">
        <v>97.1</v>
      </c>
      <c r="L56">
        <v>0.85</v>
      </c>
      <c r="M56">
        <v>0</v>
      </c>
    </row>
    <row r="57" spans="1:13" x14ac:dyDescent="0.3">
      <c r="A57" s="1">
        <v>44278</v>
      </c>
      <c r="B57">
        <v>23.2</v>
      </c>
      <c r="C57">
        <v>24.65</v>
      </c>
      <c r="D57">
        <v>23.1</v>
      </c>
      <c r="E57">
        <v>23.95</v>
      </c>
      <c r="F57">
        <v>23.854534646739101</v>
      </c>
      <c r="G57">
        <v>11776</v>
      </c>
      <c r="H57">
        <v>40</v>
      </c>
      <c r="I57">
        <v>280911</v>
      </c>
      <c r="J57">
        <v>8569</v>
      </c>
      <c r="K57">
        <v>72.77</v>
      </c>
      <c r="L57">
        <v>1.55</v>
      </c>
      <c r="M57">
        <v>0.75</v>
      </c>
    </row>
    <row r="58" spans="1:13" x14ac:dyDescent="0.3">
      <c r="A58" s="1">
        <v>44279</v>
      </c>
      <c r="B58">
        <v>24.45</v>
      </c>
      <c r="C58">
        <v>24.45</v>
      </c>
      <c r="D58">
        <v>23.05</v>
      </c>
      <c r="E58">
        <v>24.15</v>
      </c>
      <c r="F58">
        <v>23.496873815839301</v>
      </c>
      <c r="G58">
        <v>10556</v>
      </c>
      <c r="H58">
        <v>45</v>
      </c>
      <c r="I58">
        <v>248033</v>
      </c>
      <c r="J58">
        <v>7802</v>
      </c>
      <c r="K58">
        <v>73.91</v>
      </c>
      <c r="L58">
        <v>1.4</v>
      </c>
      <c r="M58">
        <v>-0.3</v>
      </c>
    </row>
    <row r="59" spans="1:13" x14ac:dyDescent="0.3">
      <c r="A59" s="1">
        <v>44280</v>
      </c>
      <c r="B59">
        <v>23.5</v>
      </c>
      <c r="C59">
        <v>23.75</v>
      </c>
      <c r="D59">
        <v>22.7</v>
      </c>
      <c r="E59">
        <v>23</v>
      </c>
      <c r="F59">
        <v>23.074937253495801</v>
      </c>
      <c r="G59">
        <v>5578</v>
      </c>
      <c r="H59">
        <v>27</v>
      </c>
      <c r="I59">
        <v>128712</v>
      </c>
      <c r="J59">
        <v>4608</v>
      </c>
      <c r="K59">
        <v>82.61</v>
      </c>
      <c r="L59">
        <v>1.05</v>
      </c>
      <c r="M59">
        <v>-0.5</v>
      </c>
    </row>
    <row r="60" spans="1:13" x14ac:dyDescent="0.3">
      <c r="A60" s="1">
        <v>44281</v>
      </c>
      <c r="B60">
        <v>24</v>
      </c>
      <c r="C60">
        <v>24</v>
      </c>
      <c r="D60">
        <v>23.25</v>
      </c>
      <c r="E60">
        <v>23.45</v>
      </c>
      <c r="F60">
        <v>23.509652509652501</v>
      </c>
      <c r="G60">
        <v>1295</v>
      </c>
      <c r="H60">
        <v>14</v>
      </c>
      <c r="I60">
        <v>30445</v>
      </c>
      <c r="J60">
        <v>710</v>
      </c>
      <c r="K60">
        <v>54.83</v>
      </c>
      <c r="L60">
        <v>0.75</v>
      </c>
      <c r="M60">
        <v>-0.55000000000000004</v>
      </c>
    </row>
    <row r="61" spans="1:13" x14ac:dyDescent="0.3">
      <c r="A61" s="1">
        <v>44285</v>
      </c>
      <c r="B61">
        <v>25</v>
      </c>
      <c r="C61">
        <v>25</v>
      </c>
      <c r="D61">
        <v>23</v>
      </c>
      <c r="E61">
        <v>24.2</v>
      </c>
      <c r="F61">
        <v>24.3188775510204</v>
      </c>
      <c r="G61">
        <v>784</v>
      </c>
      <c r="H61">
        <v>15</v>
      </c>
      <c r="I61">
        <v>19066</v>
      </c>
      <c r="J61">
        <v>433</v>
      </c>
      <c r="K61">
        <v>55.23</v>
      </c>
      <c r="L61">
        <v>2</v>
      </c>
      <c r="M61">
        <v>-0.8</v>
      </c>
    </row>
    <row r="62" spans="1:13" x14ac:dyDescent="0.3">
      <c r="A62" s="1">
        <v>44286</v>
      </c>
      <c r="B62">
        <v>24.2</v>
      </c>
      <c r="C62">
        <v>24.95</v>
      </c>
      <c r="D62">
        <v>23</v>
      </c>
      <c r="E62">
        <v>23.9</v>
      </c>
      <c r="F62">
        <v>24.183747842209499</v>
      </c>
      <c r="G62">
        <v>15641</v>
      </c>
      <c r="H62">
        <v>39</v>
      </c>
      <c r="I62">
        <v>378258</v>
      </c>
      <c r="J62">
        <v>8784</v>
      </c>
      <c r="K62">
        <v>56.16</v>
      </c>
      <c r="L62">
        <v>1.95</v>
      </c>
      <c r="M62">
        <v>-0.3</v>
      </c>
    </row>
    <row r="63" spans="1:13" x14ac:dyDescent="0.3">
      <c r="A63" s="1">
        <v>44287</v>
      </c>
      <c r="B63">
        <v>24.9</v>
      </c>
      <c r="C63">
        <v>24.9</v>
      </c>
      <c r="D63">
        <v>23.1</v>
      </c>
      <c r="E63">
        <v>23.5</v>
      </c>
      <c r="F63">
        <v>23.538768188160201</v>
      </c>
      <c r="G63">
        <v>10034</v>
      </c>
      <c r="H63">
        <v>47</v>
      </c>
      <c r="I63">
        <v>236188</v>
      </c>
      <c r="J63">
        <v>8068</v>
      </c>
      <c r="K63">
        <v>80.41</v>
      </c>
      <c r="L63">
        <v>1.8</v>
      </c>
      <c r="M63">
        <v>-1.4</v>
      </c>
    </row>
    <row r="64" spans="1:13" x14ac:dyDescent="0.3">
      <c r="A64" s="1">
        <v>44291</v>
      </c>
      <c r="B64">
        <v>24.5</v>
      </c>
      <c r="C64">
        <v>24.5</v>
      </c>
      <c r="D64">
        <v>23.15</v>
      </c>
      <c r="E64">
        <v>23.7</v>
      </c>
      <c r="F64">
        <v>23.658777711204301</v>
      </c>
      <c r="G64">
        <v>3338</v>
      </c>
      <c r="H64">
        <v>31</v>
      </c>
      <c r="I64">
        <v>78973</v>
      </c>
      <c r="J64">
        <v>3214</v>
      </c>
      <c r="K64">
        <v>96.29</v>
      </c>
      <c r="L64">
        <v>1.35</v>
      </c>
      <c r="M64">
        <v>-0.8</v>
      </c>
    </row>
    <row r="65" spans="1:13" x14ac:dyDescent="0.3">
      <c r="A65" s="1">
        <v>44292</v>
      </c>
      <c r="B65">
        <v>23.95</v>
      </c>
      <c r="C65">
        <v>24.4</v>
      </c>
      <c r="D65">
        <v>23.55</v>
      </c>
      <c r="E65">
        <v>24.3</v>
      </c>
      <c r="F65">
        <v>24.044016178919801</v>
      </c>
      <c r="G65">
        <v>4203</v>
      </c>
      <c r="H65">
        <v>30</v>
      </c>
      <c r="I65">
        <v>101057</v>
      </c>
      <c r="J65">
        <v>2698</v>
      </c>
      <c r="K65">
        <v>64.19</v>
      </c>
      <c r="L65">
        <v>0.85</v>
      </c>
      <c r="M65">
        <v>0.35</v>
      </c>
    </row>
    <row r="66" spans="1:13" x14ac:dyDescent="0.3">
      <c r="A66" s="1">
        <v>44293</v>
      </c>
      <c r="B66">
        <v>24.05</v>
      </c>
      <c r="C66">
        <v>24.1</v>
      </c>
      <c r="D66">
        <v>22</v>
      </c>
      <c r="E66">
        <v>23</v>
      </c>
      <c r="F66">
        <v>22.863265910943099</v>
      </c>
      <c r="G66">
        <v>26994</v>
      </c>
      <c r="H66">
        <v>99</v>
      </c>
      <c r="I66">
        <v>617171</v>
      </c>
      <c r="J66">
        <v>16270</v>
      </c>
      <c r="K66">
        <v>60.27</v>
      </c>
      <c r="L66">
        <v>2.1</v>
      </c>
      <c r="M66">
        <v>-1.05</v>
      </c>
    </row>
    <row r="67" spans="1:13" x14ac:dyDescent="0.3">
      <c r="A67" s="1">
        <v>44294</v>
      </c>
      <c r="B67">
        <v>24</v>
      </c>
      <c r="C67">
        <v>24</v>
      </c>
      <c r="D67">
        <v>23.15</v>
      </c>
      <c r="E67">
        <v>23.55</v>
      </c>
      <c r="F67">
        <v>23.603926982666</v>
      </c>
      <c r="G67">
        <v>6519</v>
      </c>
      <c r="H67">
        <v>28</v>
      </c>
      <c r="I67">
        <v>153874</v>
      </c>
      <c r="J67">
        <v>6394</v>
      </c>
      <c r="K67">
        <v>98.08</v>
      </c>
      <c r="L67">
        <v>0.85</v>
      </c>
      <c r="M67">
        <v>-0.45</v>
      </c>
    </row>
    <row r="68" spans="1:13" x14ac:dyDescent="0.3">
      <c r="A68" s="1">
        <v>44295</v>
      </c>
      <c r="B68">
        <v>23</v>
      </c>
      <c r="C68">
        <v>23.9</v>
      </c>
      <c r="D68">
        <v>23</v>
      </c>
      <c r="E68">
        <v>23.4</v>
      </c>
      <c r="F68">
        <v>23.3562826174227</v>
      </c>
      <c r="G68">
        <v>4982</v>
      </c>
      <c r="H68">
        <v>33</v>
      </c>
      <c r="I68">
        <v>116361</v>
      </c>
      <c r="J68">
        <v>4476</v>
      </c>
      <c r="K68">
        <v>89.84</v>
      </c>
      <c r="L68">
        <v>0.9</v>
      </c>
      <c r="M68">
        <v>0.4</v>
      </c>
    </row>
    <row r="69" spans="1:13" x14ac:dyDescent="0.3">
      <c r="A69" s="1">
        <v>44298</v>
      </c>
      <c r="B69">
        <v>23.2</v>
      </c>
      <c r="C69">
        <v>24.8</v>
      </c>
      <c r="D69">
        <v>22.9</v>
      </c>
      <c r="E69">
        <v>24.65</v>
      </c>
      <c r="F69">
        <v>24.2216547005252</v>
      </c>
      <c r="G69">
        <v>20753</v>
      </c>
      <c r="H69">
        <v>56</v>
      </c>
      <c r="I69">
        <v>502672</v>
      </c>
      <c r="J69">
        <v>19813</v>
      </c>
      <c r="K69">
        <v>95.47</v>
      </c>
      <c r="L69">
        <v>1.9</v>
      </c>
      <c r="M69">
        <v>1.45</v>
      </c>
    </row>
    <row r="70" spans="1:13" x14ac:dyDescent="0.3">
      <c r="A70" s="1">
        <v>44299</v>
      </c>
      <c r="B70">
        <v>27</v>
      </c>
      <c r="C70">
        <v>27</v>
      </c>
      <c r="D70">
        <v>24.05</v>
      </c>
      <c r="E70">
        <v>25</v>
      </c>
      <c r="F70">
        <v>24.724440116845098</v>
      </c>
      <c r="G70">
        <v>2054</v>
      </c>
      <c r="H70">
        <v>23</v>
      </c>
      <c r="I70">
        <v>50784</v>
      </c>
      <c r="J70">
        <v>1427</v>
      </c>
      <c r="K70">
        <v>69.47</v>
      </c>
      <c r="L70">
        <v>2.95</v>
      </c>
      <c r="M70">
        <v>-2</v>
      </c>
    </row>
    <row r="71" spans="1:13" x14ac:dyDescent="0.3">
      <c r="A71" s="1">
        <v>44301</v>
      </c>
      <c r="B71">
        <v>25.3</v>
      </c>
      <c r="C71">
        <v>26</v>
      </c>
      <c r="D71">
        <v>24</v>
      </c>
      <c r="E71">
        <v>25.45</v>
      </c>
      <c r="F71">
        <v>24.9918251847193</v>
      </c>
      <c r="G71">
        <v>6361</v>
      </c>
      <c r="H71">
        <v>35</v>
      </c>
      <c r="I71">
        <v>158973</v>
      </c>
      <c r="J71">
        <v>5357</v>
      </c>
      <c r="K71">
        <v>84.22</v>
      </c>
      <c r="L71">
        <v>2</v>
      </c>
      <c r="M71">
        <v>0.15</v>
      </c>
    </row>
    <row r="72" spans="1:13" x14ac:dyDescent="0.3">
      <c r="A72" s="1">
        <v>44302</v>
      </c>
      <c r="B72">
        <v>24.05</v>
      </c>
      <c r="C72">
        <v>25.75</v>
      </c>
      <c r="D72">
        <v>24</v>
      </c>
      <c r="E72">
        <v>24.3</v>
      </c>
      <c r="F72">
        <v>24.426386487564798</v>
      </c>
      <c r="G72">
        <v>7519</v>
      </c>
      <c r="H72">
        <v>29</v>
      </c>
      <c r="I72">
        <v>183662</v>
      </c>
      <c r="J72">
        <v>5119</v>
      </c>
      <c r="K72">
        <v>68.08</v>
      </c>
      <c r="L72">
        <v>1.75</v>
      </c>
      <c r="M72">
        <v>0.25</v>
      </c>
    </row>
    <row r="73" spans="1:13" x14ac:dyDescent="0.3">
      <c r="A73" s="1">
        <v>44305</v>
      </c>
      <c r="B73">
        <v>23.75</v>
      </c>
      <c r="C73">
        <v>24.05</v>
      </c>
      <c r="D73">
        <v>23</v>
      </c>
      <c r="E73">
        <v>23.05</v>
      </c>
      <c r="F73">
        <v>23.238504242170301</v>
      </c>
      <c r="G73">
        <v>9547</v>
      </c>
      <c r="H73">
        <v>45</v>
      </c>
      <c r="I73">
        <v>221858</v>
      </c>
      <c r="J73">
        <v>8619</v>
      </c>
      <c r="K73">
        <v>90.28</v>
      </c>
      <c r="L73">
        <v>1.05</v>
      </c>
      <c r="M73">
        <v>-0.7</v>
      </c>
    </row>
    <row r="74" spans="1:13" x14ac:dyDescent="0.3">
      <c r="A74" s="1">
        <v>44306</v>
      </c>
      <c r="B74">
        <v>23.5</v>
      </c>
      <c r="C74">
        <v>24.95</v>
      </c>
      <c r="D74">
        <v>23.5</v>
      </c>
      <c r="E74">
        <v>24.05</v>
      </c>
      <c r="F74">
        <v>23.999892680832701</v>
      </c>
      <c r="G74">
        <v>9318</v>
      </c>
      <c r="H74">
        <v>33</v>
      </c>
      <c r="I74">
        <v>223631</v>
      </c>
      <c r="J74">
        <v>8318</v>
      </c>
      <c r="K74">
        <v>89.27</v>
      </c>
      <c r="L74">
        <v>1.45</v>
      </c>
      <c r="M74">
        <v>0.55000000000000004</v>
      </c>
    </row>
    <row r="75" spans="1:13" x14ac:dyDescent="0.3">
      <c r="A75" s="1">
        <v>44308</v>
      </c>
      <c r="B75">
        <v>23.6</v>
      </c>
      <c r="C75">
        <v>24.5</v>
      </c>
      <c r="D75">
        <v>23.6</v>
      </c>
      <c r="E75">
        <v>24.4</v>
      </c>
      <c r="F75">
        <v>24.327482447342</v>
      </c>
      <c r="G75">
        <v>1994</v>
      </c>
      <c r="H75">
        <v>14</v>
      </c>
      <c r="I75">
        <v>48509</v>
      </c>
      <c r="J75">
        <v>1974</v>
      </c>
      <c r="K75">
        <v>99</v>
      </c>
      <c r="L75">
        <v>0.9</v>
      </c>
      <c r="M75">
        <v>0.8</v>
      </c>
    </row>
    <row r="76" spans="1:13" x14ac:dyDescent="0.3">
      <c r="A76" s="1">
        <v>44309</v>
      </c>
      <c r="B76">
        <v>24.25</v>
      </c>
      <c r="C76">
        <v>25.45</v>
      </c>
      <c r="D76">
        <v>23.7</v>
      </c>
      <c r="E76">
        <v>24.6</v>
      </c>
      <c r="F76">
        <v>24.325059546195298</v>
      </c>
      <c r="G76">
        <v>15954</v>
      </c>
      <c r="H76">
        <v>50</v>
      </c>
      <c r="I76">
        <v>388082</v>
      </c>
      <c r="J76">
        <v>12263</v>
      </c>
      <c r="K76">
        <v>76.86</v>
      </c>
      <c r="L76">
        <v>1.75</v>
      </c>
      <c r="M76">
        <v>0.35</v>
      </c>
    </row>
    <row r="77" spans="1:13" x14ac:dyDescent="0.3">
      <c r="A77" s="1">
        <v>44312</v>
      </c>
      <c r="B77">
        <v>24.75</v>
      </c>
      <c r="C77">
        <v>25</v>
      </c>
      <c r="D77">
        <v>23.9</v>
      </c>
      <c r="E77">
        <v>24.25</v>
      </c>
      <c r="F77">
        <v>24.458279370952798</v>
      </c>
      <c r="G77">
        <v>5405</v>
      </c>
      <c r="H77">
        <v>26</v>
      </c>
      <c r="I77">
        <v>132197</v>
      </c>
      <c r="J77">
        <v>3821</v>
      </c>
      <c r="K77">
        <v>70.69</v>
      </c>
      <c r="L77">
        <v>1.1000000000000001</v>
      </c>
      <c r="M77">
        <v>-0.5</v>
      </c>
    </row>
    <row r="78" spans="1:13" x14ac:dyDescent="0.3">
      <c r="A78" s="1">
        <v>44313</v>
      </c>
      <c r="B78">
        <v>25.4</v>
      </c>
      <c r="C78">
        <v>25.4</v>
      </c>
      <c r="D78">
        <v>23.45</v>
      </c>
      <c r="E78">
        <v>23.6</v>
      </c>
      <c r="F78">
        <v>24.0748374957235</v>
      </c>
      <c r="G78">
        <v>11692</v>
      </c>
      <c r="H78">
        <v>53</v>
      </c>
      <c r="I78">
        <v>281483</v>
      </c>
      <c r="J78">
        <v>10877</v>
      </c>
      <c r="K78">
        <v>93.03</v>
      </c>
      <c r="L78">
        <v>1.95</v>
      </c>
      <c r="M78">
        <v>-1.8</v>
      </c>
    </row>
    <row r="79" spans="1:13" x14ac:dyDescent="0.3">
      <c r="A79" s="1">
        <v>44314</v>
      </c>
      <c r="B79">
        <v>24.3</v>
      </c>
      <c r="C79">
        <v>28.3</v>
      </c>
      <c r="D79">
        <v>24.3</v>
      </c>
      <c r="E79">
        <v>28.3</v>
      </c>
      <c r="F79">
        <v>27.6808610873783</v>
      </c>
      <c r="G79">
        <v>125237</v>
      </c>
      <c r="H79">
        <v>405</v>
      </c>
      <c r="I79">
        <v>3466668</v>
      </c>
      <c r="J79">
        <v>97486</v>
      </c>
      <c r="K79">
        <v>77.84</v>
      </c>
      <c r="L79">
        <v>4</v>
      </c>
      <c r="M79">
        <v>4</v>
      </c>
    </row>
    <row r="80" spans="1:13" x14ac:dyDescent="0.3">
      <c r="A80" s="1">
        <v>44315</v>
      </c>
      <c r="B80">
        <v>30.5</v>
      </c>
      <c r="C80">
        <v>30.5</v>
      </c>
      <c r="D80">
        <v>28</v>
      </c>
      <c r="E80">
        <v>29.2</v>
      </c>
      <c r="F80">
        <v>29.418846775801299</v>
      </c>
      <c r="G80">
        <v>45143</v>
      </c>
      <c r="H80">
        <v>215</v>
      </c>
      <c r="I80">
        <v>1328055</v>
      </c>
      <c r="J80">
        <v>40535</v>
      </c>
      <c r="K80">
        <v>89.79</v>
      </c>
      <c r="L80">
        <v>2.5</v>
      </c>
      <c r="M80">
        <v>-1.3</v>
      </c>
    </row>
    <row r="81" spans="1:13" x14ac:dyDescent="0.3">
      <c r="A81" s="1">
        <v>44316</v>
      </c>
      <c r="B81">
        <v>27.35</v>
      </c>
      <c r="C81">
        <v>29.05</v>
      </c>
      <c r="D81">
        <v>27.1</v>
      </c>
      <c r="E81">
        <v>27.55</v>
      </c>
      <c r="F81">
        <v>27.709362610551899</v>
      </c>
      <c r="G81">
        <v>9837</v>
      </c>
      <c r="H81">
        <v>72</v>
      </c>
      <c r="I81">
        <v>272577</v>
      </c>
      <c r="J81">
        <v>7425</v>
      </c>
      <c r="K81">
        <v>75.48</v>
      </c>
      <c r="L81">
        <v>1.95</v>
      </c>
      <c r="M81">
        <v>0.2</v>
      </c>
    </row>
    <row r="82" spans="1:13" x14ac:dyDescent="0.3">
      <c r="A82" s="1">
        <v>44319</v>
      </c>
      <c r="B82">
        <v>28</v>
      </c>
      <c r="C82">
        <v>28</v>
      </c>
      <c r="D82">
        <v>24.55</v>
      </c>
      <c r="E82">
        <v>26.85</v>
      </c>
      <c r="F82">
        <v>25.945604361563699</v>
      </c>
      <c r="G82">
        <v>32282</v>
      </c>
      <c r="H82">
        <v>147</v>
      </c>
      <c r="I82">
        <v>837576</v>
      </c>
      <c r="J82">
        <v>17567</v>
      </c>
      <c r="K82">
        <v>54.42</v>
      </c>
      <c r="L82">
        <v>3.45</v>
      </c>
      <c r="M82">
        <v>-1.1499999999999999</v>
      </c>
    </row>
    <row r="83" spans="1:13" x14ac:dyDescent="0.3">
      <c r="A83" s="1">
        <v>44320</v>
      </c>
      <c r="B83">
        <v>26.35</v>
      </c>
      <c r="C83">
        <v>28</v>
      </c>
      <c r="D83">
        <v>26.3</v>
      </c>
      <c r="E83">
        <v>27.9</v>
      </c>
      <c r="F83">
        <v>27.654955530440699</v>
      </c>
      <c r="G83">
        <v>20351</v>
      </c>
      <c r="H83">
        <v>68</v>
      </c>
      <c r="I83">
        <v>562806</v>
      </c>
      <c r="J83">
        <v>18972</v>
      </c>
      <c r="K83">
        <v>93.22</v>
      </c>
      <c r="L83">
        <v>1.7</v>
      </c>
      <c r="M83">
        <v>1.55</v>
      </c>
    </row>
    <row r="84" spans="1:13" x14ac:dyDescent="0.3">
      <c r="A84" s="1">
        <v>44321</v>
      </c>
      <c r="B84">
        <v>28</v>
      </c>
      <c r="C84">
        <v>29.1</v>
      </c>
      <c r="D84">
        <v>27.05</v>
      </c>
      <c r="E84">
        <v>28.75</v>
      </c>
      <c r="F84">
        <v>28.286863069292</v>
      </c>
      <c r="G84">
        <v>39918</v>
      </c>
      <c r="H84">
        <v>115</v>
      </c>
      <c r="I84">
        <v>1129155</v>
      </c>
      <c r="J84">
        <v>22994</v>
      </c>
      <c r="K84">
        <v>57.6</v>
      </c>
      <c r="L84">
        <v>2.0499999999999998</v>
      </c>
      <c r="M84">
        <v>0.75</v>
      </c>
    </row>
    <row r="85" spans="1:13" x14ac:dyDescent="0.3">
      <c r="A85" s="1">
        <v>44322</v>
      </c>
      <c r="B85">
        <v>29.95</v>
      </c>
      <c r="C85">
        <v>30</v>
      </c>
      <c r="D85">
        <v>27.7</v>
      </c>
      <c r="E85">
        <v>28</v>
      </c>
      <c r="F85">
        <v>28.613761435731998</v>
      </c>
      <c r="G85">
        <v>28529</v>
      </c>
      <c r="H85">
        <v>150</v>
      </c>
      <c r="I85">
        <v>816322</v>
      </c>
      <c r="J85">
        <v>25257</v>
      </c>
      <c r="K85">
        <v>88.53</v>
      </c>
      <c r="L85">
        <v>2.2999999999999998</v>
      </c>
      <c r="M85">
        <v>-1.95</v>
      </c>
    </row>
    <row r="86" spans="1:13" x14ac:dyDescent="0.3">
      <c r="A86" s="1">
        <v>44323</v>
      </c>
      <c r="B86">
        <v>28.45</v>
      </c>
      <c r="C86">
        <v>28.45</v>
      </c>
      <c r="D86">
        <v>27.25</v>
      </c>
      <c r="E86">
        <v>27.65</v>
      </c>
      <c r="F86">
        <v>27.754345837145401</v>
      </c>
      <c r="G86">
        <v>8744</v>
      </c>
      <c r="H86">
        <v>59</v>
      </c>
      <c r="I86">
        <v>242684</v>
      </c>
      <c r="J86">
        <v>7479</v>
      </c>
      <c r="K86">
        <v>85.53</v>
      </c>
      <c r="L86">
        <v>1.2</v>
      </c>
      <c r="M86">
        <v>-0.8</v>
      </c>
    </row>
    <row r="87" spans="1:13" x14ac:dyDescent="0.3">
      <c r="A87" s="1">
        <v>44326</v>
      </c>
      <c r="B87">
        <v>28.4</v>
      </c>
      <c r="C87">
        <v>28.4</v>
      </c>
      <c r="D87">
        <v>26.5</v>
      </c>
      <c r="E87">
        <v>26.6</v>
      </c>
      <c r="F87">
        <v>27.388481291269201</v>
      </c>
      <c r="G87">
        <v>10904</v>
      </c>
      <c r="H87">
        <v>83</v>
      </c>
      <c r="I87">
        <v>298644</v>
      </c>
      <c r="J87">
        <v>7041</v>
      </c>
      <c r="K87">
        <v>64.569999999999993</v>
      </c>
      <c r="L87">
        <v>1.9</v>
      </c>
      <c r="M87">
        <v>-1.8</v>
      </c>
    </row>
    <row r="88" spans="1:13" x14ac:dyDescent="0.3">
      <c r="A88" s="1">
        <v>44327</v>
      </c>
      <c r="B88">
        <v>27.85</v>
      </c>
      <c r="C88">
        <v>27.85</v>
      </c>
      <c r="D88">
        <v>26.15</v>
      </c>
      <c r="E88">
        <v>27.05</v>
      </c>
      <c r="F88">
        <v>26.912762520193802</v>
      </c>
      <c r="G88">
        <v>7428</v>
      </c>
      <c r="H88">
        <v>50</v>
      </c>
      <c r="I88">
        <v>199908</v>
      </c>
      <c r="J88">
        <v>5962</v>
      </c>
      <c r="K88">
        <v>80.260000000000005</v>
      </c>
      <c r="L88">
        <v>1.7</v>
      </c>
      <c r="M88">
        <v>-0.8</v>
      </c>
    </row>
    <row r="89" spans="1:13" x14ac:dyDescent="0.3">
      <c r="A89" s="1">
        <v>44328</v>
      </c>
      <c r="B89">
        <v>28.75</v>
      </c>
      <c r="C89">
        <v>28.75</v>
      </c>
      <c r="D89">
        <v>26.15</v>
      </c>
      <c r="E89">
        <v>26.65</v>
      </c>
      <c r="F89">
        <v>27.263752825923099</v>
      </c>
      <c r="G89">
        <v>17251</v>
      </c>
      <c r="H89">
        <v>62</v>
      </c>
      <c r="I89">
        <v>470327</v>
      </c>
      <c r="J89">
        <v>14307</v>
      </c>
      <c r="K89">
        <v>82.93</v>
      </c>
      <c r="L89">
        <v>2.6</v>
      </c>
      <c r="M89">
        <v>-2.1</v>
      </c>
    </row>
    <row r="90" spans="1:13" x14ac:dyDescent="0.3">
      <c r="A90" s="1">
        <v>44330</v>
      </c>
      <c r="B90">
        <v>27.7</v>
      </c>
      <c r="C90">
        <v>27.7</v>
      </c>
      <c r="D90">
        <v>25</v>
      </c>
      <c r="E90">
        <v>26.1</v>
      </c>
      <c r="F90">
        <v>25.826319816373299</v>
      </c>
      <c r="G90">
        <v>15684</v>
      </c>
      <c r="H90">
        <v>64</v>
      </c>
      <c r="I90">
        <v>405060</v>
      </c>
      <c r="J90">
        <v>11609</v>
      </c>
      <c r="K90">
        <v>74.02</v>
      </c>
      <c r="L90">
        <v>2.7</v>
      </c>
      <c r="M90">
        <v>-1.6</v>
      </c>
    </row>
    <row r="91" spans="1:13" x14ac:dyDescent="0.3">
      <c r="A91" s="1">
        <v>44333</v>
      </c>
      <c r="B91">
        <v>26.95</v>
      </c>
      <c r="C91">
        <v>27.5</v>
      </c>
      <c r="D91">
        <v>26.1</v>
      </c>
      <c r="E91">
        <v>26.95</v>
      </c>
      <c r="F91">
        <v>26.6552673252394</v>
      </c>
      <c r="G91">
        <v>26522</v>
      </c>
      <c r="H91">
        <v>69</v>
      </c>
      <c r="I91">
        <v>706951</v>
      </c>
      <c r="J91">
        <v>24137</v>
      </c>
      <c r="K91">
        <v>91.01</v>
      </c>
      <c r="L91">
        <v>1.4</v>
      </c>
      <c r="M91">
        <v>0</v>
      </c>
    </row>
    <row r="92" spans="1:13" x14ac:dyDescent="0.3">
      <c r="A92" s="1">
        <v>44334</v>
      </c>
      <c r="B92">
        <v>28.3</v>
      </c>
      <c r="C92">
        <v>28.3</v>
      </c>
      <c r="D92">
        <v>26.25</v>
      </c>
      <c r="E92">
        <v>26.5</v>
      </c>
      <c r="F92">
        <v>26.564414345082302</v>
      </c>
      <c r="G92">
        <v>12994</v>
      </c>
      <c r="H92">
        <v>47</v>
      </c>
      <c r="I92">
        <v>345178</v>
      </c>
      <c r="J92">
        <v>11437</v>
      </c>
      <c r="K92">
        <v>88.02</v>
      </c>
      <c r="L92">
        <v>2.0499999999999998</v>
      </c>
      <c r="M92">
        <v>-1.8</v>
      </c>
    </row>
    <row r="93" spans="1:13" x14ac:dyDescent="0.3">
      <c r="A93" s="1">
        <v>44335</v>
      </c>
      <c r="B93">
        <v>28.15</v>
      </c>
      <c r="C93">
        <v>28.15</v>
      </c>
      <c r="D93">
        <v>26.05</v>
      </c>
      <c r="E93">
        <v>27.3</v>
      </c>
      <c r="F93">
        <v>27.263010269341802</v>
      </c>
      <c r="G93">
        <v>109452</v>
      </c>
      <c r="H93">
        <v>240</v>
      </c>
      <c r="I93">
        <v>2983991</v>
      </c>
      <c r="J93">
        <v>71442</v>
      </c>
      <c r="K93">
        <v>65.27</v>
      </c>
      <c r="L93">
        <v>2.1</v>
      </c>
      <c r="M93">
        <v>-0.85</v>
      </c>
    </row>
    <row r="94" spans="1:13" x14ac:dyDescent="0.3">
      <c r="A94" s="1">
        <v>44336</v>
      </c>
      <c r="B94">
        <v>27.85</v>
      </c>
      <c r="C94">
        <v>28.9</v>
      </c>
      <c r="D94">
        <v>26.9</v>
      </c>
      <c r="E94">
        <v>27.2</v>
      </c>
      <c r="F94">
        <v>27.350494112077602</v>
      </c>
      <c r="G94">
        <v>50697</v>
      </c>
      <c r="H94">
        <v>93</v>
      </c>
      <c r="I94">
        <v>1386588</v>
      </c>
      <c r="J94">
        <v>47221</v>
      </c>
      <c r="K94">
        <v>93.14</v>
      </c>
      <c r="L94">
        <v>2</v>
      </c>
      <c r="M94">
        <v>-0.65</v>
      </c>
    </row>
    <row r="95" spans="1:13" x14ac:dyDescent="0.3">
      <c r="A95" s="1">
        <v>44337</v>
      </c>
      <c r="B95">
        <v>26.1</v>
      </c>
      <c r="C95">
        <v>32</v>
      </c>
      <c r="D95">
        <v>26.1</v>
      </c>
      <c r="E95">
        <v>30.15</v>
      </c>
      <c r="F95">
        <v>29.961222259668901</v>
      </c>
      <c r="G95">
        <v>195834</v>
      </c>
      <c r="H95">
        <v>1001</v>
      </c>
      <c r="I95">
        <v>5867426</v>
      </c>
      <c r="J95">
        <v>118983</v>
      </c>
      <c r="K95">
        <v>60.76</v>
      </c>
      <c r="L95">
        <v>5.9</v>
      </c>
      <c r="M95">
        <v>4.05</v>
      </c>
    </row>
    <row r="96" spans="1:13" x14ac:dyDescent="0.3">
      <c r="A96" s="1">
        <v>44340</v>
      </c>
      <c r="B96">
        <v>30</v>
      </c>
      <c r="C96">
        <v>36.15</v>
      </c>
      <c r="D96">
        <v>30</v>
      </c>
      <c r="E96">
        <v>36.15</v>
      </c>
      <c r="F96">
        <v>34.920088910248701</v>
      </c>
      <c r="G96">
        <v>166460</v>
      </c>
      <c r="H96">
        <v>572</v>
      </c>
      <c r="I96">
        <v>5812798</v>
      </c>
      <c r="J96">
        <v>147890</v>
      </c>
      <c r="K96">
        <v>88.84</v>
      </c>
      <c r="L96">
        <v>6.15</v>
      </c>
      <c r="M96">
        <v>6.15</v>
      </c>
    </row>
    <row r="97" spans="1:13" x14ac:dyDescent="0.3">
      <c r="A97" s="1">
        <v>44341</v>
      </c>
      <c r="B97">
        <v>40</v>
      </c>
      <c r="C97">
        <v>43.35</v>
      </c>
      <c r="D97">
        <v>37</v>
      </c>
      <c r="E97">
        <v>41.95</v>
      </c>
      <c r="F97">
        <v>41.900513184628103</v>
      </c>
      <c r="G97">
        <v>599979</v>
      </c>
      <c r="H97">
        <v>1804</v>
      </c>
      <c r="I97">
        <v>25139428</v>
      </c>
      <c r="J97">
        <v>412130</v>
      </c>
      <c r="K97">
        <v>68.69</v>
      </c>
      <c r="L97">
        <v>6.35</v>
      </c>
      <c r="M97">
        <v>1.95</v>
      </c>
    </row>
    <row r="98" spans="1:13" x14ac:dyDescent="0.3">
      <c r="A98" s="1">
        <v>44342</v>
      </c>
      <c r="B98">
        <v>44.3</v>
      </c>
      <c r="C98">
        <v>45</v>
      </c>
      <c r="D98">
        <v>42</v>
      </c>
      <c r="E98">
        <v>43</v>
      </c>
      <c r="F98">
        <v>43.462525998232401</v>
      </c>
      <c r="G98">
        <v>150491</v>
      </c>
      <c r="H98">
        <v>727</v>
      </c>
      <c r="I98">
        <v>6540719</v>
      </c>
      <c r="J98">
        <v>108544</v>
      </c>
      <c r="K98">
        <v>72.13</v>
      </c>
      <c r="L98">
        <v>3</v>
      </c>
      <c r="M98">
        <v>-1.3</v>
      </c>
    </row>
    <row r="99" spans="1:13" x14ac:dyDescent="0.3">
      <c r="A99" s="1">
        <v>44343</v>
      </c>
      <c r="B99">
        <v>44.25</v>
      </c>
      <c r="C99">
        <v>44.35</v>
      </c>
      <c r="D99">
        <v>39.15</v>
      </c>
      <c r="E99">
        <v>40.1</v>
      </c>
      <c r="F99">
        <v>41.885170402210598</v>
      </c>
      <c r="G99">
        <v>81425</v>
      </c>
      <c r="H99">
        <v>375</v>
      </c>
      <c r="I99">
        <v>3410500</v>
      </c>
      <c r="J99">
        <v>67506</v>
      </c>
      <c r="K99">
        <v>82.91</v>
      </c>
      <c r="L99">
        <v>5.2</v>
      </c>
      <c r="M99">
        <v>-4.1500000000000004</v>
      </c>
    </row>
    <row r="100" spans="1:13" x14ac:dyDescent="0.3">
      <c r="A100" s="1">
        <v>44344</v>
      </c>
      <c r="B100">
        <v>40.1</v>
      </c>
      <c r="C100">
        <v>41.65</v>
      </c>
      <c r="D100">
        <v>37</v>
      </c>
      <c r="E100">
        <v>38.549999999999997</v>
      </c>
      <c r="F100">
        <v>39.178533110806399</v>
      </c>
      <c r="G100">
        <v>67108</v>
      </c>
      <c r="H100">
        <v>289</v>
      </c>
      <c r="I100">
        <v>2629193</v>
      </c>
      <c r="J100">
        <v>42442</v>
      </c>
      <c r="K100">
        <v>63.24</v>
      </c>
      <c r="L100">
        <v>4.6500000000000004</v>
      </c>
      <c r="M100">
        <v>-1.55</v>
      </c>
    </row>
    <row r="101" spans="1:13" x14ac:dyDescent="0.3">
      <c r="A101" s="1">
        <v>44347</v>
      </c>
      <c r="B101">
        <v>40.9</v>
      </c>
      <c r="C101">
        <v>40.9</v>
      </c>
      <c r="D101">
        <v>37.450000000000003</v>
      </c>
      <c r="E101">
        <v>39.35</v>
      </c>
      <c r="F101">
        <v>38.495462250158901</v>
      </c>
      <c r="G101">
        <v>56636</v>
      </c>
      <c r="H101">
        <v>171</v>
      </c>
      <c r="I101">
        <v>2180229</v>
      </c>
      <c r="J101">
        <v>47348</v>
      </c>
      <c r="K101">
        <v>83.6</v>
      </c>
      <c r="L101">
        <v>3.45</v>
      </c>
      <c r="M101">
        <v>-1.55</v>
      </c>
    </row>
    <row r="102" spans="1:13" x14ac:dyDescent="0.3">
      <c r="A102" s="1">
        <v>44348</v>
      </c>
      <c r="B102">
        <v>38.049999999999997</v>
      </c>
      <c r="C102">
        <v>39.799999999999997</v>
      </c>
      <c r="D102">
        <v>38</v>
      </c>
      <c r="E102">
        <v>39.200000000000003</v>
      </c>
      <c r="F102">
        <v>38.974354902739101</v>
      </c>
      <c r="G102">
        <v>25190</v>
      </c>
      <c r="H102">
        <v>121</v>
      </c>
      <c r="I102">
        <v>981764</v>
      </c>
      <c r="J102">
        <v>18665</v>
      </c>
      <c r="K102">
        <v>74.099999999999994</v>
      </c>
      <c r="L102">
        <v>1.8</v>
      </c>
      <c r="M102">
        <v>1.1499999999999999</v>
      </c>
    </row>
    <row r="103" spans="1:13" x14ac:dyDescent="0.3">
      <c r="A103" s="1">
        <v>44349</v>
      </c>
      <c r="B103">
        <v>39.5</v>
      </c>
      <c r="C103">
        <v>40</v>
      </c>
      <c r="D103">
        <v>38</v>
      </c>
      <c r="E103">
        <v>38.799999999999997</v>
      </c>
      <c r="F103">
        <v>39.353907267082803</v>
      </c>
      <c r="G103">
        <v>29957</v>
      </c>
      <c r="H103">
        <v>132</v>
      </c>
      <c r="I103">
        <v>1178925</v>
      </c>
      <c r="J103">
        <v>26111</v>
      </c>
      <c r="K103">
        <v>87.16</v>
      </c>
      <c r="L103">
        <v>2</v>
      </c>
      <c r="M103">
        <v>-0.7</v>
      </c>
    </row>
    <row r="104" spans="1:13" x14ac:dyDescent="0.3">
      <c r="A104" s="1">
        <v>44350</v>
      </c>
      <c r="B104">
        <v>42</v>
      </c>
      <c r="C104">
        <v>42.65</v>
      </c>
      <c r="D104">
        <v>40.200000000000003</v>
      </c>
      <c r="E104">
        <v>42.65</v>
      </c>
      <c r="F104">
        <v>42.377312246418803</v>
      </c>
      <c r="G104">
        <v>60385</v>
      </c>
      <c r="H104">
        <v>242</v>
      </c>
      <c r="I104">
        <v>2558954</v>
      </c>
      <c r="J104">
        <v>56522</v>
      </c>
      <c r="K104">
        <v>93.6</v>
      </c>
      <c r="L104">
        <v>2.4500000000000002</v>
      </c>
      <c r="M104">
        <v>0.65</v>
      </c>
    </row>
    <row r="105" spans="1:13" x14ac:dyDescent="0.3">
      <c r="A105" s="1">
        <v>44351</v>
      </c>
      <c r="B105">
        <v>45.45</v>
      </c>
      <c r="C105">
        <v>45.45</v>
      </c>
      <c r="D105">
        <v>40.299999999999997</v>
      </c>
      <c r="E105">
        <v>44.3</v>
      </c>
      <c r="F105">
        <v>43.793588263261498</v>
      </c>
      <c r="G105">
        <v>44169</v>
      </c>
      <c r="H105">
        <v>201</v>
      </c>
      <c r="I105">
        <v>1934319</v>
      </c>
      <c r="J105">
        <v>40362</v>
      </c>
      <c r="K105">
        <v>91.38</v>
      </c>
      <c r="L105">
        <v>5.15</v>
      </c>
      <c r="M105">
        <v>-1.1499999999999999</v>
      </c>
    </row>
    <row r="106" spans="1:13" x14ac:dyDescent="0.3">
      <c r="A106" s="1">
        <v>44354</v>
      </c>
      <c r="B106">
        <v>45.1</v>
      </c>
      <c r="C106">
        <v>48.7</v>
      </c>
      <c r="D106">
        <v>45.1</v>
      </c>
      <c r="E106">
        <v>48.7</v>
      </c>
      <c r="F106">
        <v>48.1818566548774</v>
      </c>
      <c r="G106">
        <v>132324</v>
      </c>
      <c r="H106">
        <v>369</v>
      </c>
      <c r="I106">
        <v>6375616</v>
      </c>
      <c r="J106">
        <v>118455</v>
      </c>
      <c r="K106">
        <v>89.52</v>
      </c>
      <c r="L106">
        <v>3.6</v>
      </c>
      <c r="M106">
        <v>3.6</v>
      </c>
    </row>
    <row r="107" spans="1:13" x14ac:dyDescent="0.3">
      <c r="A107" s="1">
        <v>44355</v>
      </c>
      <c r="B107">
        <v>51</v>
      </c>
      <c r="C107">
        <v>53.25</v>
      </c>
      <c r="D107">
        <v>46.25</v>
      </c>
      <c r="E107">
        <v>52.3</v>
      </c>
      <c r="F107">
        <v>51.333585070318499</v>
      </c>
      <c r="G107">
        <v>119172</v>
      </c>
      <c r="H107">
        <v>526</v>
      </c>
      <c r="I107">
        <v>6117526</v>
      </c>
      <c r="J107">
        <v>99438</v>
      </c>
      <c r="K107">
        <v>83.44</v>
      </c>
      <c r="L107">
        <v>7</v>
      </c>
      <c r="M107">
        <v>1.3</v>
      </c>
    </row>
    <row r="108" spans="1:13" x14ac:dyDescent="0.3">
      <c r="A108" s="1">
        <v>44356</v>
      </c>
      <c r="B108">
        <v>53</v>
      </c>
      <c r="C108">
        <v>54</v>
      </c>
      <c r="D108">
        <v>49.7</v>
      </c>
      <c r="E108">
        <v>49.7</v>
      </c>
      <c r="F108">
        <v>51.762450646363497</v>
      </c>
      <c r="G108">
        <v>81301</v>
      </c>
      <c r="H108">
        <v>348</v>
      </c>
      <c r="I108">
        <v>4208339</v>
      </c>
      <c r="J108">
        <v>69252</v>
      </c>
      <c r="K108">
        <v>85.18</v>
      </c>
      <c r="L108">
        <v>4.3</v>
      </c>
      <c r="M108">
        <v>-3.3</v>
      </c>
    </row>
    <row r="109" spans="1:13" x14ac:dyDescent="0.3">
      <c r="A109" s="1">
        <v>44357</v>
      </c>
      <c r="B109">
        <v>52.15</v>
      </c>
      <c r="C109">
        <v>52.15</v>
      </c>
      <c r="D109">
        <v>49.1</v>
      </c>
      <c r="E109">
        <v>50.55</v>
      </c>
      <c r="F109">
        <v>50.350869559962703</v>
      </c>
      <c r="G109">
        <v>82743</v>
      </c>
      <c r="H109">
        <v>531</v>
      </c>
      <c r="I109">
        <v>4166182</v>
      </c>
      <c r="J109">
        <v>57959</v>
      </c>
      <c r="K109">
        <v>70.05</v>
      </c>
      <c r="L109">
        <v>3.05</v>
      </c>
      <c r="M109">
        <v>-1.6</v>
      </c>
    </row>
    <row r="110" spans="1:13" x14ac:dyDescent="0.3">
      <c r="A110" s="1">
        <v>44358</v>
      </c>
      <c r="B110">
        <v>50.7</v>
      </c>
      <c r="C110">
        <v>51.8</v>
      </c>
      <c r="D110">
        <v>48.15</v>
      </c>
      <c r="E110">
        <v>49.55</v>
      </c>
      <c r="F110">
        <v>49.581709563955101</v>
      </c>
      <c r="G110">
        <v>53733</v>
      </c>
      <c r="H110">
        <v>285</v>
      </c>
      <c r="I110">
        <v>2664174</v>
      </c>
      <c r="J110">
        <v>42887</v>
      </c>
      <c r="K110">
        <v>79.819999999999993</v>
      </c>
      <c r="L110">
        <v>3.65</v>
      </c>
      <c r="M110">
        <v>-1.1499999999999999</v>
      </c>
    </row>
    <row r="111" spans="1:13" x14ac:dyDescent="0.3">
      <c r="A111" s="1">
        <v>44361</v>
      </c>
      <c r="B111">
        <v>49.85</v>
      </c>
      <c r="C111">
        <v>49.85</v>
      </c>
      <c r="D111">
        <v>47.5</v>
      </c>
      <c r="E111">
        <v>48.6</v>
      </c>
      <c r="F111">
        <v>48.5051474680022</v>
      </c>
      <c r="G111">
        <v>43128</v>
      </c>
      <c r="H111">
        <v>202</v>
      </c>
      <c r="I111">
        <v>2091930</v>
      </c>
      <c r="J111">
        <v>31955</v>
      </c>
      <c r="K111">
        <v>74.09</v>
      </c>
      <c r="L111">
        <v>2.35</v>
      </c>
      <c r="M111">
        <v>-1.25</v>
      </c>
    </row>
    <row r="112" spans="1:13" x14ac:dyDescent="0.3">
      <c r="A112" s="1">
        <v>44362</v>
      </c>
      <c r="B112">
        <v>48.65</v>
      </c>
      <c r="C112">
        <v>50.85</v>
      </c>
      <c r="D112">
        <v>48.5</v>
      </c>
      <c r="E112">
        <v>49.95</v>
      </c>
      <c r="F112">
        <v>49.983507336525101</v>
      </c>
      <c r="G112">
        <v>77489</v>
      </c>
      <c r="H112">
        <v>312</v>
      </c>
      <c r="I112">
        <v>3873172</v>
      </c>
      <c r="J112">
        <v>54691</v>
      </c>
      <c r="K112">
        <v>70.58</v>
      </c>
      <c r="L112">
        <v>2.35</v>
      </c>
      <c r="M112">
        <v>1.3</v>
      </c>
    </row>
    <row r="113" spans="1:13" x14ac:dyDescent="0.3">
      <c r="A113" s="1">
        <v>44363</v>
      </c>
      <c r="B113">
        <v>48.25</v>
      </c>
      <c r="C113">
        <v>50.6</v>
      </c>
      <c r="D113">
        <v>48.1</v>
      </c>
      <c r="E113">
        <v>48.5</v>
      </c>
      <c r="F113">
        <v>49.360122936934303</v>
      </c>
      <c r="G113">
        <v>41322</v>
      </c>
      <c r="H113">
        <v>156</v>
      </c>
      <c r="I113">
        <v>2039659</v>
      </c>
      <c r="J113">
        <v>28277</v>
      </c>
      <c r="K113">
        <v>68.430000000000007</v>
      </c>
      <c r="L113">
        <v>2.5</v>
      </c>
      <c r="M113">
        <v>0.25</v>
      </c>
    </row>
    <row r="114" spans="1:13" x14ac:dyDescent="0.3">
      <c r="A114" s="1">
        <v>44364</v>
      </c>
      <c r="B114">
        <v>47</v>
      </c>
      <c r="C114">
        <v>50.5</v>
      </c>
      <c r="D114">
        <v>47</v>
      </c>
      <c r="E114">
        <v>48.3</v>
      </c>
      <c r="F114">
        <v>48.659783601080001</v>
      </c>
      <c r="G114">
        <v>51479</v>
      </c>
      <c r="H114">
        <v>212</v>
      </c>
      <c r="I114">
        <v>2504957</v>
      </c>
      <c r="J114">
        <v>35433</v>
      </c>
      <c r="K114">
        <v>68.83</v>
      </c>
      <c r="L114">
        <v>3.5</v>
      </c>
      <c r="M114">
        <v>1.3</v>
      </c>
    </row>
    <row r="115" spans="1:13" x14ac:dyDescent="0.3">
      <c r="A115" s="1">
        <v>44365</v>
      </c>
      <c r="B115">
        <v>50.7</v>
      </c>
      <c r="C115">
        <v>50.7</v>
      </c>
      <c r="D115">
        <v>45.9</v>
      </c>
      <c r="E115">
        <v>47.45</v>
      </c>
      <c r="F115">
        <v>47.992869778496399</v>
      </c>
      <c r="G115">
        <v>92143</v>
      </c>
      <c r="H115">
        <v>589</v>
      </c>
      <c r="I115">
        <v>4422207</v>
      </c>
      <c r="J115">
        <v>61592</v>
      </c>
      <c r="K115">
        <v>66.84</v>
      </c>
      <c r="L115">
        <v>4.8</v>
      </c>
      <c r="M115">
        <v>-3.25</v>
      </c>
    </row>
    <row r="116" spans="1:13" x14ac:dyDescent="0.3">
      <c r="A116" s="1">
        <v>44368</v>
      </c>
      <c r="B116">
        <v>47</v>
      </c>
      <c r="C116">
        <v>49.3</v>
      </c>
      <c r="D116">
        <v>46.5</v>
      </c>
      <c r="E116">
        <v>49.1</v>
      </c>
      <c r="F116">
        <v>48.217487548422802</v>
      </c>
      <c r="G116">
        <v>32526</v>
      </c>
      <c r="H116">
        <v>227</v>
      </c>
      <c r="I116">
        <v>1568322</v>
      </c>
      <c r="J116">
        <v>25852</v>
      </c>
      <c r="K116">
        <v>79.48</v>
      </c>
      <c r="L116">
        <v>2.8</v>
      </c>
      <c r="M116">
        <v>2.1</v>
      </c>
    </row>
    <row r="117" spans="1:13" x14ac:dyDescent="0.3">
      <c r="A117" s="1">
        <v>44369</v>
      </c>
      <c r="B117">
        <v>48.55</v>
      </c>
      <c r="C117">
        <v>51.4</v>
      </c>
      <c r="D117">
        <v>48.55</v>
      </c>
      <c r="E117">
        <v>51.2</v>
      </c>
      <c r="F117">
        <v>50.757581460709403</v>
      </c>
      <c r="G117">
        <v>79701</v>
      </c>
      <c r="H117">
        <v>311</v>
      </c>
      <c r="I117">
        <v>4045430</v>
      </c>
      <c r="J117">
        <v>58958</v>
      </c>
      <c r="K117">
        <v>73.97</v>
      </c>
      <c r="L117">
        <v>2.85</v>
      </c>
      <c r="M117">
        <v>2.65</v>
      </c>
    </row>
    <row r="118" spans="1:13" x14ac:dyDescent="0.3">
      <c r="A118" s="1">
        <v>44370</v>
      </c>
      <c r="B118">
        <v>52.5</v>
      </c>
      <c r="C118">
        <v>52.5</v>
      </c>
      <c r="D118">
        <v>49.55</v>
      </c>
      <c r="E118">
        <v>50.35</v>
      </c>
      <c r="F118">
        <v>51.426146056903796</v>
      </c>
      <c r="G118">
        <v>72684</v>
      </c>
      <c r="H118">
        <v>272</v>
      </c>
      <c r="I118">
        <v>3737858</v>
      </c>
      <c r="J118">
        <v>59716</v>
      </c>
      <c r="K118">
        <v>82.16</v>
      </c>
      <c r="L118">
        <v>2.95</v>
      </c>
      <c r="M118">
        <v>-2.15</v>
      </c>
    </row>
    <row r="119" spans="1:13" x14ac:dyDescent="0.3">
      <c r="A119" s="1">
        <v>44371</v>
      </c>
      <c r="B119">
        <v>49.25</v>
      </c>
      <c r="C119">
        <v>50.4</v>
      </c>
      <c r="D119">
        <v>47.85</v>
      </c>
      <c r="E119">
        <v>49</v>
      </c>
      <c r="F119">
        <v>48.801622498647902</v>
      </c>
      <c r="G119">
        <v>27735</v>
      </c>
      <c r="H119">
        <v>194</v>
      </c>
      <c r="I119">
        <v>1353513</v>
      </c>
      <c r="J119">
        <v>19913</v>
      </c>
      <c r="K119">
        <v>71.8</v>
      </c>
      <c r="L119">
        <v>2.5499999999999998</v>
      </c>
      <c r="M119">
        <v>-0.25</v>
      </c>
    </row>
    <row r="120" spans="1:13" x14ac:dyDescent="0.3">
      <c r="A120" s="1">
        <v>44372</v>
      </c>
      <c r="B120">
        <v>49.65</v>
      </c>
      <c r="C120">
        <v>49.65</v>
      </c>
      <c r="D120">
        <v>48.5</v>
      </c>
      <c r="E120">
        <v>48.75</v>
      </c>
      <c r="F120">
        <v>48.924695298897198</v>
      </c>
      <c r="G120">
        <v>6892</v>
      </c>
      <c r="H120">
        <v>58</v>
      </c>
      <c r="I120">
        <v>337189</v>
      </c>
      <c r="J120">
        <v>5807</v>
      </c>
      <c r="K120">
        <v>84.26</v>
      </c>
      <c r="L120">
        <v>1.1499999999999999</v>
      </c>
      <c r="M120">
        <v>-0.9</v>
      </c>
    </row>
    <row r="121" spans="1:13" x14ac:dyDescent="0.3">
      <c r="A121" s="1">
        <v>44375</v>
      </c>
      <c r="B121">
        <v>50</v>
      </c>
      <c r="C121">
        <v>50.35</v>
      </c>
      <c r="D121">
        <v>48.4</v>
      </c>
      <c r="E121">
        <v>48.85</v>
      </c>
      <c r="F121">
        <v>49.365637233579797</v>
      </c>
      <c r="G121">
        <v>11495</v>
      </c>
      <c r="H121">
        <v>106</v>
      </c>
      <c r="I121">
        <v>567458</v>
      </c>
      <c r="J121">
        <v>8681</v>
      </c>
      <c r="K121">
        <v>75.52</v>
      </c>
      <c r="L121">
        <v>1.95</v>
      </c>
      <c r="M121">
        <v>-1.1499999999999999</v>
      </c>
    </row>
    <row r="122" spans="1:13" x14ac:dyDescent="0.3">
      <c r="A122" s="1">
        <v>44376</v>
      </c>
      <c r="B122">
        <v>48.75</v>
      </c>
      <c r="C122">
        <v>49.8</v>
      </c>
      <c r="D122">
        <v>48.5</v>
      </c>
      <c r="E122">
        <v>48.6</v>
      </c>
      <c r="F122">
        <v>48.920116528672096</v>
      </c>
      <c r="G122">
        <v>6522</v>
      </c>
      <c r="H122">
        <v>87</v>
      </c>
      <c r="I122">
        <v>319057</v>
      </c>
      <c r="J122">
        <v>4820</v>
      </c>
      <c r="K122">
        <v>73.900000000000006</v>
      </c>
      <c r="L122">
        <v>1.3</v>
      </c>
      <c r="M122">
        <v>-0.15</v>
      </c>
    </row>
    <row r="123" spans="1:13" x14ac:dyDescent="0.3">
      <c r="A123" s="1">
        <v>44377</v>
      </c>
      <c r="B123">
        <v>48.6</v>
      </c>
      <c r="C123">
        <v>49.7</v>
      </c>
      <c r="D123">
        <v>48</v>
      </c>
      <c r="E123">
        <v>48.3</v>
      </c>
      <c r="F123">
        <v>48.672865037711503</v>
      </c>
      <c r="G123">
        <v>28771</v>
      </c>
      <c r="H123">
        <v>105</v>
      </c>
      <c r="I123">
        <v>1400367</v>
      </c>
      <c r="J123">
        <v>18906</v>
      </c>
      <c r="K123">
        <v>65.709999999999994</v>
      </c>
      <c r="L123">
        <v>1.7</v>
      </c>
      <c r="M123">
        <v>-0.3</v>
      </c>
    </row>
    <row r="124" spans="1:13" x14ac:dyDescent="0.3">
      <c r="A124" s="1">
        <v>44378</v>
      </c>
      <c r="B124">
        <v>48.7</v>
      </c>
      <c r="C124">
        <v>48.7</v>
      </c>
      <c r="D124">
        <v>46.9</v>
      </c>
      <c r="E124">
        <v>47.15</v>
      </c>
      <c r="F124">
        <v>47.298908876437601</v>
      </c>
      <c r="G124">
        <v>33910</v>
      </c>
      <c r="H124">
        <v>152</v>
      </c>
      <c r="I124">
        <v>1603906</v>
      </c>
      <c r="J124">
        <v>32401</v>
      </c>
      <c r="K124">
        <v>95.55</v>
      </c>
      <c r="L124">
        <v>1.8</v>
      </c>
      <c r="M124">
        <v>-1.55</v>
      </c>
    </row>
    <row r="125" spans="1:13" x14ac:dyDescent="0.3">
      <c r="A125" s="1">
        <v>44379</v>
      </c>
      <c r="B125">
        <v>47.5</v>
      </c>
      <c r="C125">
        <v>49</v>
      </c>
      <c r="D125">
        <v>46.4</v>
      </c>
      <c r="E125">
        <v>47.3</v>
      </c>
      <c r="F125">
        <v>47.8978208842423</v>
      </c>
      <c r="G125">
        <v>39695</v>
      </c>
      <c r="H125">
        <v>206</v>
      </c>
      <c r="I125">
        <v>1901304</v>
      </c>
      <c r="J125">
        <v>30503</v>
      </c>
      <c r="K125">
        <v>76.84</v>
      </c>
      <c r="L125">
        <v>2.6</v>
      </c>
      <c r="M125">
        <v>-0.2</v>
      </c>
    </row>
    <row r="126" spans="1:13" x14ac:dyDescent="0.3">
      <c r="A126" s="1">
        <v>44382</v>
      </c>
      <c r="B126">
        <v>46.85</v>
      </c>
      <c r="C126">
        <v>48.95</v>
      </c>
      <c r="D126">
        <v>46.85</v>
      </c>
      <c r="E126">
        <v>48.05</v>
      </c>
      <c r="F126">
        <v>48.293381130507001</v>
      </c>
      <c r="G126">
        <v>19248</v>
      </c>
      <c r="H126">
        <v>149</v>
      </c>
      <c r="I126">
        <v>929551</v>
      </c>
      <c r="J126">
        <v>14960</v>
      </c>
      <c r="K126">
        <v>77.72</v>
      </c>
      <c r="L126">
        <v>2.1</v>
      </c>
      <c r="M126">
        <v>1.2</v>
      </c>
    </row>
    <row r="127" spans="1:13" x14ac:dyDescent="0.3">
      <c r="A127" s="1">
        <v>44383</v>
      </c>
      <c r="B127">
        <v>47.1</v>
      </c>
      <c r="C127">
        <v>50</v>
      </c>
      <c r="D127">
        <v>46.05</v>
      </c>
      <c r="E127">
        <v>46.85</v>
      </c>
      <c r="F127">
        <v>48.515161382552797</v>
      </c>
      <c r="G127">
        <v>125912</v>
      </c>
      <c r="H127">
        <v>440</v>
      </c>
      <c r="I127">
        <v>6108641</v>
      </c>
      <c r="J127">
        <v>60501</v>
      </c>
      <c r="K127">
        <v>48.05</v>
      </c>
      <c r="L127">
        <v>3.95</v>
      </c>
      <c r="M127">
        <v>-0.25</v>
      </c>
    </row>
    <row r="128" spans="1:13" x14ac:dyDescent="0.3">
      <c r="A128" s="1">
        <v>44384</v>
      </c>
      <c r="B128">
        <v>46.7</v>
      </c>
      <c r="C128">
        <v>47.8</v>
      </c>
      <c r="D128">
        <v>46</v>
      </c>
      <c r="E128">
        <v>46.2</v>
      </c>
      <c r="F128">
        <v>46.486513019494097</v>
      </c>
      <c r="G128">
        <v>21391</v>
      </c>
      <c r="H128">
        <v>159</v>
      </c>
      <c r="I128">
        <v>994393</v>
      </c>
      <c r="J128">
        <v>18411</v>
      </c>
      <c r="K128">
        <v>86.07</v>
      </c>
      <c r="L128">
        <v>1.8</v>
      </c>
      <c r="M128">
        <v>-0.5</v>
      </c>
    </row>
    <row r="129" spans="1:13" x14ac:dyDescent="0.3">
      <c r="A129" s="1">
        <v>44385</v>
      </c>
      <c r="B129">
        <v>46.3</v>
      </c>
      <c r="C129">
        <v>47.85</v>
      </c>
      <c r="D129">
        <v>46.1</v>
      </c>
      <c r="E129">
        <v>47.3</v>
      </c>
      <c r="F129">
        <v>47.563107026105001</v>
      </c>
      <c r="G129">
        <v>42214</v>
      </c>
      <c r="H129">
        <v>179</v>
      </c>
      <c r="I129">
        <v>2007829</v>
      </c>
      <c r="J129">
        <v>35582</v>
      </c>
      <c r="K129">
        <v>84.29</v>
      </c>
      <c r="L129">
        <v>1.75</v>
      </c>
      <c r="M129">
        <v>1</v>
      </c>
    </row>
    <row r="130" spans="1:13" x14ac:dyDescent="0.3">
      <c r="A130" s="1">
        <v>44386</v>
      </c>
      <c r="B130">
        <v>48.45</v>
      </c>
      <c r="C130">
        <v>48.45</v>
      </c>
      <c r="D130">
        <v>46.45</v>
      </c>
      <c r="E130">
        <v>46.8</v>
      </c>
      <c r="F130">
        <v>47.0561031084154</v>
      </c>
      <c r="G130">
        <v>11871</v>
      </c>
      <c r="H130">
        <v>119</v>
      </c>
      <c r="I130">
        <v>558603</v>
      </c>
      <c r="J130">
        <v>11070</v>
      </c>
      <c r="K130">
        <v>93.25</v>
      </c>
      <c r="L130">
        <v>2</v>
      </c>
      <c r="M130">
        <v>-1.65</v>
      </c>
    </row>
    <row r="131" spans="1:13" x14ac:dyDescent="0.3">
      <c r="A131" s="1">
        <v>44389</v>
      </c>
      <c r="B131">
        <v>46.8</v>
      </c>
      <c r="C131">
        <v>47.55</v>
      </c>
      <c r="D131">
        <v>44.5</v>
      </c>
      <c r="E131">
        <v>44.55</v>
      </c>
      <c r="F131">
        <v>45.383947325298998</v>
      </c>
      <c r="G131">
        <v>67129</v>
      </c>
      <c r="H131">
        <v>326</v>
      </c>
      <c r="I131">
        <v>3046579</v>
      </c>
      <c r="J131">
        <v>63516</v>
      </c>
      <c r="K131">
        <v>94.62</v>
      </c>
      <c r="L131">
        <v>3.05</v>
      </c>
      <c r="M131">
        <v>-2.25</v>
      </c>
    </row>
    <row r="132" spans="1:13" x14ac:dyDescent="0.3">
      <c r="A132" s="1">
        <v>44390</v>
      </c>
      <c r="B132">
        <v>44.5</v>
      </c>
      <c r="C132">
        <v>45</v>
      </c>
      <c r="D132">
        <v>42.6</v>
      </c>
      <c r="E132">
        <v>43.25</v>
      </c>
      <c r="F132">
        <v>44.076689689195803</v>
      </c>
      <c r="G132">
        <v>81080</v>
      </c>
      <c r="H132">
        <v>524</v>
      </c>
      <c r="I132">
        <v>3573738</v>
      </c>
      <c r="J132">
        <v>73708</v>
      </c>
      <c r="K132">
        <v>90.91</v>
      </c>
      <c r="L132">
        <v>2.4</v>
      </c>
      <c r="M132">
        <v>-1.25</v>
      </c>
    </row>
    <row r="133" spans="1:13" x14ac:dyDescent="0.3">
      <c r="A133" s="1">
        <v>44391</v>
      </c>
      <c r="B133">
        <v>43.45</v>
      </c>
      <c r="C133">
        <v>45</v>
      </c>
      <c r="D133">
        <v>43.05</v>
      </c>
      <c r="E133">
        <v>44.6</v>
      </c>
      <c r="F133">
        <v>44.206400223588503</v>
      </c>
      <c r="G133">
        <v>28624</v>
      </c>
      <c r="H133">
        <v>224</v>
      </c>
      <c r="I133">
        <v>1265364</v>
      </c>
      <c r="J133">
        <v>25429</v>
      </c>
      <c r="K133">
        <v>88.84</v>
      </c>
      <c r="L133">
        <v>1.95</v>
      </c>
      <c r="M133">
        <v>1.1499999999999999</v>
      </c>
    </row>
    <row r="134" spans="1:13" x14ac:dyDescent="0.3">
      <c r="A134" s="1">
        <v>44392</v>
      </c>
      <c r="B134">
        <v>46</v>
      </c>
      <c r="C134">
        <v>46</v>
      </c>
      <c r="D134">
        <v>43.65</v>
      </c>
      <c r="E134">
        <v>44</v>
      </c>
      <c r="F134">
        <v>44.495179809358703</v>
      </c>
      <c r="G134">
        <v>36928</v>
      </c>
      <c r="H134">
        <v>213</v>
      </c>
      <c r="I134">
        <v>1643118</v>
      </c>
      <c r="J134">
        <v>29809</v>
      </c>
      <c r="K134">
        <v>80.72</v>
      </c>
      <c r="L134">
        <v>2.35</v>
      </c>
      <c r="M134">
        <v>-2</v>
      </c>
    </row>
    <row r="135" spans="1:13" x14ac:dyDescent="0.3">
      <c r="A135" s="1">
        <v>44393</v>
      </c>
      <c r="B135">
        <v>45</v>
      </c>
      <c r="C135">
        <v>45</v>
      </c>
      <c r="D135">
        <v>43.2</v>
      </c>
      <c r="E135">
        <v>43.65</v>
      </c>
      <c r="F135">
        <v>44.082823275861998</v>
      </c>
      <c r="G135">
        <v>46400</v>
      </c>
      <c r="H135">
        <v>234</v>
      </c>
      <c r="I135">
        <v>2045443</v>
      </c>
      <c r="J135">
        <v>42372</v>
      </c>
      <c r="K135">
        <v>91.32</v>
      </c>
      <c r="L135">
        <v>1.8</v>
      </c>
      <c r="M135">
        <v>-1.35</v>
      </c>
    </row>
    <row r="136" spans="1:13" x14ac:dyDescent="0.3">
      <c r="A136" s="1">
        <v>44396</v>
      </c>
      <c r="B136">
        <v>43.5</v>
      </c>
      <c r="C136">
        <v>45.3</v>
      </c>
      <c r="D136">
        <v>43</v>
      </c>
      <c r="E136">
        <v>44.45</v>
      </c>
      <c r="F136">
        <v>44.160779742331897</v>
      </c>
      <c r="G136">
        <v>148408</v>
      </c>
      <c r="H136">
        <v>377</v>
      </c>
      <c r="I136">
        <v>6553813</v>
      </c>
      <c r="J136">
        <v>140201</v>
      </c>
      <c r="K136">
        <v>94.47</v>
      </c>
      <c r="L136">
        <v>2.2999999999999998</v>
      </c>
      <c r="M136">
        <v>0.95</v>
      </c>
    </row>
    <row r="137" spans="1:13" x14ac:dyDescent="0.3">
      <c r="A137" s="1">
        <v>44397</v>
      </c>
      <c r="B137">
        <v>45</v>
      </c>
      <c r="C137">
        <v>46.65</v>
      </c>
      <c r="D137">
        <v>44.5</v>
      </c>
      <c r="E137">
        <v>46.65</v>
      </c>
      <c r="F137">
        <v>45.887991014775999</v>
      </c>
      <c r="G137">
        <v>68557</v>
      </c>
      <c r="H137">
        <v>340</v>
      </c>
      <c r="I137">
        <v>3145943</v>
      </c>
      <c r="J137">
        <v>61292</v>
      </c>
      <c r="K137">
        <v>89.4</v>
      </c>
      <c r="L137">
        <v>2.15</v>
      </c>
      <c r="M137">
        <v>1.65</v>
      </c>
    </row>
    <row r="138" spans="1:13" x14ac:dyDescent="0.3">
      <c r="A138" s="1">
        <v>44399</v>
      </c>
      <c r="B138">
        <v>48.95</v>
      </c>
      <c r="C138">
        <v>48.95</v>
      </c>
      <c r="D138">
        <v>47.3</v>
      </c>
      <c r="E138">
        <v>48.95</v>
      </c>
      <c r="F138">
        <v>48.840086512144197</v>
      </c>
      <c r="G138">
        <v>52247</v>
      </c>
      <c r="H138">
        <v>201</v>
      </c>
      <c r="I138">
        <v>2551748</v>
      </c>
      <c r="J138">
        <v>49398</v>
      </c>
      <c r="K138">
        <v>94.55</v>
      </c>
      <c r="L138">
        <v>1.65</v>
      </c>
      <c r="M138">
        <v>0</v>
      </c>
    </row>
    <row r="139" spans="1:13" x14ac:dyDescent="0.3">
      <c r="A139" s="1">
        <v>44400</v>
      </c>
      <c r="B139">
        <v>51.35</v>
      </c>
      <c r="C139">
        <v>51.35</v>
      </c>
      <c r="D139">
        <v>49.3</v>
      </c>
      <c r="E139">
        <v>51.3</v>
      </c>
      <c r="F139">
        <v>51.173201107011003</v>
      </c>
      <c r="G139">
        <v>108400</v>
      </c>
      <c r="H139">
        <v>400</v>
      </c>
      <c r="I139">
        <v>5547175</v>
      </c>
      <c r="J139">
        <v>86776</v>
      </c>
      <c r="K139">
        <v>80.05</v>
      </c>
      <c r="L139">
        <v>2.0499999999999998</v>
      </c>
      <c r="M139">
        <v>-0.05</v>
      </c>
    </row>
    <row r="140" spans="1:13" x14ac:dyDescent="0.3">
      <c r="A140" s="1">
        <v>44403</v>
      </c>
      <c r="B140">
        <v>53.5</v>
      </c>
      <c r="C140">
        <v>53.75</v>
      </c>
      <c r="D140">
        <v>48.8</v>
      </c>
      <c r="E140">
        <v>49.25</v>
      </c>
      <c r="F140">
        <v>50.651578167299299</v>
      </c>
      <c r="G140">
        <v>66121</v>
      </c>
      <c r="H140">
        <v>435</v>
      </c>
      <c r="I140">
        <v>3349133</v>
      </c>
      <c r="J140">
        <v>53407</v>
      </c>
      <c r="K140">
        <v>80.77</v>
      </c>
      <c r="L140">
        <v>4.95</v>
      </c>
      <c r="M140">
        <v>-4.25</v>
      </c>
    </row>
    <row r="141" spans="1:13" x14ac:dyDescent="0.3">
      <c r="A141" s="1">
        <v>44404</v>
      </c>
      <c r="B141">
        <v>47.1</v>
      </c>
      <c r="C141">
        <v>50</v>
      </c>
      <c r="D141">
        <v>47.1</v>
      </c>
      <c r="E141">
        <v>47.8</v>
      </c>
      <c r="F141">
        <v>48.217209611549002</v>
      </c>
      <c r="G141">
        <v>31587</v>
      </c>
      <c r="H141">
        <v>151</v>
      </c>
      <c r="I141">
        <v>1523037</v>
      </c>
      <c r="J141">
        <v>30519</v>
      </c>
      <c r="K141">
        <v>96.62</v>
      </c>
      <c r="L141">
        <v>2.9</v>
      </c>
      <c r="M141">
        <v>0.7</v>
      </c>
    </row>
    <row r="142" spans="1:13" x14ac:dyDescent="0.3">
      <c r="A142" s="1">
        <v>44405</v>
      </c>
      <c r="B142">
        <v>47.8</v>
      </c>
      <c r="C142">
        <v>48</v>
      </c>
      <c r="D142">
        <v>46.5</v>
      </c>
      <c r="E142">
        <v>47.7</v>
      </c>
      <c r="F142">
        <v>47.098914000587001</v>
      </c>
      <c r="G142">
        <v>27256</v>
      </c>
      <c r="H142">
        <v>132</v>
      </c>
      <c r="I142">
        <v>1283728</v>
      </c>
      <c r="J142">
        <v>26265</v>
      </c>
      <c r="K142">
        <v>96.36</v>
      </c>
      <c r="L142">
        <v>1.5</v>
      </c>
      <c r="M142">
        <v>-0.1</v>
      </c>
    </row>
    <row r="143" spans="1:13" x14ac:dyDescent="0.3">
      <c r="A143" s="1">
        <v>44406</v>
      </c>
      <c r="B143">
        <v>48.6</v>
      </c>
      <c r="C143">
        <v>48.6</v>
      </c>
      <c r="D143">
        <v>47</v>
      </c>
      <c r="E143">
        <v>48.05</v>
      </c>
      <c r="F143">
        <v>47.938388625592403</v>
      </c>
      <c r="G143">
        <v>19623</v>
      </c>
      <c r="H143">
        <v>80</v>
      </c>
      <c r="I143">
        <v>940695</v>
      </c>
      <c r="J143">
        <v>18837</v>
      </c>
      <c r="K143">
        <v>95.99</v>
      </c>
      <c r="L143">
        <v>1.6</v>
      </c>
      <c r="M143">
        <v>-0.55000000000000004</v>
      </c>
    </row>
    <row r="144" spans="1:13" x14ac:dyDescent="0.3">
      <c r="A144" s="1">
        <v>44407</v>
      </c>
      <c r="B144">
        <v>46.5</v>
      </c>
      <c r="C144">
        <v>48.95</v>
      </c>
      <c r="D144">
        <v>46.5</v>
      </c>
      <c r="E144">
        <v>48.3</v>
      </c>
      <c r="F144">
        <v>48.451583980872599</v>
      </c>
      <c r="G144">
        <v>23422</v>
      </c>
      <c r="H144">
        <v>111</v>
      </c>
      <c r="I144">
        <v>1134833</v>
      </c>
      <c r="J144">
        <v>20871</v>
      </c>
      <c r="K144">
        <v>89.11</v>
      </c>
      <c r="L144">
        <v>2.4500000000000002</v>
      </c>
      <c r="M144">
        <v>1.8</v>
      </c>
    </row>
    <row r="145" spans="1:13" x14ac:dyDescent="0.3">
      <c r="A145" s="1">
        <v>44410</v>
      </c>
      <c r="B145">
        <v>49.9</v>
      </c>
      <c r="C145">
        <v>49.9</v>
      </c>
      <c r="D145">
        <v>47.1</v>
      </c>
      <c r="E145">
        <v>49.25</v>
      </c>
      <c r="F145">
        <v>49.072535890939697</v>
      </c>
      <c r="G145">
        <v>33156</v>
      </c>
      <c r="H145">
        <v>175</v>
      </c>
      <c r="I145">
        <v>1627049</v>
      </c>
      <c r="J145">
        <v>26939</v>
      </c>
      <c r="K145">
        <v>81.25</v>
      </c>
      <c r="L145">
        <v>2.8</v>
      </c>
      <c r="M145">
        <v>-0.65</v>
      </c>
    </row>
    <row r="146" spans="1:13" x14ac:dyDescent="0.3">
      <c r="A146" s="1">
        <v>44411</v>
      </c>
      <c r="B146">
        <v>49.5</v>
      </c>
      <c r="C146">
        <v>50.55</v>
      </c>
      <c r="D146">
        <v>49.05</v>
      </c>
      <c r="E146">
        <v>49.3</v>
      </c>
      <c r="F146">
        <v>49.821011479369503</v>
      </c>
      <c r="G146">
        <v>40159</v>
      </c>
      <c r="H146">
        <v>212</v>
      </c>
      <c r="I146">
        <v>2000762</v>
      </c>
      <c r="J146">
        <v>35443</v>
      </c>
      <c r="K146">
        <v>88.26</v>
      </c>
      <c r="L146">
        <v>1.5</v>
      </c>
      <c r="M146">
        <v>-0.2</v>
      </c>
    </row>
    <row r="147" spans="1:13" x14ac:dyDescent="0.3">
      <c r="A147" s="1">
        <v>44412</v>
      </c>
      <c r="B147">
        <v>50.05</v>
      </c>
      <c r="C147">
        <v>50.05</v>
      </c>
      <c r="D147">
        <v>48</v>
      </c>
      <c r="E147">
        <v>48.85</v>
      </c>
      <c r="F147">
        <v>49.496887873902899</v>
      </c>
      <c r="G147">
        <v>44664</v>
      </c>
      <c r="H147">
        <v>238</v>
      </c>
      <c r="I147">
        <v>2210729</v>
      </c>
      <c r="J147">
        <v>36692</v>
      </c>
      <c r="K147">
        <v>82.15</v>
      </c>
      <c r="L147">
        <v>2.0499999999999998</v>
      </c>
      <c r="M147">
        <v>-1.2</v>
      </c>
    </row>
    <row r="148" spans="1:13" x14ac:dyDescent="0.3">
      <c r="A148" s="1">
        <v>44413</v>
      </c>
      <c r="B148">
        <v>48.55</v>
      </c>
      <c r="C148">
        <v>48.9</v>
      </c>
      <c r="D148">
        <v>47.5</v>
      </c>
      <c r="E148">
        <v>48.75</v>
      </c>
      <c r="F148">
        <v>48.201582897143197</v>
      </c>
      <c r="G148">
        <v>31714</v>
      </c>
      <c r="H148">
        <v>138</v>
      </c>
      <c r="I148">
        <v>1528665</v>
      </c>
      <c r="J148">
        <v>27478</v>
      </c>
      <c r="K148">
        <v>86.64</v>
      </c>
      <c r="L148">
        <v>1.4</v>
      </c>
      <c r="M148">
        <v>0.2</v>
      </c>
    </row>
    <row r="149" spans="1:13" x14ac:dyDescent="0.3">
      <c r="A149" s="1">
        <v>44414</v>
      </c>
      <c r="B149">
        <v>48.5</v>
      </c>
      <c r="C149">
        <v>51.1</v>
      </c>
      <c r="D149">
        <v>47.2</v>
      </c>
      <c r="E149">
        <v>50.2</v>
      </c>
      <c r="F149">
        <v>49.599582301029898</v>
      </c>
      <c r="G149">
        <v>48839</v>
      </c>
      <c r="H149">
        <v>202</v>
      </c>
      <c r="I149">
        <v>2422394</v>
      </c>
      <c r="J149">
        <v>42553</v>
      </c>
      <c r="K149">
        <v>87.13</v>
      </c>
      <c r="L149">
        <v>3.9</v>
      </c>
      <c r="M149">
        <v>1.7</v>
      </c>
    </row>
    <row r="150" spans="1:13" x14ac:dyDescent="0.3">
      <c r="A150" s="1">
        <v>44417</v>
      </c>
      <c r="B150">
        <v>52.7</v>
      </c>
      <c r="C150">
        <v>52.7</v>
      </c>
      <c r="D150">
        <v>51.55</v>
      </c>
      <c r="E150">
        <v>52.7</v>
      </c>
      <c r="F150">
        <v>52.597138064427703</v>
      </c>
      <c r="G150">
        <v>87633</v>
      </c>
      <c r="H150">
        <v>233</v>
      </c>
      <c r="I150">
        <v>4609245</v>
      </c>
      <c r="J150">
        <v>82876</v>
      </c>
      <c r="K150">
        <v>94.57</v>
      </c>
      <c r="L150">
        <v>1.1499999999999999</v>
      </c>
      <c r="M150">
        <v>0</v>
      </c>
    </row>
    <row r="151" spans="1:13" x14ac:dyDescent="0.3">
      <c r="A151" s="1">
        <v>44418</v>
      </c>
      <c r="B151">
        <v>55.3</v>
      </c>
      <c r="C151">
        <v>55.3</v>
      </c>
      <c r="D151">
        <v>55.3</v>
      </c>
      <c r="E151">
        <v>55.3</v>
      </c>
      <c r="F151">
        <v>55.299981425298697</v>
      </c>
      <c r="G151">
        <v>32302</v>
      </c>
      <c r="H151">
        <v>93</v>
      </c>
      <c r="I151">
        <v>1786300</v>
      </c>
      <c r="J151">
        <v>32302</v>
      </c>
      <c r="K151">
        <v>100</v>
      </c>
      <c r="L151">
        <v>0</v>
      </c>
      <c r="M151">
        <v>0</v>
      </c>
    </row>
    <row r="152" spans="1:13" x14ac:dyDescent="0.3">
      <c r="A152" s="1">
        <v>44419</v>
      </c>
      <c r="B152">
        <v>58.05</v>
      </c>
      <c r="C152">
        <v>58.05</v>
      </c>
      <c r="D152">
        <v>52.55</v>
      </c>
      <c r="E152">
        <v>55.25</v>
      </c>
      <c r="F152">
        <v>55.006364492381401</v>
      </c>
      <c r="G152">
        <v>233640</v>
      </c>
      <c r="H152">
        <v>728</v>
      </c>
      <c r="I152">
        <v>12851687</v>
      </c>
      <c r="J152">
        <v>126522</v>
      </c>
      <c r="K152">
        <v>54.15</v>
      </c>
      <c r="L152">
        <v>5.5</v>
      </c>
      <c r="M152">
        <v>-2.8</v>
      </c>
    </row>
    <row r="153" spans="1:13" x14ac:dyDescent="0.3">
      <c r="A153" s="1">
        <v>44420</v>
      </c>
      <c r="B153">
        <v>57.5</v>
      </c>
      <c r="C153">
        <v>57.6</v>
      </c>
      <c r="D153">
        <v>54.15</v>
      </c>
      <c r="E153">
        <v>56.75</v>
      </c>
      <c r="F153">
        <v>56.792001439792202</v>
      </c>
      <c r="G153">
        <v>77789</v>
      </c>
      <c r="H153">
        <v>362</v>
      </c>
      <c r="I153">
        <v>4417793</v>
      </c>
      <c r="J153">
        <v>61098</v>
      </c>
      <c r="K153">
        <v>78.540000000000006</v>
      </c>
      <c r="L153">
        <v>3.45</v>
      </c>
      <c r="M153">
        <v>-0.75</v>
      </c>
    </row>
    <row r="154" spans="1:13" x14ac:dyDescent="0.3">
      <c r="A154" s="1">
        <v>44421</v>
      </c>
      <c r="B154">
        <v>57.8</v>
      </c>
      <c r="C154">
        <v>58</v>
      </c>
      <c r="D154">
        <v>55.55</v>
      </c>
      <c r="E154">
        <v>57</v>
      </c>
      <c r="F154">
        <v>56.988871424080401</v>
      </c>
      <c r="G154">
        <v>47715</v>
      </c>
      <c r="H154">
        <v>332</v>
      </c>
      <c r="I154">
        <v>2719224</v>
      </c>
      <c r="J154">
        <v>34774</v>
      </c>
      <c r="K154">
        <v>72.88</v>
      </c>
      <c r="L154">
        <v>2.4500000000000002</v>
      </c>
      <c r="M154">
        <v>-0.8</v>
      </c>
    </row>
    <row r="155" spans="1:13" x14ac:dyDescent="0.3">
      <c r="A155" s="1">
        <v>44424</v>
      </c>
      <c r="B155">
        <v>58.75</v>
      </c>
      <c r="C155">
        <v>59.2</v>
      </c>
      <c r="D155">
        <v>56.6</v>
      </c>
      <c r="E155">
        <v>58.8</v>
      </c>
      <c r="F155">
        <v>58.208740389617802</v>
      </c>
      <c r="G155">
        <v>51897</v>
      </c>
      <c r="H155">
        <v>331</v>
      </c>
      <c r="I155">
        <v>3020859</v>
      </c>
      <c r="J155">
        <v>49177</v>
      </c>
      <c r="K155">
        <v>94.76</v>
      </c>
      <c r="L155">
        <v>2.6</v>
      </c>
      <c r="M155">
        <v>0.05</v>
      </c>
    </row>
    <row r="156" spans="1:13" x14ac:dyDescent="0.3">
      <c r="A156" s="1">
        <v>44425</v>
      </c>
      <c r="B156">
        <v>59</v>
      </c>
      <c r="C156">
        <v>60.3</v>
      </c>
      <c r="D156">
        <v>57</v>
      </c>
      <c r="E156">
        <v>59.65</v>
      </c>
      <c r="F156">
        <v>58.916402021738101</v>
      </c>
      <c r="G156">
        <v>44714</v>
      </c>
      <c r="H156">
        <v>321</v>
      </c>
      <c r="I156">
        <v>2634388</v>
      </c>
      <c r="J156">
        <v>38423</v>
      </c>
      <c r="K156">
        <v>85.93</v>
      </c>
      <c r="L156">
        <v>3.3</v>
      </c>
      <c r="M156">
        <v>0.65</v>
      </c>
    </row>
    <row r="157" spans="1:13" x14ac:dyDescent="0.3">
      <c r="A157" s="1">
        <v>44426</v>
      </c>
      <c r="B157">
        <v>59</v>
      </c>
      <c r="C157">
        <v>62.6</v>
      </c>
      <c r="D157">
        <v>58.55</v>
      </c>
      <c r="E157">
        <v>62.6</v>
      </c>
      <c r="F157">
        <v>61.696999265659997</v>
      </c>
      <c r="G157">
        <v>99409</v>
      </c>
      <c r="H157">
        <v>292</v>
      </c>
      <c r="I157">
        <v>6133237</v>
      </c>
      <c r="J157">
        <v>92401</v>
      </c>
      <c r="K157">
        <v>92.95</v>
      </c>
      <c r="L157">
        <v>4.05</v>
      </c>
      <c r="M157">
        <v>3.6</v>
      </c>
    </row>
    <row r="158" spans="1:13" x14ac:dyDescent="0.3">
      <c r="A158" s="1">
        <v>44428</v>
      </c>
      <c r="B158">
        <v>65</v>
      </c>
      <c r="C158">
        <v>65.7</v>
      </c>
      <c r="D158">
        <v>63.25</v>
      </c>
      <c r="E158">
        <v>65.7</v>
      </c>
      <c r="F158">
        <v>65.400620876988697</v>
      </c>
      <c r="G158">
        <v>219045</v>
      </c>
      <c r="H158">
        <v>807</v>
      </c>
      <c r="I158">
        <v>14325679</v>
      </c>
      <c r="J158">
        <v>155288</v>
      </c>
      <c r="K158">
        <v>70.89</v>
      </c>
      <c r="L158">
        <v>2.4500000000000002</v>
      </c>
      <c r="M158">
        <v>0.7</v>
      </c>
    </row>
    <row r="159" spans="1:13" x14ac:dyDescent="0.3">
      <c r="A159" s="1">
        <v>44431</v>
      </c>
      <c r="B159">
        <v>67.900000000000006</v>
      </c>
      <c r="C159">
        <v>68.95</v>
      </c>
      <c r="D159">
        <v>62.45</v>
      </c>
      <c r="E159">
        <v>62.45</v>
      </c>
      <c r="F159">
        <v>64.362991736866903</v>
      </c>
      <c r="G159">
        <v>87013</v>
      </c>
      <c r="H159">
        <v>520</v>
      </c>
      <c r="I159">
        <v>5600417</v>
      </c>
      <c r="J159">
        <v>72247</v>
      </c>
      <c r="K159">
        <v>83.03</v>
      </c>
      <c r="L159">
        <v>6.5</v>
      </c>
      <c r="M159">
        <v>-5.45</v>
      </c>
    </row>
    <row r="160" spans="1:13" x14ac:dyDescent="0.3">
      <c r="A160" s="1">
        <v>44432</v>
      </c>
      <c r="B160">
        <v>59.4</v>
      </c>
      <c r="C160">
        <v>62.6</v>
      </c>
      <c r="D160">
        <v>59.35</v>
      </c>
      <c r="E160">
        <v>61.9</v>
      </c>
      <c r="F160">
        <v>60.041532696724197</v>
      </c>
      <c r="G160">
        <v>82730</v>
      </c>
      <c r="H160">
        <v>522</v>
      </c>
      <c r="I160">
        <v>4967236</v>
      </c>
      <c r="J160">
        <v>64413</v>
      </c>
      <c r="K160">
        <v>77.86</v>
      </c>
      <c r="L160">
        <v>3.25</v>
      </c>
      <c r="M160">
        <v>2.5</v>
      </c>
    </row>
    <row r="161" spans="1:13" x14ac:dyDescent="0.3">
      <c r="A161" s="1">
        <v>44433</v>
      </c>
      <c r="B161">
        <v>63</v>
      </c>
      <c r="C161">
        <v>64.95</v>
      </c>
      <c r="D161">
        <v>63</v>
      </c>
      <c r="E161">
        <v>64.95</v>
      </c>
      <c r="F161">
        <v>64.735097167898701</v>
      </c>
      <c r="G161">
        <v>195332</v>
      </c>
      <c r="H161">
        <v>544</v>
      </c>
      <c r="I161">
        <v>12644836</v>
      </c>
      <c r="J161">
        <v>151310</v>
      </c>
      <c r="K161">
        <v>77.459999999999994</v>
      </c>
      <c r="L161">
        <v>1.95</v>
      </c>
      <c r="M161">
        <v>1.95</v>
      </c>
    </row>
    <row r="162" spans="1:13" x14ac:dyDescent="0.3">
      <c r="A162" s="1">
        <v>44434</v>
      </c>
      <c r="B162">
        <v>68.150000000000006</v>
      </c>
      <c r="C162">
        <v>68.150000000000006</v>
      </c>
      <c r="D162">
        <v>63.1</v>
      </c>
      <c r="E162">
        <v>64.45</v>
      </c>
      <c r="F162">
        <v>65.979915829202099</v>
      </c>
      <c r="G162">
        <v>66769</v>
      </c>
      <c r="H162">
        <v>409</v>
      </c>
      <c r="I162">
        <v>4405413</v>
      </c>
      <c r="J162">
        <v>52974</v>
      </c>
      <c r="K162">
        <v>79.34</v>
      </c>
      <c r="L162">
        <v>5.05</v>
      </c>
      <c r="M162">
        <v>-3.7</v>
      </c>
    </row>
    <row r="163" spans="1:13" x14ac:dyDescent="0.3">
      <c r="A163" s="1">
        <v>44435</v>
      </c>
      <c r="B163">
        <v>64.8</v>
      </c>
      <c r="C163">
        <v>65.75</v>
      </c>
      <c r="D163">
        <v>62.1</v>
      </c>
      <c r="E163">
        <v>62.35</v>
      </c>
      <c r="F163">
        <v>62.892097976570803</v>
      </c>
      <c r="G163">
        <v>23475</v>
      </c>
      <c r="H163">
        <v>209</v>
      </c>
      <c r="I163">
        <v>1476392</v>
      </c>
      <c r="J163">
        <v>20180</v>
      </c>
      <c r="K163">
        <v>85.96</v>
      </c>
      <c r="L163">
        <v>3.65</v>
      </c>
      <c r="M163">
        <v>-2.4500000000000002</v>
      </c>
    </row>
    <row r="164" spans="1:13" x14ac:dyDescent="0.3">
      <c r="A164" s="1">
        <v>44438</v>
      </c>
      <c r="B164">
        <v>65</v>
      </c>
      <c r="C164">
        <v>65</v>
      </c>
      <c r="D164">
        <v>60.15</v>
      </c>
      <c r="E164">
        <v>62.15</v>
      </c>
      <c r="F164">
        <v>62.8119710100856</v>
      </c>
      <c r="G164">
        <v>19731</v>
      </c>
      <c r="H164">
        <v>187</v>
      </c>
      <c r="I164">
        <v>1239343</v>
      </c>
      <c r="J164">
        <v>16034</v>
      </c>
      <c r="K164">
        <v>81.260000000000005</v>
      </c>
      <c r="L164">
        <v>4.8499999999999996</v>
      </c>
      <c r="M164">
        <v>-2.85</v>
      </c>
    </row>
    <row r="165" spans="1:13" x14ac:dyDescent="0.3">
      <c r="A165" s="1">
        <v>44439</v>
      </c>
      <c r="B165">
        <v>63.95</v>
      </c>
      <c r="C165">
        <v>64</v>
      </c>
      <c r="D165">
        <v>60.6</v>
      </c>
      <c r="E165">
        <v>61.55</v>
      </c>
      <c r="F165">
        <v>61.595001779429701</v>
      </c>
      <c r="G165">
        <v>25289</v>
      </c>
      <c r="H165">
        <v>204</v>
      </c>
      <c r="I165">
        <v>1557676</v>
      </c>
      <c r="J165">
        <v>19107</v>
      </c>
      <c r="K165">
        <v>75.55</v>
      </c>
      <c r="L165">
        <v>3.4</v>
      </c>
      <c r="M165">
        <v>-2.4</v>
      </c>
    </row>
    <row r="166" spans="1:13" x14ac:dyDescent="0.3">
      <c r="A166" s="1">
        <v>44440</v>
      </c>
      <c r="B166">
        <v>60.8</v>
      </c>
      <c r="C166">
        <v>61.9</v>
      </c>
      <c r="D166">
        <v>59.5</v>
      </c>
      <c r="E166">
        <v>59.65</v>
      </c>
      <c r="F166">
        <v>60.340898909959598</v>
      </c>
      <c r="G166">
        <v>33485</v>
      </c>
      <c r="H166">
        <v>282</v>
      </c>
      <c r="I166">
        <v>2020515</v>
      </c>
      <c r="J166">
        <v>27401</v>
      </c>
      <c r="K166">
        <v>81.83</v>
      </c>
      <c r="L166">
        <v>2.4</v>
      </c>
      <c r="M166">
        <v>-1.1499999999999999</v>
      </c>
    </row>
    <row r="167" spans="1:13" x14ac:dyDescent="0.3">
      <c r="A167" s="1">
        <v>44441</v>
      </c>
      <c r="B167">
        <v>59.05</v>
      </c>
      <c r="C167">
        <v>61.7</v>
      </c>
      <c r="D167">
        <v>59.05</v>
      </c>
      <c r="E167">
        <v>61.3</v>
      </c>
      <c r="F167">
        <v>60.929111606432002</v>
      </c>
      <c r="G167">
        <v>25124</v>
      </c>
      <c r="H167">
        <v>188</v>
      </c>
      <c r="I167">
        <v>1530783</v>
      </c>
      <c r="J167">
        <v>19757</v>
      </c>
      <c r="K167">
        <v>78.64</v>
      </c>
      <c r="L167">
        <v>2.65</v>
      </c>
      <c r="M167">
        <v>2.25</v>
      </c>
    </row>
    <row r="168" spans="1:13" x14ac:dyDescent="0.3">
      <c r="A168" s="1">
        <v>44442</v>
      </c>
      <c r="B168">
        <v>62.95</v>
      </c>
      <c r="C168">
        <v>64.349999999999994</v>
      </c>
      <c r="D168">
        <v>60</v>
      </c>
      <c r="E168">
        <v>64.349999999999994</v>
      </c>
      <c r="F168">
        <v>63.551021637511397</v>
      </c>
      <c r="G168">
        <v>83004</v>
      </c>
      <c r="H168">
        <v>288</v>
      </c>
      <c r="I168">
        <v>5274989</v>
      </c>
      <c r="J168">
        <v>59884</v>
      </c>
      <c r="K168">
        <v>72.150000000000006</v>
      </c>
      <c r="L168">
        <v>4.3499999999999996</v>
      </c>
      <c r="M168">
        <v>1.4</v>
      </c>
    </row>
    <row r="169" spans="1:13" x14ac:dyDescent="0.3">
      <c r="A169" s="1">
        <v>44445</v>
      </c>
      <c r="B169">
        <v>66.3</v>
      </c>
      <c r="C169">
        <v>67.55</v>
      </c>
      <c r="D169">
        <v>62</v>
      </c>
      <c r="E169">
        <v>64.2</v>
      </c>
      <c r="F169">
        <v>65.708590679393495</v>
      </c>
      <c r="G169">
        <v>142480</v>
      </c>
      <c r="H169">
        <v>599</v>
      </c>
      <c r="I169">
        <v>9362160</v>
      </c>
      <c r="J169">
        <v>94741</v>
      </c>
      <c r="K169">
        <v>66.489999999999995</v>
      </c>
      <c r="L169">
        <v>5.55</v>
      </c>
      <c r="M169">
        <v>-2.1</v>
      </c>
    </row>
    <row r="170" spans="1:13" x14ac:dyDescent="0.3">
      <c r="A170" s="1">
        <v>44446</v>
      </c>
      <c r="B170">
        <v>64.099999999999994</v>
      </c>
      <c r="C170">
        <v>67.400000000000006</v>
      </c>
      <c r="D170">
        <v>63.9</v>
      </c>
      <c r="E170">
        <v>67.400000000000006</v>
      </c>
      <c r="F170">
        <v>67.041561559941101</v>
      </c>
      <c r="G170">
        <v>74131</v>
      </c>
      <c r="H170">
        <v>240</v>
      </c>
      <c r="I170">
        <v>4969858</v>
      </c>
      <c r="J170">
        <v>68142</v>
      </c>
      <c r="K170">
        <v>91.92</v>
      </c>
      <c r="L170">
        <v>3.5</v>
      </c>
      <c r="M170">
        <v>3.3</v>
      </c>
    </row>
    <row r="171" spans="1:13" x14ac:dyDescent="0.3">
      <c r="A171" s="1">
        <v>44447</v>
      </c>
      <c r="B171">
        <v>70.7</v>
      </c>
      <c r="C171">
        <v>70.75</v>
      </c>
      <c r="D171">
        <v>67.400000000000006</v>
      </c>
      <c r="E171">
        <v>70.75</v>
      </c>
      <c r="F171">
        <v>70.680323757409894</v>
      </c>
      <c r="G171">
        <v>43860</v>
      </c>
      <c r="H171">
        <v>167</v>
      </c>
      <c r="I171">
        <v>3100039</v>
      </c>
      <c r="J171">
        <v>42012</v>
      </c>
      <c r="K171">
        <v>95.79</v>
      </c>
      <c r="L171">
        <v>3.35</v>
      </c>
      <c r="M171">
        <v>0.05</v>
      </c>
    </row>
    <row r="172" spans="1:13" x14ac:dyDescent="0.3">
      <c r="A172" s="1">
        <v>44448</v>
      </c>
      <c r="B172">
        <v>74.25</v>
      </c>
      <c r="C172">
        <v>74.25</v>
      </c>
      <c r="D172">
        <v>74</v>
      </c>
      <c r="E172">
        <v>74.25</v>
      </c>
      <c r="F172">
        <v>74.237298558483602</v>
      </c>
      <c r="G172">
        <v>55289</v>
      </c>
      <c r="H172">
        <v>205</v>
      </c>
      <c r="I172">
        <v>4104506</v>
      </c>
      <c r="J172">
        <v>50341</v>
      </c>
      <c r="K172">
        <v>91.05</v>
      </c>
      <c r="L172">
        <v>0.25</v>
      </c>
      <c r="M172">
        <v>0</v>
      </c>
    </row>
    <row r="173" spans="1:13" x14ac:dyDescent="0.3">
      <c r="A173" s="1">
        <v>44452</v>
      </c>
      <c r="B173">
        <v>76.900000000000006</v>
      </c>
      <c r="C173">
        <v>77.95</v>
      </c>
      <c r="D173">
        <v>74.599999999999994</v>
      </c>
      <c r="E173">
        <v>76.45</v>
      </c>
      <c r="F173">
        <v>77.558587371288795</v>
      </c>
      <c r="G173">
        <v>118191</v>
      </c>
      <c r="H173">
        <v>582</v>
      </c>
      <c r="I173">
        <v>9166727</v>
      </c>
      <c r="J173">
        <v>90594</v>
      </c>
      <c r="K173">
        <v>76.650000000000006</v>
      </c>
      <c r="L173">
        <v>3.35</v>
      </c>
      <c r="M173">
        <v>-0.45</v>
      </c>
    </row>
    <row r="174" spans="1:13" x14ac:dyDescent="0.3">
      <c r="A174" s="1">
        <v>44453</v>
      </c>
      <c r="B174">
        <v>75</v>
      </c>
      <c r="C174">
        <v>75.7</v>
      </c>
      <c r="D174">
        <v>72.650000000000006</v>
      </c>
      <c r="E174">
        <v>72.650000000000006</v>
      </c>
      <c r="F174">
        <v>73.077360996900396</v>
      </c>
      <c r="G174">
        <v>47427</v>
      </c>
      <c r="H174">
        <v>331</v>
      </c>
      <c r="I174">
        <v>3465840</v>
      </c>
      <c r="J174">
        <v>42501</v>
      </c>
      <c r="K174">
        <v>89.61</v>
      </c>
      <c r="L174">
        <v>3.05</v>
      </c>
      <c r="M174">
        <v>-2.35</v>
      </c>
    </row>
    <row r="175" spans="1:13" x14ac:dyDescent="0.3">
      <c r="A175" s="1">
        <v>44454</v>
      </c>
      <c r="B175">
        <v>69.05</v>
      </c>
      <c r="C175">
        <v>76.25</v>
      </c>
      <c r="D175">
        <v>69.05</v>
      </c>
      <c r="E175">
        <v>76</v>
      </c>
      <c r="F175">
        <v>74.280059273068304</v>
      </c>
      <c r="G175">
        <v>167361</v>
      </c>
      <c r="H175">
        <v>895</v>
      </c>
      <c r="I175">
        <v>12431585</v>
      </c>
      <c r="J175">
        <v>109678</v>
      </c>
      <c r="K175">
        <v>65.53</v>
      </c>
      <c r="L175">
        <v>7.2</v>
      </c>
      <c r="M175">
        <v>6.95</v>
      </c>
    </row>
    <row r="176" spans="1:13" x14ac:dyDescent="0.3">
      <c r="A176" s="1">
        <v>44455</v>
      </c>
      <c r="B176">
        <v>79</v>
      </c>
      <c r="C176">
        <v>79.8</v>
      </c>
      <c r="D176">
        <v>77.55</v>
      </c>
      <c r="E176">
        <v>79.400000000000006</v>
      </c>
      <c r="F176">
        <v>79.543337664317207</v>
      </c>
      <c r="G176">
        <v>137767</v>
      </c>
      <c r="H176">
        <v>608</v>
      </c>
      <c r="I176">
        <v>10958447</v>
      </c>
      <c r="J176">
        <v>107428</v>
      </c>
      <c r="K176">
        <v>77.98</v>
      </c>
      <c r="L176">
        <v>2.25</v>
      </c>
      <c r="M176">
        <v>0.4</v>
      </c>
    </row>
    <row r="177" spans="1:13" x14ac:dyDescent="0.3">
      <c r="A177" s="1">
        <v>44456</v>
      </c>
      <c r="B177">
        <v>82</v>
      </c>
      <c r="C177">
        <v>82.9</v>
      </c>
      <c r="D177">
        <v>75.55</v>
      </c>
      <c r="E177">
        <v>77.55</v>
      </c>
      <c r="F177">
        <v>78.107387980984498</v>
      </c>
      <c r="G177">
        <v>69207</v>
      </c>
      <c r="H177">
        <v>628</v>
      </c>
      <c r="I177">
        <v>5405578</v>
      </c>
      <c r="J177">
        <v>57991</v>
      </c>
      <c r="K177">
        <v>83.79</v>
      </c>
      <c r="L177">
        <v>7.35</v>
      </c>
      <c r="M177">
        <v>-4.45</v>
      </c>
    </row>
    <row r="178" spans="1:13" x14ac:dyDescent="0.3">
      <c r="A178" s="1">
        <v>44459</v>
      </c>
      <c r="B178">
        <v>75.599999999999994</v>
      </c>
      <c r="C178">
        <v>77.849999999999994</v>
      </c>
      <c r="D178">
        <v>73.7</v>
      </c>
      <c r="E178">
        <v>73.8</v>
      </c>
      <c r="F178">
        <v>74.856429196643901</v>
      </c>
      <c r="G178">
        <v>46841</v>
      </c>
      <c r="H178">
        <v>378</v>
      </c>
      <c r="I178">
        <v>3506350</v>
      </c>
      <c r="J178">
        <v>37983</v>
      </c>
      <c r="K178">
        <v>81.09</v>
      </c>
      <c r="L178">
        <v>4.1500000000000004</v>
      </c>
      <c r="M178">
        <v>-1.8</v>
      </c>
    </row>
    <row r="179" spans="1:13" x14ac:dyDescent="0.3">
      <c r="A179" s="1">
        <v>44460</v>
      </c>
      <c r="B179">
        <v>75</v>
      </c>
      <c r="C179">
        <v>75</v>
      </c>
      <c r="D179">
        <v>70.150000000000006</v>
      </c>
      <c r="E179">
        <v>72.5</v>
      </c>
      <c r="F179">
        <v>71.512186339597093</v>
      </c>
      <c r="G179">
        <v>44435</v>
      </c>
      <c r="H179">
        <v>279</v>
      </c>
      <c r="I179">
        <v>3177644</v>
      </c>
      <c r="J179">
        <v>34121</v>
      </c>
      <c r="K179">
        <v>76.790000000000006</v>
      </c>
      <c r="L179">
        <v>4.8499999999999996</v>
      </c>
      <c r="M179">
        <v>-2.5</v>
      </c>
    </row>
    <row r="180" spans="1:13" x14ac:dyDescent="0.3">
      <c r="A180" s="1">
        <v>44461</v>
      </c>
      <c r="B180">
        <v>72.55</v>
      </c>
      <c r="C180">
        <v>74.45</v>
      </c>
      <c r="D180">
        <v>69.5</v>
      </c>
      <c r="E180">
        <v>71.5</v>
      </c>
      <c r="F180">
        <v>71.852344709059594</v>
      </c>
      <c r="G180">
        <v>20365</v>
      </c>
      <c r="H180">
        <v>194</v>
      </c>
      <c r="I180">
        <v>1463273</v>
      </c>
      <c r="J180">
        <v>13514</v>
      </c>
      <c r="K180">
        <v>66.36</v>
      </c>
      <c r="L180">
        <v>4.95</v>
      </c>
      <c r="M180">
        <v>-1.05</v>
      </c>
    </row>
    <row r="181" spans="1:13" x14ac:dyDescent="0.3">
      <c r="A181" s="1">
        <v>44462</v>
      </c>
      <c r="B181">
        <v>70.099999999999994</v>
      </c>
      <c r="C181">
        <v>75.05</v>
      </c>
      <c r="D181">
        <v>70.099999999999994</v>
      </c>
      <c r="E181">
        <v>73.7</v>
      </c>
      <c r="F181">
        <v>74.697393254227705</v>
      </c>
      <c r="G181">
        <v>53515</v>
      </c>
      <c r="H181">
        <v>196</v>
      </c>
      <c r="I181">
        <v>3997431</v>
      </c>
      <c r="J181">
        <v>44486</v>
      </c>
      <c r="K181">
        <v>83.13</v>
      </c>
      <c r="L181">
        <v>4.95</v>
      </c>
      <c r="M181">
        <v>3.6</v>
      </c>
    </row>
    <row r="182" spans="1:13" x14ac:dyDescent="0.3">
      <c r="A182" s="1">
        <v>44463</v>
      </c>
      <c r="B182">
        <v>75</v>
      </c>
      <c r="C182">
        <v>75.05</v>
      </c>
      <c r="D182">
        <v>70.5</v>
      </c>
      <c r="E182">
        <v>70.75</v>
      </c>
      <c r="F182">
        <v>71.625097427903299</v>
      </c>
      <c r="G182">
        <v>23094</v>
      </c>
      <c r="H182">
        <v>191</v>
      </c>
      <c r="I182">
        <v>1654110</v>
      </c>
      <c r="J182">
        <v>19222</v>
      </c>
      <c r="K182">
        <v>83.23</v>
      </c>
      <c r="L182">
        <v>4.55</v>
      </c>
      <c r="M182">
        <v>-4.25</v>
      </c>
    </row>
    <row r="183" spans="1:13" x14ac:dyDescent="0.3">
      <c r="A183" s="1">
        <v>44466</v>
      </c>
      <c r="B183">
        <v>72.8</v>
      </c>
      <c r="C183">
        <v>74.25</v>
      </c>
      <c r="D183">
        <v>68.25</v>
      </c>
      <c r="E183">
        <v>71.5</v>
      </c>
      <c r="F183">
        <v>71.634003150207604</v>
      </c>
      <c r="G183">
        <v>62853</v>
      </c>
      <c r="H183">
        <v>350</v>
      </c>
      <c r="I183">
        <v>4502412</v>
      </c>
      <c r="J183">
        <v>41636</v>
      </c>
      <c r="K183">
        <v>66.239999999999995</v>
      </c>
      <c r="L183">
        <v>6</v>
      </c>
      <c r="M183">
        <v>-1.3</v>
      </c>
    </row>
    <row r="184" spans="1:13" x14ac:dyDescent="0.3">
      <c r="A184" s="1">
        <v>44467</v>
      </c>
      <c r="B184">
        <v>72.5</v>
      </c>
      <c r="C184">
        <v>73</v>
      </c>
      <c r="D184">
        <v>71</v>
      </c>
      <c r="E184">
        <v>71.849999999999994</v>
      </c>
      <c r="F184">
        <v>71.876260881580706</v>
      </c>
      <c r="G184">
        <v>14474</v>
      </c>
      <c r="H184">
        <v>216</v>
      </c>
      <c r="I184">
        <v>1040337</v>
      </c>
      <c r="J184">
        <v>9879</v>
      </c>
      <c r="K184">
        <v>68.25</v>
      </c>
      <c r="L184">
        <v>2</v>
      </c>
      <c r="M184">
        <v>-0.65</v>
      </c>
    </row>
    <row r="185" spans="1:13" x14ac:dyDescent="0.3">
      <c r="A185" s="1">
        <v>44468</v>
      </c>
      <c r="B185">
        <v>71.849999999999994</v>
      </c>
      <c r="C185">
        <v>75.400000000000006</v>
      </c>
      <c r="D185">
        <v>71</v>
      </c>
      <c r="E185">
        <v>74.150000000000006</v>
      </c>
      <c r="F185">
        <v>73.613901220865699</v>
      </c>
      <c r="G185">
        <v>36040</v>
      </c>
      <c r="H185">
        <v>179</v>
      </c>
      <c r="I185">
        <v>2653045</v>
      </c>
      <c r="J185">
        <v>28159</v>
      </c>
      <c r="K185">
        <v>78.13</v>
      </c>
      <c r="L185">
        <v>4.4000000000000004</v>
      </c>
      <c r="M185">
        <v>2.2999999999999998</v>
      </c>
    </row>
    <row r="186" spans="1:13" x14ac:dyDescent="0.3">
      <c r="A186" s="1">
        <v>44469</v>
      </c>
      <c r="B186">
        <v>77</v>
      </c>
      <c r="C186">
        <v>77.849999999999994</v>
      </c>
      <c r="D186">
        <v>74.55</v>
      </c>
      <c r="E186">
        <v>76.349999999999994</v>
      </c>
      <c r="F186">
        <v>76.680170894206896</v>
      </c>
      <c r="G186">
        <v>33471</v>
      </c>
      <c r="H186">
        <v>251</v>
      </c>
      <c r="I186">
        <v>2566562</v>
      </c>
      <c r="J186">
        <v>23618</v>
      </c>
      <c r="K186">
        <v>70.56</v>
      </c>
      <c r="L186">
        <v>3.3</v>
      </c>
      <c r="M186">
        <v>-0.65</v>
      </c>
    </row>
    <row r="187" spans="1:13" x14ac:dyDescent="0.3">
      <c r="A187" s="1">
        <v>44470</v>
      </c>
      <c r="B187">
        <v>75</v>
      </c>
      <c r="C187">
        <v>77</v>
      </c>
      <c r="D187">
        <v>74.099999999999994</v>
      </c>
      <c r="E187">
        <v>74.900000000000006</v>
      </c>
      <c r="F187">
        <v>75.4184956843403</v>
      </c>
      <c r="G187">
        <v>16220</v>
      </c>
      <c r="H187">
        <v>200</v>
      </c>
      <c r="I187">
        <v>1223288</v>
      </c>
      <c r="J187">
        <v>13936</v>
      </c>
      <c r="K187">
        <v>85.92</v>
      </c>
      <c r="L187">
        <v>2.9</v>
      </c>
      <c r="M187">
        <v>-0.1</v>
      </c>
    </row>
    <row r="188" spans="1:13" x14ac:dyDescent="0.3">
      <c r="A188" s="1">
        <v>44473</v>
      </c>
      <c r="B188">
        <v>75.95</v>
      </c>
      <c r="C188">
        <v>76.95</v>
      </c>
      <c r="D188">
        <v>73.95</v>
      </c>
      <c r="E188">
        <v>74.150000000000006</v>
      </c>
      <c r="F188">
        <v>74.701169188445604</v>
      </c>
      <c r="G188">
        <v>17448</v>
      </c>
      <c r="H188">
        <v>179</v>
      </c>
      <c r="I188">
        <v>1303386</v>
      </c>
      <c r="J188">
        <v>14997</v>
      </c>
      <c r="K188">
        <v>85.95</v>
      </c>
      <c r="L188">
        <v>3</v>
      </c>
      <c r="M188">
        <v>-1.8</v>
      </c>
    </row>
    <row r="189" spans="1:13" x14ac:dyDescent="0.3">
      <c r="A189" s="1">
        <v>44474</v>
      </c>
      <c r="B189">
        <v>75.5</v>
      </c>
      <c r="C189">
        <v>76.5</v>
      </c>
      <c r="D189">
        <v>71</v>
      </c>
      <c r="E189">
        <v>76.099999999999994</v>
      </c>
      <c r="F189">
        <v>75.167046963865999</v>
      </c>
      <c r="G189">
        <v>29363</v>
      </c>
      <c r="H189">
        <v>276</v>
      </c>
      <c r="I189">
        <v>2207130</v>
      </c>
      <c r="J189">
        <v>21594</v>
      </c>
      <c r="K189">
        <v>73.540000000000006</v>
      </c>
      <c r="L189">
        <v>5.5</v>
      </c>
      <c r="M189">
        <v>0.6</v>
      </c>
    </row>
    <row r="190" spans="1:13" x14ac:dyDescent="0.3">
      <c r="A190" s="1">
        <v>44475</v>
      </c>
      <c r="B190">
        <v>76.099999999999994</v>
      </c>
      <c r="C190">
        <v>77</v>
      </c>
      <c r="D190">
        <v>73.55</v>
      </c>
      <c r="E190">
        <v>74.599999999999994</v>
      </c>
      <c r="F190">
        <v>75.286300148588396</v>
      </c>
      <c r="G190">
        <v>16825</v>
      </c>
      <c r="H190">
        <v>190</v>
      </c>
      <c r="I190">
        <v>1266692</v>
      </c>
      <c r="J190">
        <v>13617</v>
      </c>
      <c r="K190">
        <v>80.930000000000007</v>
      </c>
      <c r="L190">
        <v>3.45</v>
      </c>
      <c r="M190">
        <v>-1.5</v>
      </c>
    </row>
    <row r="191" spans="1:13" x14ac:dyDescent="0.3">
      <c r="A191" s="1">
        <v>44476</v>
      </c>
      <c r="B191">
        <v>76.25</v>
      </c>
      <c r="C191">
        <v>77</v>
      </c>
      <c r="D191">
        <v>74</v>
      </c>
      <c r="E191">
        <v>74.3</v>
      </c>
      <c r="F191">
        <v>75.369275289380894</v>
      </c>
      <c r="G191">
        <v>15896</v>
      </c>
      <c r="H191">
        <v>197</v>
      </c>
      <c r="I191">
        <v>1198070</v>
      </c>
      <c r="J191">
        <v>11468</v>
      </c>
      <c r="K191">
        <v>72.14</v>
      </c>
      <c r="L191">
        <v>3</v>
      </c>
      <c r="M191">
        <v>-1.95</v>
      </c>
    </row>
    <row r="192" spans="1:13" x14ac:dyDescent="0.3">
      <c r="A192" s="1">
        <v>44477</v>
      </c>
      <c r="B192">
        <v>74.3</v>
      </c>
      <c r="C192">
        <v>75.5</v>
      </c>
      <c r="D192">
        <v>72.099999999999994</v>
      </c>
      <c r="E192">
        <v>73.2</v>
      </c>
      <c r="F192">
        <v>73.610774072891402</v>
      </c>
      <c r="G192">
        <v>21923</v>
      </c>
      <c r="H192">
        <v>225</v>
      </c>
      <c r="I192">
        <v>1613769</v>
      </c>
      <c r="J192">
        <v>19339</v>
      </c>
      <c r="K192">
        <v>88.21</v>
      </c>
      <c r="L192">
        <v>3.4</v>
      </c>
      <c r="M192">
        <v>-1.1000000000000001</v>
      </c>
    </row>
    <row r="193" spans="1:13" x14ac:dyDescent="0.3">
      <c r="A193" s="1">
        <v>44480</v>
      </c>
      <c r="B193">
        <v>71.5</v>
      </c>
      <c r="C193">
        <v>75.75</v>
      </c>
      <c r="D193">
        <v>71.3</v>
      </c>
      <c r="E193">
        <v>72.45</v>
      </c>
      <c r="F193">
        <v>72.362610829638996</v>
      </c>
      <c r="G193">
        <v>25264</v>
      </c>
      <c r="H193">
        <v>242</v>
      </c>
      <c r="I193">
        <v>1828169</v>
      </c>
      <c r="J193">
        <v>17912</v>
      </c>
      <c r="K193">
        <v>70.900000000000006</v>
      </c>
      <c r="L193">
        <v>4.45</v>
      </c>
      <c r="M193">
        <v>0.95</v>
      </c>
    </row>
    <row r="194" spans="1:13" x14ac:dyDescent="0.3">
      <c r="A194" s="1">
        <v>44481</v>
      </c>
      <c r="B194">
        <v>73.650000000000006</v>
      </c>
      <c r="C194">
        <v>73.95</v>
      </c>
      <c r="D194">
        <v>72</v>
      </c>
      <c r="E194">
        <v>72.349999999999994</v>
      </c>
      <c r="F194">
        <v>72.748815165876707</v>
      </c>
      <c r="G194">
        <v>10128</v>
      </c>
      <c r="H194">
        <v>128</v>
      </c>
      <c r="I194">
        <v>736800</v>
      </c>
      <c r="J194">
        <v>8096</v>
      </c>
      <c r="K194">
        <v>79.94</v>
      </c>
      <c r="L194">
        <v>1.95</v>
      </c>
      <c r="M194">
        <v>-1.3</v>
      </c>
    </row>
    <row r="195" spans="1:13" x14ac:dyDescent="0.3">
      <c r="A195" s="1">
        <v>44482</v>
      </c>
      <c r="B195">
        <v>74</v>
      </c>
      <c r="C195">
        <v>74</v>
      </c>
      <c r="D195">
        <v>70.2</v>
      </c>
      <c r="E195">
        <v>71.099999999999994</v>
      </c>
      <c r="F195">
        <v>71.489894453177598</v>
      </c>
      <c r="G195">
        <v>17812</v>
      </c>
      <c r="H195">
        <v>265</v>
      </c>
      <c r="I195">
        <v>1273378</v>
      </c>
      <c r="J195">
        <v>12047</v>
      </c>
      <c r="K195">
        <v>67.63</v>
      </c>
      <c r="L195">
        <v>3.8</v>
      </c>
      <c r="M195">
        <v>-2.9</v>
      </c>
    </row>
    <row r="196" spans="1:13" x14ac:dyDescent="0.3">
      <c r="A196" s="1">
        <v>44483</v>
      </c>
      <c r="B196">
        <v>72.8</v>
      </c>
      <c r="C196">
        <v>72.849999999999994</v>
      </c>
      <c r="D196">
        <v>68.7</v>
      </c>
      <c r="E196">
        <v>69</v>
      </c>
      <c r="F196">
        <v>70.539380192391704</v>
      </c>
      <c r="G196">
        <v>36592</v>
      </c>
      <c r="H196">
        <v>234</v>
      </c>
      <c r="I196">
        <v>2581177</v>
      </c>
      <c r="J196">
        <v>33859</v>
      </c>
      <c r="K196">
        <v>92.53</v>
      </c>
      <c r="L196">
        <v>4.1500000000000004</v>
      </c>
      <c r="M196">
        <v>-3.8</v>
      </c>
    </row>
    <row r="197" spans="1:13" x14ac:dyDescent="0.3">
      <c r="A197" s="1">
        <v>44487</v>
      </c>
      <c r="B197">
        <v>69.400000000000006</v>
      </c>
      <c r="C197">
        <v>71.849999999999994</v>
      </c>
      <c r="D197">
        <v>68</v>
      </c>
      <c r="E197">
        <v>70.5</v>
      </c>
      <c r="F197">
        <v>69.918089536699597</v>
      </c>
      <c r="G197">
        <v>38420</v>
      </c>
      <c r="H197">
        <v>294</v>
      </c>
      <c r="I197">
        <v>2686253</v>
      </c>
      <c r="J197">
        <v>32041</v>
      </c>
      <c r="K197">
        <v>83.4</v>
      </c>
      <c r="L197">
        <v>3.85</v>
      </c>
      <c r="M197">
        <v>1.1000000000000001</v>
      </c>
    </row>
    <row r="198" spans="1:13" x14ac:dyDescent="0.3">
      <c r="A198" s="1">
        <v>44488</v>
      </c>
      <c r="B198">
        <v>72.75</v>
      </c>
      <c r="C198">
        <v>72.75</v>
      </c>
      <c r="D198">
        <v>68.55</v>
      </c>
      <c r="E198">
        <v>70</v>
      </c>
      <c r="F198">
        <v>69.870372647890704</v>
      </c>
      <c r="G198">
        <v>32524</v>
      </c>
      <c r="H198">
        <v>153</v>
      </c>
      <c r="I198">
        <v>2272464</v>
      </c>
      <c r="J198">
        <v>30687</v>
      </c>
      <c r="K198">
        <v>94.35</v>
      </c>
      <c r="L198">
        <v>4.2</v>
      </c>
      <c r="M198">
        <v>-2.75</v>
      </c>
    </row>
    <row r="199" spans="1:13" x14ac:dyDescent="0.3">
      <c r="A199" s="1">
        <v>44489</v>
      </c>
      <c r="B199">
        <v>68.7</v>
      </c>
      <c r="C199">
        <v>71</v>
      </c>
      <c r="D199">
        <v>67.150000000000006</v>
      </c>
      <c r="E199">
        <v>68.25</v>
      </c>
      <c r="F199">
        <v>69.116870182731404</v>
      </c>
      <c r="G199">
        <v>23094</v>
      </c>
      <c r="H199">
        <v>366</v>
      </c>
      <c r="I199">
        <v>1596185</v>
      </c>
      <c r="J199">
        <v>17458</v>
      </c>
      <c r="K199">
        <v>75.599999999999994</v>
      </c>
      <c r="L199">
        <v>3.85</v>
      </c>
      <c r="M199">
        <v>-0.45</v>
      </c>
    </row>
    <row r="200" spans="1:13" x14ac:dyDescent="0.3">
      <c r="A200" s="1">
        <v>44490</v>
      </c>
      <c r="B200">
        <v>69</v>
      </c>
      <c r="C200">
        <v>69</v>
      </c>
      <c r="D200">
        <v>63.75</v>
      </c>
      <c r="E200">
        <v>64.95</v>
      </c>
      <c r="F200">
        <v>65.360870806806503</v>
      </c>
      <c r="G200">
        <v>59531</v>
      </c>
      <c r="H200">
        <v>301</v>
      </c>
      <c r="I200">
        <v>3890998</v>
      </c>
      <c r="J200">
        <v>46524</v>
      </c>
      <c r="K200">
        <v>78.150000000000006</v>
      </c>
      <c r="L200">
        <v>5.25</v>
      </c>
      <c r="M200">
        <v>-4.05</v>
      </c>
    </row>
    <row r="201" spans="1:13" x14ac:dyDescent="0.3">
      <c r="A201" s="1">
        <v>44491</v>
      </c>
      <c r="B201">
        <v>66.8</v>
      </c>
      <c r="C201">
        <v>67.5</v>
      </c>
      <c r="D201">
        <v>61.95</v>
      </c>
      <c r="E201">
        <v>63.95</v>
      </c>
      <c r="F201">
        <v>64.857333118088604</v>
      </c>
      <c r="G201">
        <v>24778</v>
      </c>
      <c r="H201">
        <v>293</v>
      </c>
      <c r="I201">
        <v>1607035</v>
      </c>
      <c r="J201">
        <v>17994</v>
      </c>
      <c r="K201">
        <v>72.62</v>
      </c>
      <c r="L201">
        <v>5.55</v>
      </c>
      <c r="M201">
        <v>-2.85</v>
      </c>
    </row>
    <row r="202" spans="1:13" x14ac:dyDescent="0.3">
      <c r="A202" s="1">
        <v>44494</v>
      </c>
      <c r="B202">
        <v>64</v>
      </c>
      <c r="C202">
        <v>67</v>
      </c>
      <c r="D202">
        <v>60.3</v>
      </c>
      <c r="E202">
        <v>62.85</v>
      </c>
      <c r="F202">
        <v>62.132839747904299</v>
      </c>
      <c r="G202">
        <v>16343</v>
      </c>
      <c r="H202">
        <v>174</v>
      </c>
      <c r="I202">
        <v>1015437</v>
      </c>
      <c r="J202">
        <v>10918</v>
      </c>
      <c r="K202">
        <v>66.81</v>
      </c>
      <c r="L202">
        <v>6.7</v>
      </c>
      <c r="M202">
        <v>-1.1499999999999999</v>
      </c>
    </row>
    <row r="203" spans="1:13" x14ac:dyDescent="0.3">
      <c r="A203" s="1">
        <v>44495</v>
      </c>
      <c r="B203">
        <v>62.65</v>
      </c>
      <c r="C203">
        <v>65.45</v>
      </c>
      <c r="D203">
        <v>62.6</v>
      </c>
      <c r="E203">
        <v>65</v>
      </c>
      <c r="F203">
        <v>64.685454545454505</v>
      </c>
      <c r="G203">
        <v>8250</v>
      </c>
      <c r="H203">
        <v>120</v>
      </c>
      <c r="I203">
        <v>533655</v>
      </c>
      <c r="J203">
        <v>4562</v>
      </c>
      <c r="K203">
        <v>55.3</v>
      </c>
      <c r="L203">
        <v>2.85</v>
      </c>
      <c r="M203">
        <v>2.35</v>
      </c>
    </row>
    <row r="204" spans="1:13" x14ac:dyDescent="0.3">
      <c r="A204" s="1">
        <v>44496</v>
      </c>
      <c r="B204">
        <v>65.05</v>
      </c>
      <c r="C204">
        <v>67</v>
      </c>
      <c r="D204">
        <v>62.9</v>
      </c>
      <c r="E204">
        <v>66.349999999999994</v>
      </c>
      <c r="F204">
        <v>65.967995508141399</v>
      </c>
      <c r="G204">
        <v>12467</v>
      </c>
      <c r="H204">
        <v>151</v>
      </c>
      <c r="I204">
        <v>822423</v>
      </c>
      <c r="J204">
        <v>8899</v>
      </c>
      <c r="K204">
        <v>71.38</v>
      </c>
      <c r="L204">
        <v>4.0999999999999996</v>
      </c>
      <c r="M204">
        <v>1.3</v>
      </c>
    </row>
    <row r="205" spans="1:13" x14ac:dyDescent="0.3">
      <c r="A205" s="1">
        <v>44497</v>
      </c>
      <c r="B205">
        <v>66.400000000000006</v>
      </c>
      <c r="C205">
        <v>66.400000000000006</v>
      </c>
      <c r="D205">
        <v>63</v>
      </c>
      <c r="E205">
        <v>64.45</v>
      </c>
      <c r="F205">
        <v>63.9577202072538</v>
      </c>
      <c r="G205">
        <v>14475</v>
      </c>
      <c r="H205">
        <v>110</v>
      </c>
      <c r="I205">
        <v>925788</v>
      </c>
      <c r="J205">
        <v>13084</v>
      </c>
      <c r="K205">
        <v>90.39</v>
      </c>
      <c r="L205">
        <v>3.4</v>
      </c>
      <c r="M205">
        <v>-1.95</v>
      </c>
    </row>
    <row r="206" spans="1:13" x14ac:dyDescent="0.3">
      <c r="A206" s="1">
        <v>44498</v>
      </c>
      <c r="B206">
        <v>63.25</v>
      </c>
      <c r="C206">
        <v>63.9</v>
      </c>
      <c r="D206">
        <v>60.1</v>
      </c>
      <c r="E206">
        <v>62.25</v>
      </c>
      <c r="F206">
        <v>62.070459869313197</v>
      </c>
      <c r="G206">
        <v>16222</v>
      </c>
      <c r="H206">
        <v>192</v>
      </c>
      <c r="I206">
        <v>1006907</v>
      </c>
      <c r="J206">
        <v>13400</v>
      </c>
      <c r="K206">
        <v>82.6</v>
      </c>
      <c r="L206">
        <v>3.8</v>
      </c>
      <c r="M206">
        <v>-1</v>
      </c>
    </row>
    <row r="207" spans="1:13" x14ac:dyDescent="0.3">
      <c r="A207" s="1">
        <v>44501</v>
      </c>
      <c r="B207">
        <v>62.25</v>
      </c>
      <c r="C207">
        <v>67</v>
      </c>
      <c r="D207">
        <v>61.15</v>
      </c>
      <c r="E207">
        <v>63.8</v>
      </c>
      <c r="F207">
        <v>63.481975022531202</v>
      </c>
      <c r="G207">
        <v>15534</v>
      </c>
      <c r="H207">
        <v>235</v>
      </c>
      <c r="I207">
        <v>986129</v>
      </c>
      <c r="J207">
        <v>10020</v>
      </c>
      <c r="K207">
        <v>64.5</v>
      </c>
      <c r="L207">
        <v>5.85</v>
      </c>
      <c r="M207">
        <v>1.55</v>
      </c>
    </row>
    <row r="208" spans="1:13" x14ac:dyDescent="0.3">
      <c r="A208" s="1">
        <v>44502</v>
      </c>
      <c r="B208">
        <v>62</v>
      </c>
      <c r="C208">
        <v>64.75</v>
      </c>
      <c r="D208">
        <v>60.9</v>
      </c>
      <c r="E208">
        <v>63.1</v>
      </c>
      <c r="F208">
        <v>62.862126592855603</v>
      </c>
      <c r="G208">
        <v>4787</v>
      </c>
      <c r="H208">
        <v>83</v>
      </c>
      <c r="I208">
        <v>300921</v>
      </c>
      <c r="J208">
        <v>3006</v>
      </c>
      <c r="K208">
        <v>62.8</v>
      </c>
      <c r="L208">
        <v>3.85</v>
      </c>
      <c r="M208">
        <v>1.1000000000000001</v>
      </c>
    </row>
    <row r="209" spans="1:13" x14ac:dyDescent="0.3">
      <c r="A209" s="1">
        <v>44503</v>
      </c>
      <c r="B209">
        <v>63.9</v>
      </c>
      <c r="C209">
        <v>63.9</v>
      </c>
      <c r="D209">
        <v>62</v>
      </c>
      <c r="E209">
        <v>62.5</v>
      </c>
      <c r="F209">
        <v>62.595041322314003</v>
      </c>
      <c r="G209">
        <v>5687</v>
      </c>
      <c r="H209">
        <v>69</v>
      </c>
      <c r="I209">
        <v>355978</v>
      </c>
      <c r="J209">
        <v>5053</v>
      </c>
      <c r="K209">
        <v>88.85</v>
      </c>
      <c r="L209">
        <v>1.9</v>
      </c>
      <c r="M209">
        <v>-1.4</v>
      </c>
    </row>
    <row r="210" spans="1:13" x14ac:dyDescent="0.3">
      <c r="A210" s="1">
        <v>44504</v>
      </c>
      <c r="B210">
        <v>64</v>
      </c>
      <c r="C210">
        <v>68.75</v>
      </c>
      <c r="D210">
        <v>64</v>
      </c>
      <c r="E210">
        <v>68.099999999999994</v>
      </c>
      <c r="F210">
        <v>68.236261921018396</v>
      </c>
      <c r="G210">
        <v>45403</v>
      </c>
      <c r="H210">
        <v>177</v>
      </c>
      <c r="I210">
        <v>3098131</v>
      </c>
      <c r="J210">
        <v>43003</v>
      </c>
      <c r="K210">
        <v>94.71</v>
      </c>
      <c r="L210">
        <v>4.75</v>
      </c>
      <c r="M210">
        <v>4.0999999999999996</v>
      </c>
    </row>
    <row r="211" spans="1:13" x14ac:dyDescent="0.3">
      <c r="A211" s="1">
        <v>44508</v>
      </c>
      <c r="B211">
        <v>68.400000000000006</v>
      </c>
      <c r="C211">
        <v>74.900000000000006</v>
      </c>
      <c r="D211">
        <v>66</v>
      </c>
      <c r="E211">
        <v>72.650000000000006</v>
      </c>
      <c r="F211">
        <v>72.624330944389001</v>
      </c>
      <c r="G211">
        <v>121253</v>
      </c>
      <c r="H211">
        <v>546</v>
      </c>
      <c r="I211">
        <v>8805918</v>
      </c>
      <c r="J211">
        <v>94746</v>
      </c>
      <c r="K211">
        <v>78.14</v>
      </c>
      <c r="L211">
        <v>8.9</v>
      </c>
      <c r="M211">
        <v>4.25</v>
      </c>
    </row>
    <row r="212" spans="1:13" x14ac:dyDescent="0.3">
      <c r="A212" s="1">
        <v>44509</v>
      </c>
      <c r="B212">
        <v>72.95</v>
      </c>
      <c r="C212">
        <v>73.3</v>
      </c>
      <c r="D212">
        <v>70.05</v>
      </c>
      <c r="E212">
        <v>71.849999999999994</v>
      </c>
      <c r="F212">
        <v>71.735902569235904</v>
      </c>
      <c r="G212">
        <v>11988</v>
      </c>
      <c r="H212">
        <v>173</v>
      </c>
      <c r="I212">
        <v>859970</v>
      </c>
      <c r="J212">
        <v>9288</v>
      </c>
      <c r="K212">
        <v>77.48</v>
      </c>
      <c r="L212">
        <v>3.25</v>
      </c>
      <c r="M212">
        <v>-1.1000000000000001</v>
      </c>
    </row>
    <row r="213" spans="1:13" x14ac:dyDescent="0.3">
      <c r="A213" s="1">
        <v>44510</v>
      </c>
      <c r="B213">
        <v>72.5</v>
      </c>
      <c r="C213">
        <v>75</v>
      </c>
      <c r="D213">
        <v>72.400000000000006</v>
      </c>
      <c r="E213">
        <v>72.849999999999994</v>
      </c>
      <c r="F213">
        <v>74.031695610437197</v>
      </c>
      <c r="G213">
        <v>57295</v>
      </c>
      <c r="H213">
        <v>218</v>
      </c>
      <c r="I213">
        <v>4241646</v>
      </c>
      <c r="J213">
        <v>51279</v>
      </c>
      <c r="K213">
        <v>89.5</v>
      </c>
      <c r="L213">
        <v>2.6</v>
      </c>
      <c r="M213">
        <v>0.35</v>
      </c>
    </row>
    <row r="214" spans="1:13" x14ac:dyDescent="0.3">
      <c r="A214" s="1">
        <v>44511</v>
      </c>
      <c r="B214">
        <v>73</v>
      </c>
      <c r="C214">
        <v>74.7</v>
      </c>
      <c r="D214">
        <v>71.5</v>
      </c>
      <c r="E214">
        <v>73.8</v>
      </c>
      <c r="F214">
        <v>73.486730243217195</v>
      </c>
      <c r="G214">
        <v>13527</v>
      </c>
      <c r="H214">
        <v>144</v>
      </c>
      <c r="I214">
        <v>994055</v>
      </c>
      <c r="J214">
        <v>11593</v>
      </c>
      <c r="K214">
        <v>85.7</v>
      </c>
      <c r="L214">
        <v>3.2</v>
      </c>
      <c r="M214">
        <v>0.8</v>
      </c>
    </row>
    <row r="215" spans="1:13" x14ac:dyDescent="0.3">
      <c r="A215" s="1">
        <v>44512</v>
      </c>
      <c r="B215">
        <v>72.55</v>
      </c>
      <c r="C215">
        <v>75.900000000000006</v>
      </c>
      <c r="D215">
        <v>72.099999999999994</v>
      </c>
      <c r="E215">
        <v>73.400000000000006</v>
      </c>
      <c r="F215">
        <v>74.339415204678303</v>
      </c>
      <c r="G215">
        <v>17100</v>
      </c>
      <c r="H215">
        <v>200</v>
      </c>
      <c r="I215">
        <v>1271204</v>
      </c>
      <c r="J215">
        <v>12284</v>
      </c>
      <c r="K215">
        <v>71.84</v>
      </c>
      <c r="L215">
        <v>3.8</v>
      </c>
      <c r="M215">
        <v>0.85</v>
      </c>
    </row>
    <row r="216" spans="1:13" x14ac:dyDescent="0.3">
      <c r="A216" s="1">
        <v>44515</v>
      </c>
      <c r="B216">
        <v>74</v>
      </c>
      <c r="C216">
        <v>80</v>
      </c>
      <c r="D216">
        <v>66.099999999999994</v>
      </c>
      <c r="E216">
        <v>73.45</v>
      </c>
      <c r="F216">
        <v>72.544392812838595</v>
      </c>
      <c r="G216">
        <v>637637</v>
      </c>
      <c r="H216">
        <v>2750</v>
      </c>
      <c r="I216">
        <v>46256989</v>
      </c>
      <c r="J216">
        <v>353686</v>
      </c>
      <c r="K216">
        <v>55.47</v>
      </c>
      <c r="L216">
        <v>13.9</v>
      </c>
      <c r="M216">
        <v>-0.55000000000000004</v>
      </c>
    </row>
    <row r="217" spans="1:13" x14ac:dyDescent="0.3">
      <c r="A217" s="1">
        <v>44516</v>
      </c>
      <c r="B217">
        <v>73.5</v>
      </c>
      <c r="C217">
        <v>80.75</v>
      </c>
      <c r="D217">
        <v>72.599999999999994</v>
      </c>
      <c r="E217">
        <v>78.2</v>
      </c>
      <c r="F217">
        <v>78.831128996164907</v>
      </c>
      <c r="G217">
        <v>259186</v>
      </c>
      <c r="H217">
        <v>1179</v>
      </c>
      <c r="I217">
        <v>20431925</v>
      </c>
      <c r="J217">
        <v>197721</v>
      </c>
      <c r="K217">
        <v>76.290000000000006</v>
      </c>
      <c r="L217">
        <v>8.15</v>
      </c>
      <c r="M217">
        <v>4.7</v>
      </c>
    </row>
    <row r="218" spans="1:13" x14ac:dyDescent="0.3">
      <c r="A218" s="1">
        <v>44517</v>
      </c>
      <c r="B218">
        <v>79</v>
      </c>
      <c r="C218">
        <v>79.95</v>
      </c>
      <c r="D218">
        <v>75.05</v>
      </c>
      <c r="E218">
        <v>78.400000000000006</v>
      </c>
      <c r="F218">
        <v>78.756380109733897</v>
      </c>
      <c r="G218">
        <v>75273</v>
      </c>
      <c r="H218">
        <v>730</v>
      </c>
      <c r="I218">
        <v>5928229</v>
      </c>
      <c r="J218">
        <v>63018</v>
      </c>
      <c r="K218">
        <v>83.72</v>
      </c>
      <c r="L218">
        <v>4.9000000000000004</v>
      </c>
      <c r="M218">
        <v>-0.6</v>
      </c>
    </row>
    <row r="219" spans="1:13" x14ac:dyDescent="0.3">
      <c r="A219" s="1">
        <v>44518</v>
      </c>
      <c r="B219">
        <v>78.400000000000006</v>
      </c>
      <c r="C219">
        <v>81</v>
      </c>
      <c r="D219">
        <v>72.8</v>
      </c>
      <c r="E219">
        <v>75.95</v>
      </c>
      <c r="F219">
        <v>76.308686622744105</v>
      </c>
      <c r="G219">
        <v>55856</v>
      </c>
      <c r="H219">
        <v>545</v>
      </c>
      <c r="I219">
        <v>4262298</v>
      </c>
      <c r="J219">
        <v>45753</v>
      </c>
      <c r="K219">
        <v>81.91</v>
      </c>
      <c r="L219">
        <v>8.1999999999999993</v>
      </c>
      <c r="M219">
        <v>-2.4500000000000002</v>
      </c>
    </row>
    <row r="220" spans="1:13" x14ac:dyDescent="0.3">
      <c r="A220" s="1">
        <v>44522</v>
      </c>
      <c r="B220">
        <v>76.95</v>
      </c>
      <c r="C220">
        <v>77</v>
      </c>
      <c r="D220">
        <v>70.75</v>
      </c>
      <c r="E220">
        <v>72.650000000000006</v>
      </c>
      <c r="F220">
        <v>73.360332729215997</v>
      </c>
      <c r="G220">
        <v>43038</v>
      </c>
      <c r="H220">
        <v>339</v>
      </c>
      <c r="I220">
        <v>3157282</v>
      </c>
      <c r="J220">
        <v>32600</v>
      </c>
      <c r="K220">
        <v>75.75</v>
      </c>
      <c r="L220">
        <v>6.25</v>
      </c>
      <c r="M220">
        <v>-4.3</v>
      </c>
    </row>
    <row r="221" spans="1:13" x14ac:dyDescent="0.3">
      <c r="A221" s="1">
        <v>44523</v>
      </c>
      <c r="B221">
        <v>72</v>
      </c>
      <c r="C221">
        <v>77.5</v>
      </c>
      <c r="D221">
        <v>71.05</v>
      </c>
      <c r="E221">
        <v>77.099999999999994</v>
      </c>
      <c r="F221">
        <v>75.979320674493806</v>
      </c>
      <c r="G221">
        <v>41394</v>
      </c>
      <c r="H221">
        <v>310</v>
      </c>
      <c r="I221">
        <v>3145088</v>
      </c>
      <c r="J221">
        <v>32020</v>
      </c>
      <c r="K221">
        <v>77.349999999999994</v>
      </c>
      <c r="L221">
        <v>6.45</v>
      </c>
      <c r="M221">
        <v>5.0999999999999996</v>
      </c>
    </row>
    <row r="222" spans="1:13" x14ac:dyDescent="0.3">
      <c r="A222" s="1">
        <v>44524</v>
      </c>
      <c r="B222">
        <v>76</v>
      </c>
      <c r="C222">
        <v>79.5</v>
      </c>
      <c r="D222">
        <v>75.75</v>
      </c>
      <c r="E222">
        <v>78.75</v>
      </c>
      <c r="F222">
        <v>78.450660506749401</v>
      </c>
      <c r="G222">
        <v>27706</v>
      </c>
      <c r="H222">
        <v>257</v>
      </c>
      <c r="I222">
        <v>2173554</v>
      </c>
      <c r="J222">
        <v>22434</v>
      </c>
      <c r="K222">
        <v>80.97</v>
      </c>
      <c r="L222">
        <v>3.75</v>
      </c>
      <c r="M222">
        <v>2.75</v>
      </c>
    </row>
    <row r="223" spans="1:13" x14ac:dyDescent="0.3">
      <c r="A223" s="1">
        <v>44525</v>
      </c>
      <c r="B223">
        <v>81</v>
      </c>
      <c r="C223">
        <v>86.6</v>
      </c>
      <c r="D223">
        <v>76.05</v>
      </c>
      <c r="E223">
        <v>86.6</v>
      </c>
      <c r="F223">
        <v>84.605235273340895</v>
      </c>
      <c r="G223">
        <v>203848</v>
      </c>
      <c r="H223">
        <v>867</v>
      </c>
      <c r="I223">
        <v>17246608</v>
      </c>
      <c r="J223">
        <v>162878</v>
      </c>
      <c r="K223">
        <v>79.900000000000006</v>
      </c>
      <c r="L223">
        <v>10.55</v>
      </c>
      <c r="M223">
        <v>5.6</v>
      </c>
    </row>
    <row r="224" spans="1:13" x14ac:dyDescent="0.3">
      <c r="A224" s="1">
        <v>44526</v>
      </c>
      <c r="B224">
        <v>88</v>
      </c>
      <c r="C224">
        <v>95.25</v>
      </c>
      <c r="D224">
        <v>82.3</v>
      </c>
      <c r="E224">
        <v>94.1</v>
      </c>
      <c r="F224">
        <v>92.655072429707403</v>
      </c>
      <c r="G224">
        <v>340399</v>
      </c>
      <c r="H224">
        <v>2068</v>
      </c>
      <c r="I224">
        <v>31539694</v>
      </c>
      <c r="J224">
        <v>187336</v>
      </c>
      <c r="K224">
        <v>55.03</v>
      </c>
      <c r="L224">
        <v>12.95</v>
      </c>
      <c r="M224">
        <v>6.1</v>
      </c>
    </row>
    <row r="225" spans="1:13" x14ac:dyDescent="0.3">
      <c r="A225" s="1">
        <v>44529</v>
      </c>
      <c r="B225">
        <v>96.4</v>
      </c>
      <c r="C225">
        <v>96.95</v>
      </c>
      <c r="D225">
        <v>89.4</v>
      </c>
      <c r="E225">
        <v>90.15</v>
      </c>
      <c r="F225">
        <v>91.781149873272398</v>
      </c>
      <c r="G225">
        <v>167288</v>
      </c>
      <c r="H225">
        <v>1147</v>
      </c>
      <c r="I225">
        <v>15353885</v>
      </c>
      <c r="J225">
        <v>108659</v>
      </c>
      <c r="K225">
        <v>64.95</v>
      </c>
      <c r="L225">
        <v>7.55</v>
      </c>
      <c r="M225">
        <v>-6.25</v>
      </c>
    </row>
    <row r="226" spans="1:13" x14ac:dyDescent="0.3">
      <c r="A226" s="1">
        <v>44530</v>
      </c>
      <c r="B226">
        <v>89</v>
      </c>
      <c r="C226">
        <v>92.95</v>
      </c>
      <c r="D226">
        <v>85.65</v>
      </c>
      <c r="E226">
        <v>86.25</v>
      </c>
      <c r="F226">
        <v>88.315506579990398</v>
      </c>
      <c r="G226">
        <v>63070</v>
      </c>
      <c r="H226">
        <v>711</v>
      </c>
      <c r="I226">
        <v>5570059</v>
      </c>
      <c r="J226">
        <v>46888</v>
      </c>
      <c r="K226">
        <v>74.34</v>
      </c>
      <c r="L226">
        <v>7.3</v>
      </c>
      <c r="M226">
        <v>-2.75</v>
      </c>
    </row>
    <row r="227" spans="1:13" x14ac:dyDescent="0.3">
      <c r="A227" s="1">
        <v>44531</v>
      </c>
      <c r="B227">
        <v>86.5</v>
      </c>
      <c r="C227">
        <v>90.55</v>
      </c>
      <c r="D227">
        <v>86.5</v>
      </c>
      <c r="E227">
        <v>90.55</v>
      </c>
      <c r="F227">
        <v>89.8039416647064</v>
      </c>
      <c r="G227">
        <v>59518</v>
      </c>
      <c r="H227">
        <v>277</v>
      </c>
      <c r="I227">
        <v>5344951</v>
      </c>
      <c r="J227">
        <v>49123</v>
      </c>
      <c r="K227">
        <v>82.53</v>
      </c>
      <c r="L227">
        <v>4.05</v>
      </c>
      <c r="M227">
        <v>4.05</v>
      </c>
    </row>
    <row r="228" spans="1:13" x14ac:dyDescent="0.3">
      <c r="A228" s="1">
        <v>44532</v>
      </c>
      <c r="B228">
        <v>93.85</v>
      </c>
      <c r="C228">
        <v>95.05</v>
      </c>
      <c r="D228">
        <v>90</v>
      </c>
      <c r="E228">
        <v>91.35</v>
      </c>
      <c r="F228">
        <v>93.468832911014999</v>
      </c>
      <c r="G228">
        <v>67090</v>
      </c>
      <c r="H228">
        <v>479</v>
      </c>
      <c r="I228">
        <v>6270824</v>
      </c>
      <c r="J228">
        <v>54333</v>
      </c>
      <c r="K228">
        <v>80.989999999999995</v>
      </c>
      <c r="L228">
        <v>5.05</v>
      </c>
      <c r="M228">
        <v>-2.5</v>
      </c>
    </row>
    <row r="229" spans="1:13" x14ac:dyDescent="0.3">
      <c r="A229" s="1">
        <v>44533</v>
      </c>
      <c r="B229">
        <v>89</v>
      </c>
      <c r="C229">
        <v>92.65</v>
      </c>
      <c r="D229">
        <v>86.8</v>
      </c>
      <c r="E229">
        <v>87.6</v>
      </c>
      <c r="F229">
        <v>88.620605154403606</v>
      </c>
      <c r="G229">
        <v>48153</v>
      </c>
      <c r="H229">
        <v>395</v>
      </c>
      <c r="I229">
        <v>4267348</v>
      </c>
      <c r="J229">
        <v>36257</v>
      </c>
      <c r="K229">
        <v>75.3</v>
      </c>
      <c r="L229">
        <v>5.85</v>
      </c>
      <c r="M229">
        <v>-1.4</v>
      </c>
    </row>
    <row r="230" spans="1:13" x14ac:dyDescent="0.3">
      <c r="A230" s="1">
        <v>44536</v>
      </c>
      <c r="B230">
        <v>87</v>
      </c>
      <c r="C230">
        <v>91.45</v>
      </c>
      <c r="D230">
        <v>86.55</v>
      </c>
      <c r="E230">
        <v>87.05</v>
      </c>
      <c r="F230">
        <v>88.619548322208999</v>
      </c>
      <c r="G230">
        <v>21874</v>
      </c>
      <c r="H230">
        <v>270</v>
      </c>
      <c r="I230">
        <v>1938464</v>
      </c>
      <c r="J230">
        <v>14827</v>
      </c>
      <c r="K230">
        <v>67.78</v>
      </c>
      <c r="L230">
        <v>4.9000000000000004</v>
      </c>
      <c r="M230">
        <v>0.05</v>
      </c>
    </row>
    <row r="231" spans="1:13" x14ac:dyDescent="0.3">
      <c r="A231" s="1">
        <v>44537</v>
      </c>
      <c r="B231">
        <v>88.95</v>
      </c>
      <c r="C231">
        <v>89.7</v>
      </c>
      <c r="D231">
        <v>86.8</v>
      </c>
      <c r="E231">
        <v>88</v>
      </c>
      <c r="F231">
        <v>87.712258454106205</v>
      </c>
      <c r="G231">
        <v>19872</v>
      </c>
      <c r="H231">
        <v>291</v>
      </c>
      <c r="I231">
        <v>1743018</v>
      </c>
      <c r="J231">
        <v>16528</v>
      </c>
      <c r="K231">
        <v>83.17</v>
      </c>
      <c r="L231">
        <v>2.9</v>
      </c>
      <c r="M231">
        <v>-0.95</v>
      </c>
    </row>
    <row r="232" spans="1:13" x14ac:dyDescent="0.3">
      <c r="A232" s="1">
        <v>44538</v>
      </c>
      <c r="B232">
        <v>91.9</v>
      </c>
      <c r="C232">
        <v>91.95</v>
      </c>
      <c r="D232">
        <v>87.65</v>
      </c>
      <c r="E232">
        <v>90.2</v>
      </c>
      <c r="F232">
        <v>89.999087729967997</v>
      </c>
      <c r="G232">
        <v>32885</v>
      </c>
      <c r="H232">
        <v>311</v>
      </c>
      <c r="I232">
        <v>2959620</v>
      </c>
      <c r="J232">
        <v>24176</v>
      </c>
      <c r="K232">
        <v>73.52</v>
      </c>
      <c r="L232">
        <v>4.3</v>
      </c>
      <c r="M232">
        <v>-1.7</v>
      </c>
    </row>
    <row r="233" spans="1:13" x14ac:dyDescent="0.3">
      <c r="A233" s="1">
        <v>44539</v>
      </c>
      <c r="B233">
        <v>90</v>
      </c>
      <c r="C233">
        <v>93</v>
      </c>
      <c r="D233">
        <v>88</v>
      </c>
      <c r="E233">
        <v>91.15</v>
      </c>
      <c r="F233">
        <v>89.824344775400704</v>
      </c>
      <c r="G233">
        <v>29074</v>
      </c>
      <c r="H233">
        <v>287</v>
      </c>
      <c r="I233">
        <v>2611553</v>
      </c>
      <c r="J233">
        <v>18686</v>
      </c>
      <c r="K233">
        <v>64.27</v>
      </c>
      <c r="L233">
        <v>5</v>
      </c>
      <c r="M233">
        <v>1.1499999999999999</v>
      </c>
    </row>
    <row r="234" spans="1:13" x14ac:dyDescent="0.3">
      <c r="A234" s="1">
        <v>44540</v>
      </c>
      <c r="B234">
        <v>91</v>
      </c>
      <c r="C234">
        <v>95.7</v>
      </c>
      <c r="D234">
        <v>91</v>
      </c>
      <c r="E234">
        <v>95</v>
      </c>
      <c r="F234">
        <v>94.459863806373093</v>
      </c>
      <c r="G234">
        <v>87963</v>
      </c>
      <c r="H234">
        <v>527</v>
      </c>
      <c r="I234">
        <v>8308973</v>
      </c>
      <c r="J234">
        <v>72045</v>
      </c>
      <c r="K234">
        <v>81.900000000000006</v>
      </c>
      <c r="L234">
        <v>4.7</v>
      </c>
      <c r="M234">
        <v>4</v>
      </c>
    </row>
    <row r="235" spans="1:13" x14ac:dyDescent="0.3">
      <c r="A235" s="1">
        <v>44543</v>
      </c>
      <c r="B235">
        <v>95.95</v>
      </c>
      <c r="C235">
        <v>98.9</v>
      </c>
      <c r="D235">
        <v>90.25</v>
      </c>
      <c r="E235">
        <v>91.35</v>
      </c>
      <c r="F235">
        <v>95.617050568146695</v>
      </c>
      <c r="G235">
        <v>97334</v>
      </c>
      <c r="H235">
        <v>899</v>
      </c>
      <c r="I235">
        <v>9306790</v>
      </c>
      <c r="J235">
        <v>72047</v>
      </c>
      <c r="K235">
        <v>74.02</v>
      </c>
      <c r="L235">
        <v>8.65</v>
      </c>
      <c r="M235">
        <v>-4.5999999999999996</v>
      </c>
    </row>
    <row r="236" spans="1:13" x14ac:dyDescent="0.3">
      <c r="A236" s="1">
        <v>44544</v>
      </c>
      <c r="B236">
        <v>90.6</v>
      </c>
      <c r="C236">
        <v>94.7</v>
      </c>
      <c r="D236">
        <v>90.3</v>
      </c>
      <c r="E236">
        <v>93</v>
      </c>
      <c r="F236">
        <v>92.521538607835595</v>
      </c>
      <c r="G236">
        <v>42064</v>
      </c>
      <c r="H236">
        <v>471</v>
      </c>
      <c r="I236">
        <v>3891826</v>
      </c>
      <c r="J236">
        <v>31070</v>
      </c>
      <c r="K236">
        <v>73.86</v>
      </c>
      <c r="L236">
        <v>4.4000000000000004</v>
      </c>
      <c r="M236">
        <v>2.4</v>
      </c>
    </row>
    <row r="237" spans="1:13" x14ac:dyDescent="0.3">
      <c r="A237" s="1">
        <v>44545</v>
      </c>
      <c r="B237">
        <v>94</v>
      </c>
      <c r="C237">
        <v>96.5</v>
      </c>
      <c r="D237">
        <v>93</v>
      </c>
      <c r="E237">
        <v>95.25</v>
      </c>
      <c r="F237">
        <v>95.250538972534301</v>
      </c>
      <c r="G237">
        <v>57053</v>
      </c>
      <c r="H237">
        <v>491</v>
      </c>
      <c r="I237">
        <v>5434329</v>
      </c>
      <c r="J237">
        <v>46955</v>
      </c>
      <c r="K237">
        <v>82.3</v>
      </c>
      <c r="L237">
        <v>3.5</v>
      </c>
      <c r="M237">
        <v>1.25</v>
      </c>
    </row>
    <row r="238" spans="1:13" x14ac:dyDescent="0.3">
      <c r="A238" s="1">
        <v>44546</v>
      </c>
      <c r="B238">
        <v>96</v>
      </c>
      <c r="C238">
        <v>96</v>
      </c>
      <c r="D238">
        <v>92.75</v>
      </c>
      <c r="E238">
        <v>94.15</v>
      </c>
      <c r="F238">
        <v>94.676076872100694</v>
      </c>
      <c r="G238">
        <v>22635</v>
      </c>
      <c r="H238">
        <v>282</v>
      </c>
      <c r="I238">
        <v>2142993</v>
      </c>
      <c r="J238">
        <v>16731</v>
      </c>
      <c r="K238">
        <v>73.92</v>
      </c>
      <c r="L238">
        <v>3.25</v>
      </c>
      <c r="M238">
        <v>-1.85</v>
      </c>
    </row>
    <row r="239" spans="1:13" x14ac:dyDescent="0.3">
      <c r="A239" s="1">
        <v>44547</v>
      </c>
      <c r="B239">
        <v>95</v>
      </c>
      <c r="C239">
        <v>95</v>
      </c>
      <c r="D239">
        <v>90</v>
      </c>
      <c r="E239">
        <v>90.5</v>
      </c>
      <c r="F239">
        <v>91.288533263943094</v>
      </c>
      <c r="G239">
        <v>23058</v>
      </c>
      <c r="H239">
        <v>426</v>
      </c>
      <c r="I239">
        <v>2104931</v>
      </c>
      <c r="J239">
        <v>16791</v>
      </c>
      <c r="K239">
        <v>72.819999999999993</v>
      </c>
      <c r="L239">
        <v>5</v>
      </c>
      <c r="M239">
        <v>-4.5</v>
      </c>
    </row>
    <row r="240" spans="1:13" x14ac:dyDescent="0.3">
      <c r="A240" s="1">
        <v>44550</v>
      </c>
      <c r="B240">
        <v>90.5</v>
      </c>
      <c r="C240">
        <v>90.5</v>
      </c>
      <c r="D240">
        <v>86</v>
      </c>
      <c r="E240">
        <v>86</v>
      </c>
      <c r="F240">
        <v>86.066211431461795</v>
      </c>
      <c r="G240">
        <v>39540</v>
      </c>
      <c r="H240">
        <v>210</v>
      </c>
      <c r="I240">
        <v>3403058</v>
      </c>
      <c r="J240">
        <v>38468</v>
      </c>
      <c r="K240">
        <v>97.29</v>
      </c>
      <c r="L240">
        <v>4.5</v>
      </c>
      <c r="M240">
        <v>-4.5</v>
      </c>
    </row>
    <row r="241" spans="1:13" x14ac:dyDescent="0.3">
      <c r="A241" s="1">
        <v>44551</v>
      </c>
      <c r="B241">
        <v>86.05</v>
      </c>
      <c r="C241">
        <v>88</v>
      </c>
      <c r="D241">
        <v>84</v>
      </c>
      <c r="E241">
        <v>86.15</v>
      </c>
      <c r="F241">
        <v>86.642951727458694</v>
      </c>
      <c r="G241">
        <v>16614</v>
      </c>
      <c r="H241">
        <v>236</v>
      </c>
      <c r="I241">
        <v>1439486</v>
      </c>
      <c r="J241">
        <v>12923</v>
      </c>
      <c r="K241">
        <v>77.78</v>
      </c>
      <c r="L241">
        <v>4</v>
      </c>
      <c r="M241">
        <v>0.1</v>
      </c>
    </row>
    <row r="242" spans="1:13" x14ac:dyDescent="0.3">
      <c r="A242" s="1">
        <v>44552</v>
      </c>
      <c r="B242">
        <v>90.45</v>
      </c>
      <c r="C242">
        <v>90.45</v>
      </c>
      <c r="D242">
        <v>87.5</v>
      </c>
      <c r="E242">
        <v>88.6</v>
      </c>
      <c r="F242">
        <v>88.914673654121003</v>
      </c>
      <c r="G242">
        <v>20990</v>
      </c>
      <c r="H242">
        <v>224</v>
      </c>
      <c r="I242">
        <v>1866319</v>
      </c>
      <c r="J242">
        <v>16997</v>
      </c>
      <c r="K242">
        <v>80.98</v>
      </c>
      <c r="L242">
        <v>2.95</v>
      </c>
      <c r="M242">
        <v>-1.85</v>
      </c>
    </row>
    <row r="243" spans="1:13" x14ac:dyDescent="0.3">
      <c r="A243" s="1">
        <v>44553</v>
      </c>
      <c r="B243">
        <v>88.7</v>
      </c>
      <c r="C243">
        <v>89.55</v>
      </c>
      <c r="D243">
        <v>86.5</v>
      </c>
      <c r="E243">
        <v>87.35</v>
      </c>
      <c r="F243">
        <v>87.752524553880207</v>
      </c>
      <c r="G243">
        <v>7229</v>
      </c>
      <c r="H243">
        <v>108</v>
      </c>
      <c r="I243">
        <v>634363</v>
      </c>
      <c r="J243">
        <v>5883</v>
      </c>
      <c r="K243">
        <v>81.38</v>
      </c>
      <c r="L243">
        <v>3.05</v>
      </c>
      <c r="M243">
        <v>-1.35</v>
      </c>
    </row>
    <row r="244" spans="1:13" x14ac:dyDescent="0.3">
      <c r="A244" s="1">
        <v>44554</v>
      </c>
      <c r="B244">
        <v>87.1</v>
      </c>
      <c r="C244">
        <v>88.5</v>
      </c>
      <c r="D244">
        <v>85.2</v>
      </c>
      <c r="E244">
        <v>87.15</v>
      </c>
      <c r="F244">
        <v>87.466732172936503</v>
      </c>
      <c r="G244">
        <v>14248</v>
      </c>
      <c r="H244">
        <v>205</v>
      </c>
      <c r="I244">
        <v>1246226</v>
      </c>
      <c r="J244">
        <v>10971</v>
      </c>
      <c r="K244">
        <v>77</v>
      </c>
      <c r="L244">
        <v>3.3</v>
      </c>
      <c r="M244">
        <v>0.05</v>
      </c>
    </row>
    <row r="245" spans="1:13" x14ac:dyDescent="0.3">
      <c r="A245" s="1">
        <v>44557</v>
      </c>
      <c r="B245">
        <v>88.65</v>
      </c>
      <c r="C245">
        <v>89.85</v>
      </c>
      <c r="D245">
        <v>83.25</v>
      </c>
      <c r="E245">
        <v>88.55</v>
      </c>
      <c r="F245">
        <v>86.586696299762096</v>
      </c>
      <c r="G245">
        <v>25647</v>
      </c>
      <c r="H245">
        <v>375</v>
      </c>
      <c r="I245">
        <v>2220689</v>
      </c>
      <c r="J245">
        <v>17761</v>
      </c>
      <c r="K245">
        <v>69.25</v>
      </c>
      <c r="L245">
        <v>6.6</v>
      </c>
      <c r="M245">
        <v>-0.1</v>
      </c>
    </row>
    <row r="246" spans="1:13" x14ac:dyDescent="0.3">
      <c r="A246" s="1">
        <v>44558</v>
      </c>
      <c r="B246">
        <v>85.5</v>
      </c>
      <c r="C246">
        <v>89</v>
      </c>
      <c r="D246">
        <v>84.85</v>
      </c>
      <c r="E246">
        <v>87.3</v>
      </c>
      <c r="F246">
        <v>86.702283665492999</v>
      </c>
      <c r="G246">
        <v>30959</v>
      </c>
      <c r="H246">
        <v>274</v>
      </c>
      <c r="I246">
        <v>2684216</v>
      </c>
      <c r="J246">
        <v>22488</v>
      </c>
      <c r="K246">
        <v>72.64</v>
      </c>
      <c r="L246">
        <v>4.1500000000000004</v>
      </c>
      <c r="M246">
        <v>1.8</v>
      </c>
    </row>
    <row r="247" spans="1:13" x14ac:dyDescent="0.3">
      <c r="A247" s="1">
        <v>44559</v>
      </c>
      <c r="B247">
        <v>86.05</v>
      </c>
      <c r="C247">
        <v>87.95</v>
      </c>
      <c r="D247">
        <v>85.05</v>
      </c>
      <c r="E247">
        <v>85.5</v>
      </c>
      <c r="F247">
        <v>85.939023900381599</v>
      </c>
      <c r="G247">
        <v>24895</v>
      </c>
      <c r="H247">
        <v>247</v>
      </c>
      <c r="I247">
        <v>2139452</v>
      </c>
      <c r="J247">
        <v>18977</v>
      </c>
      <c r="K247">
        <v>76.23</v>
      </c>
      <c r="L247">
        <v>2.9</v>
      </c>
      <c r="M247">
        <v>-0.55000000000000004</v>
      </c>
    </row>
    <row r="248" spans="1:13" x14ac:dyDescent="0.3">
      <c r="A248" s="1">
        <v>44560</v>
      </c>
      <c r="B248">
        <v>85</v>
      </c>
      <c r="C248">
        <v>86.45</v>
      </c>
      <c r="D248">
        <v>83.05</v>
      </c>
      <c r="E248">
        <v>83.8</v>
      </c>
      <c r="F248">
        <v>84.616083991774005</v>
      </c>
      <c r="G248">
        <v>18478</v>
      </c>
      <c r="H248">
        <v>210</v>
      </c>
      <c r="I248">
        <v>1563536</v>
      </c>
      <c r="J248">
        <v>14506</v>
      </c>
      <c r="K248">
        <v>78.5</v>
      </c>
      <c r="L248">
        <v>3.4</v>
      </c>
      <c r="M248">
        <v>-1.2</v>
      </c>
    </row>
    <row r="249" spans="1:13" x14ac:dyDescent="0.3">
      <c r="A249" s="1">
        <v>44561</v>
      </c>
      <c r="B249">
        <v>82.35</v>
      </c>
      <c r="C249">
        <v>87.9</v>
      </c>
      <c r="D249">
        <v>82.35</v>
      </c>
      <c r="E249">
        <v>86.9</v>
      </c>
      <c r="F249">
        <v>86.764018448520901</v>
      </c>
      <c r="G249">
        <v>28837</v>
      </c>
      <c r="H249">
        <v>291</v>
      </c>
      <c r="I249">
        <v>2502014</v>
      </c>
      <c r="J249">
        <v>15852</v>
      </c>
      <c r="K249">
        <v>54.97</v>
      </c>
      <c r="L249">
        <v>5.55</v>
      </c>
      <c r="M249">
        <v>4.55</v>
      </c>
    </row>
    <row r="250" spans="1:13" x14ac:dyDescent="0.3">
      <c r="A250" s="1">
        <v>44564</v>
      </c>
      <c r="B250">
        <v>88</v>
      </c>
      <c r="C250">
        <v>89.45</v>
      </c>
      <c r="D250">
        <v>83.8</v>
      </c>
      <c r="E250">
        <v>87.8</v>
      </c>
      <c r="F250">
        <v>88.113625825255497</v>
      </c>
      <c r="G250">
        <v>45289</v>
      </c>
      <c r="H250">
        <v>341</v>
      </c>
      <c r="I250">
        <v>3990578</v>
      </c>
      <c r="J250">
        <v>29799</v>
      </c>
      <c r="K250">
        <v>65.8</v>
      </c>
      <c r="L250">
        <v>5.65</v>
      </c>
      <c r="M250">
        <v>-0.2</v>
      </c>
    </row>
    <row r="251" spans="1:13" x14ac:dyDescent="0.3">
      <c r="A251" s="1">
        <v>44565</v>
      </c>
      <c r="B251">
        <v>88.45</v>
      </c>
      <c r="C251">
        <v>88.45</v>
      </c>
      <c r="D251">
        <v>83.45</v>
      </c>
      <c r="E251">
        <v>84.45</v>
      </c>
      <c r="F251">
        <v>85.142942559891495</v>
      </c>
      <c r="G251">
        <v>75261</v>
      </c>
      <c r="H251">
        <v>419</v>
      </c>
      <c r="I251">
        <v>6407943</v>
      </c>
      <c r="J251">
        <v>65644</v>
      </c>
      <c r="K251">
        <v>87.22</v>
      </c>
      <c r="L251">
        <v>5</v>
      </c>
      <c r="M251">
        <v>-4</v>
      </c>
    </row>
    <row r="252" spans="1:13" x14ac:dyDescent="0.3">
      <c r="A252" s="1">
        <v>44566</v>
      </c>
      <c r="B252">
        <v>82</v>
      </c>
      <c r="C252">
        <v>85.95</v>
      </c>
      <c r="D252">
        <v>81.900000000000006</v>
      </c>
      <c r="E252">
        <v>84.25</v>
      </c>
      <c r="F252">
        <v>84.331135890782406</v>
      </c>
      <c r="G252">
        <v>42777</v>
      </c>
      <c r="H252">
        <v>326</v>
      </c>
      <c r="I252">
        <v>3607433</v>
      </c>
      <c r="J252">
        <v>31445</v>
      </c>
      <c r="K252">
        <v>73.510000000000005</v>
      </c>
      <c r="L252">
        <v>4.05</v>
      </c>
      <c r="M252">
        <v>2.25</v>
      </c>
    </row>
    <row r="253" spans="1:13" x14ac:dyDescent="0.3">
      <c r="A253" s="1">
        <v>44567</v>
      </c>
      <c r="B253">
        <v>83.9</v>
      </c>
      <c r="C253">
        <v>87.4</v>
      </c>
      <c r="D253">
        <v>82.25</v>
      </c>
      <c r="E253">
        <v>84</v>
      </c>
      <c r="F253">
        <v>84.154115317324496</v>
      </c>
      <c r="G253">
        <v>52013</v>
      </c>
      <c r="H253">
        <v>450</v>
      </c>
      <c r="I253">
        <v>4377108</v>
      </c>
      <c r="J253">
        <v>25204</v>
      </c>
      <c r="K253">
        <v>48.46</v>
      </c>
      <c r="L253">
        <v>5.15</v>
      </c>
      <c r="M253">
        <v>0.1</v>
      </c>
    </row>
    <row r="254" spans="1:13" x14ac:dyDescent="0.3">
      <c r="A254" s="1">
        <v>44568</v>
      </c>
      <c r="B254">
        <v>86.5</v>
      </c>
      <c r="C254">
        <v>88.2</v>
      </c>
      <c r="D254">
        <v>84.1</v>
      </c>
      <c r="E254">
        <v>88.15</v>
      </c>
      <c r="F254">
        <v>87.119763768713</v>
      </c>
      <c r="G254">
        <v>65529</v>
      </c>
      <c r="H254">
        <v>510</v>
      </c>
      <c r="I254">
        <v>5708871</v>
      </c>
      <c r="J254">
        <v>56561</v>
      </c>
      <c r="K254">
        <v>86.31</v>
      </c>
      <c r="L254">
        <v>4.0999999999999996</v>
      </c>
      <c r="M254">
        <v>1.65</v>
      </c>
    </row>
    <row r="255" spans="1:13" x14ac:dyDescent="0.3">
      <c r="A255" s="1">
        <v>44571</v>
      </c>
      <c r="B255">
        <v>90</v>
      </c>
      <c r="C255">
        <v>92.55</v>
      </c>
      <c r="D255">
        <v>90</v>
      </c>
      <c r="E255">
        <v>92.55</v>
      </c>
      <c r="F255">
        <v>92.242940410842607</v>
      </c>
      <c r="G255">
        <v>35342</v>
      </c>
      <c r="H255">
        <v>264</v>
      </c>
      <c r="I255">
        <v>3260050</v>
      </c>
      <c r="J255">
        <v>31669</v>
      </c>
      <c r="K255">
        <v>89.61</v>
      </c>
      <c r="L255">
        <v>2.5499999999999998</v>
      </c>
      <c r="M255">
        <v>2.5499999999999998</v>
      </c>
    </row>
    <row r="256" spans="1:13" x14ac:dyDescent="0.3">
      <c r="A256" s="1">
        <v>44572</v>
      </c>
      <c r="B256">
        <v>97.15</v>
      </c>
      <c r="C256">
        <v>97.15</v>
      </c>
      <c r="D256">
        <v>94</v>
      </c>
      <c r="E256">
        <v>94.8</v>
      </c>
      <c r="F256">
        <v>95.529763418977296</v>
      </c>
      <c r="G256">
        <v>55034</v>
      </c>
      <c r="H256">
        <v>643</v>
      </c>
      <c r="I256">
        <v>5257385</v>
      </c>
      <c r="J256">
        <v>41529</v>
      </c>
      <c r="K256">
        <v>75.459999999999994</v>
      </c>
      <c r="L256">
        <v>3.15</v>
      </c>
      <c r="M256">
        <v>-2.35</v>
      </c>
    </row>
    <row r="257" spans="1:13" x14ac:dyDescent="0.3">
      <c r="A257" s="1">
        <v>44573</v>
      </c>
      <c r="B257">
        <v>95.2</v>
      </c>
      <c r="C257">
        <v>96</v>
      </c>
      <c r="D257">
        <v>90.1</v>
      </c>
      <c r="E257">
        <v>90.85</v>
      </c>
      <c r="F257">
        <v>91.860081833528795</v>
      </c>
      <c r="G257">
        <v>34949</v>
      </c>
      <c r="H257">
        <v>398</v>
      </c>
      <c r="I257">
        <v>3210418</v>
      </c>
      <c r="J257">
        <v>25830</v>
      </c>
      <c r="K257">
        <v>73.91</v>
      </c>
      <c r="L257">
        <v>5.9</v>
      </c>
      <c r="M257">
        <v>-4.3499999999999996</v>
      </c>
    </row>
    <row r="258" spans="1:13" x14ac:dyDescent="0.3">
      <c r="A258" s="1">
        <v>44574</v>
      </c>
      <c r="B258">
        <v>94</v>
      </c>
      <c r="C258">
        <v>94</v>
      </c>
      <c r="D258">
        <v>88.55</v>
      </c>
      <c r="E258">
        <v>89.15</v>
      </c>
      <c r="F258">
        <v>89.874913907284693</v>
      </c>
      <c r="G258">
        <v>18875</v>
      </c>
      <c r="H258">
        <v>239</v>
      </c>
      <c r="I258">
        <v>1696389</v>
      </c>
      <c r="J258">
        <v>16227</v>
      </c>
      <c r="K258">
        <v>85.97</v>
      </c>
      <c r="L258">
        <v>5.45</v>
      </c>
      <c r="M258">
        <v>-4.8499999999999996</v>
      </c>
    </row>
    <row r="259" spans="1:13" x14ac:dyDescent="0.3">
      <c r="A259" s="1">
        <v>44575</v>
      </c>
      <c r="B259">
        <v>91</v>
      </c>
      <c r="C259">
        <v>91.95</v>
      </c>
      <c r="D259">
        <v>85.05</v>
      </c>
      <c r="E259">
        <v>90.45</v>
      </c>
      <c r="F259">
        <v>90.086544555710404</v>
      </c>
      <c r="G259">
        <v>31556</v>
      </c>
      <c r="H259">
        <v>376</v>
      </c>
      <c r="I259">
        <v>2842771</v>
      </c>
      <c r="J259">
        <v>24025</v>
      </c>
      <c r="K259">
        <v>76.13</v>
      </c>
      <c r="L259">
        <v>6.9</v>
      </c>
      <c r="M259">
        <v>-0.55000000000000004</v>
      </c>
    </row>
    <row r="260" spans="1:13" x14ac:dyDescent="0.3">
      <c r="A260" s="1">
        <v>44578</v>
      </c>
      <c r="B260">
        <v>93.5</v>
      </c>
      <c r="C260">
        <v>94.95</v>
      </c>
      <c r="D260">
        <v>90</v>
      </c>
      <c r="E260">
        <v>94.95</v>
      </c>
      <c r="F260">
        <v>94.868275810398998</v>
      </c>
      <c r="G260">
        <v>80084</v>
      </c>
      <c r="H260">
        <v>230</v>
      </c>
      <c r="I260">
        <v>7597431</v>
      </c>
      <c r="J260">
        <v>78015</v>
      </c>
      <c r="K260">
        <v>97.42</v>
      </c>
      <c r="L260">
        <v>4.95</v>
      </c>
      <c r="M260">
        <v>1.45</v>
      </c>
    </row>
    <row r="261" spans="1:13" x14ac:dyDescent="0.3">
      <c r="A261" s="1">
        <v>44579</v>
      </c>
      <c r="B261">
        <v>99.65</v>
      </c>
      <c r="C261">
        <v>99.65</v>
      </c>
      <c r="D261">
        <v>99.65</v>
      </c>
      <c r="E261">
        <v>99.65</v>
      </c>
      <c r="F261">
        <v>99.649994658943797</v>
      </c>
      <c r="G261">
        <v>84253</v>
      </c>
      <c r="H261">
        <v>209</v>
      </c>
      <c r="I261">
        <v>8395811</v>
      </c>
      <c r="J261">
        <v>84253</v>
      </c>
      <c r="K261">
        <v>100</v>
      </c>
      <c r="L261">
        <v>0</v>
      </c>
      <c r="M261">
        <v>0</v>
      </c>
    </row>
    <row r="262" spans="1:13" x14ac:dyDescent="0.3">
      <c r="A262" s="1">
        <v>44580</v>
      </c>
      <c r="B262">
        <v>104.6</v>
      </c>
      <c r="C262">
        <v>104.6</v>
      </c>
      <c r="D262">
        <v>104.6</v>
      </c>
      <c r="E262">
        <v>104.6</v>
      </c>
      <c r="F262">
        <v>104.59999158733</v>
      </c>
      <c r="G262">
        <v>71321</v>
      </c>
      <c r="H262">
        <v>151</v>
      </c>
      <c r="I262">
        <v>7460176</v>
      </c>
      <c r="J262">
        <v>71321</v>
      </c>
      <c r="K262">
        <v>100</v>
      </c>
      <c r="L262">
        <v>0</v>
      </c>
      <c r="M262">
        <v>0</v>
      </c>
    </row>
    <row r="263" spans="1:13" x14ac:dyDescent="0.3">
      <c r="A263" s="1">
        <v>44581</v>
      </c>
      <c r="B263">
        <v>109.8</v>
      </c>
      <c r="C263">
        <v>109.8</v>
      </c>
      <c r="D263">
        <v>106.7</v>
      </c>
      <c r="E263">
        <v>109.8</v>
      </c>
      <c r="F263">
        <v>109.62792645879399</v>
      </c>
      <c r="G263">
        <v>335431</v>
      </c>
      <c r="H263">
        <v>1125</v>
      </c>
      <c r="I263">
        <v>36772605</v>
      </c>
      <c r="J263">
        <v>231838</v>
      </c>
      <c r="K263">
        <v>69.12</v>
      </c>
      <c r="L263">
        <v>3.1</v>
      </c>
      <c r="M263">
        <v>0</v>
      </c>
    </row>
    <row r="264" spans="1:13" x14ac:dyDescent="0.3">
      <c r="A264" s="1">
        <v>44582</v>
      </c>
      <c r="B264">
        <v>114.2</v>
      </c>
      <c r="C264">
        <v>115.25</v>
      </c>
      <c r="D264">
        <v>104.35</v>
      </c>
      <c r="E264">
        <v>114.45</v>
      </c>
      <c r="F264">
        <v>112.21117152961899</v>
      </c>
      <c r="G264">
        <v>452400</v>
      </c>
      <c r="H264">
        <v>2648</v>
      </c>
      <c r="I264">
        <v>50764334</v>
      </c>
      <c r="J264">
        <v>292725</v>
      </c>
      <c r="K264">
        <v>64.7</v>
      </c>
      <c r="L264">
        <v>10.9</v>
      </c>
      <c r="M264">
        <v>0.25</v>
      </c>
    </row>
    <row r="265" spans="1:13" x14ac:dyDescent="0.3">
      <c r="A265" s="1">
        <v>44585</v>
      </c>
      <c r="B265">
        <v>116</v>
      </c>
      <c r="C265">
        <v>119.7</v>
      </c>
      <c r="D265">
        <v>109</v>
      </c>
      <c r="E265">
        <v>114.75</v>
      </c>
      <c r="F265">
        <v>114.780835516008</v>
      </c>
      <c r="G265">
        <v>167226</v>
      </c>
      <c r="H265">
        <v>1483</v>
      </c>
      <c r="I265">
        <v>19194340</v>
      </c>
      <c r="J265">
        <v>123821</v>
      </c>
      <c r="K265">
        <v>74.040000000000006</v>
      </c>
      <c r="L265">
        <v>10.7</v>
      </c>
      <c r="M265">
        <v>-1.25</v>
      </c>
    </row>
    <row r="266" spans="1:13" x14ac:dyDescent="0.3">
      <c r="A266" s="1">
        <v>44586</v>
      </c>
      <c r="B266">
        <v>119</v>
      </c>
      <c r="C266">
        <v>120.45</v>
      </c>
      <c r="D266">
        <v>112.2</v>
      </c>
      <c r="E266">
        <v>120.1</v>
      </c>
      <c r="F266">
        <v>117.948877864773</v>
      </c>
      <c r="G266">
        <v>126188</v>
      </c>
      <c r="H266">
        <v>920</v>
      </c>
      <c r="I266">
        <v>14883733</v>
      </c>
      <c r="J266">
        <v>95850</v>
      </c>
      <c r="K266">
        <v>75.959999999999994</v>
      </c>
      <c r="L266">
        <v>8.25</v>
      </c>
      <c r="M266">
        <v>1.1000000000000001</v>
      </c>
    </row>
    <row r="267" spans="1:13" x14ac:dyDescent="0.3">
      <c r="A267" s="1">
        <v>44588</v>
      </c>
      <c r="B267">
        <v>118</v>
      </c>
      <c r="C267">
        <v>120.15</v>
      </c>
      <c r="D267">
        <v>114.55</v>
      </c>
      <c r="E267">
        <v>119.75</v>
      </c>
      <c r="F267">
        <v>118.04520386794201</v>
      </c>
      <c r="G267">
        <v>119857</v>
      </c>
      <c r="H267">
        <v>773</v>
      </c>
      <c r="I267">
        <v>14148544</v>
      </c>
      <c r="J267">
        <v>92846</v>
      </c>
      <c r="K267">
        <v>77.459999999999994</v>
      </c>
      <c r="L267">
        <v>5.6</v>
      </c>
      <c r="M267">
        <v>1.75</v>
      </c>
    </row>
    <row r="268" spans="1:13" x14ac:dyDescent="0.3">
      <c r="A268" s="1">
        <v>44589</v>
      </c>
      <c r="B268">
        <v>120.15</v>
      </c>
      <c r="C268">
        <v>120.15</v>
      </c>
      <c r="D268">
        <v>113.8</v>
      </c>
      <c r="E268">
        <v>113.8</v>
      </c>
      <c r="F268">
        <v>117.346646057922</v>
      </c>
      <c r="G268">
        <v>76343</v>
      </c>
      <c r="H268">
        <v>624</v>
      </c>
      <c r="I268">
        <v>8958595</v>
      </c>
      <c r="J268">
        <v>63754</v>
      </c>
      <c r="K268">
        <v>83.51</v>
      </c>
      <c r="L268">
        <v>6.35</v>
      </c>
      <c r="M268">
        <v>-6.35</v>
      </c>
    </row>
    <row r="269" spans="1:13" x14ac:dyDescent="0.3">
      <c r="A269" s="1">
        <v>44592</v>
      </c>
      <c r="B269">
        <v>114</v>
      </c>
      <c r="C269">
        <v>114.9</v>
      </c>
      <c r="D269">
        <v>108.15</v>
      </c>
      <c r="E269">
        <v>112.45</v>
      </c>
      <c r="F269">
        <v>110.699960550322</v>
      </c>
      <c r="G269">
        <v>81116</v>
      </c>
      <c r="H269">
        <v>683</v>
      </c>
      <c r="I269">
        <v>8979538</v>
      </c>
      <c r="J269">
        <v>47965</v>
      </c>
      <c r="K269">
        <v>59.13</v>
      </c>
      <c r="L269">
        <v>6.75</v>
      </c>
      <c r="M269">
        <v>-1.55</v>
      </c>
    </row>
    <row r="270" spans="1:13" x14ac:dyDescent="0.3">
      <c r="A270" s="1">
        <v>44593</v>
      </c>
      <c r="B270">
        <v>118.05</v>
      </c>
      <c r="C270">
        <v>118.05</v>
      </c>
      <c r="D270">
        <v>118.05</v>
      </c>
      <c r="E270">
        <v>118.05</v>
      </c>
      <c r="F270">
        <v>118.04999623522301</v>
      </c>
      <c r="G270">
        <v>26562</v>
      </c>
      <c r="H270">
        <v>97</v>
      </c>
      <c r="I270">
        <v>3135644</v>
      </c>
      <c r="J270">
        <v>26562</v>
      </c>
      <c r="K270">
        <v>100</v>
      </c>
      <c r="L270">
        <v>0</v>
      </c>
      <c r="M270">
        <v>0</v>
      </c>
    </row>
    <row r="271" spans="1:13" x14ac:dyDescent="0.3">
      <c r="A271" s="1">
        <v>44594</v>
      </c>
      <c r="B271">
        <v>123.95</v>
      </c>
      <c r="C271">
        <v>123.95</v>
      </c>
      <c r="D271">
        <v>123.95</v>
      </c>
      <c r="E271">
        <v>123.95</v>
      </c>
      <c r="F271">
        <v>123.95</v>
      </c>
      <c r="G271">
        <v>20940</v>
      </c>
      <c r="H271">
        <v>78</v>
      </c>
      <c r="I271">
        <v>2595513</v>
      </c>
      <c r="J271">
        <v>20940</v>
      </c>
      <c r="K271">
        <v>100</v>
      </c>
      <c r="L271">
        <v>0</v>
      </c>
      <c r="M271">
        <v>0</v>
      </c>
    </row>
    <row r="272" spans="1:13" x14ac:dyDescent="0.3">
      <c r="A272" s="1">
        <v>44595</v>
      </c>
      <c r="B272">
        <v>129.44999999999999</v>
      </c>
      <c r="C272">
        <v>130.1</v>
      </c>
      <c r="D272">
        <v>125</v>
      </c>
      <c r="E272">
        <v>130.1</v>
      </c>
      <c r="F272">
        <v>129.48461228098699</v>
      </c>
      <c r="G272">
        <v>232978</v>
      </c>
      <c r="H272">
        <v>1190</v>
      </c>
      <c r="I272">
        <v>30167066</v>
      </c>
      <c r="J272">
        <v>193812</v>
      </c>
      <c r="K272">
        <v>83.19</v>
      </c>
      <c r="L272">
        <v>5.0999999999999996</v>
      </c>
      <c r="M272">
        <v>0.65</v>
      </c>
    </row>
    <row r="273" spans="1:13" x14ac:dyDescent="0.3">
      <c r="A273" s="1">
        <v>44596</v>
      </c>
      <c r="B273">
        <v>136.6</v>
      </c>
      <c r="C273">
        <v>136.6</v>
      </c>
      <c r="D273">
        <v>134.15</v>
      </c>
      <c r="E273">
        <v>136.6</v>
      </c>
      <c r="F273">
        <v>136.25553063706801</v>
      </c>
      <c r="G273">
        <v>52616</v>
      </c>
      <c r="H273">
        <v>304</v>
      </c>
      <c r="I273">
        <v>7169221</v>
      </c>
      <c r="J273">
        <v>38328</v>
      </c>
      <c r="K273">
        <v>72.84</v>
      </c>
      <c r="L273">
        <v>2.4500000000000002</v>
      </c>
      <c r="M273">
        <v>0</v>
      </c>
    </row>
    <row r="274" spans="1:13" x14ac:dyDescent="0.3">
      <c r="A274" s="1">
        <v>44599</v>
      </c>
      <c r="B274">
        <v>143.30000000000001</v>
      </c>
      <c r="C274">
        <v>143.4</v>
      </c>
      <c r="D274">
        <v>139</v>
      </c>
      <c r="E274">
        <v>143.4</v>
      </c>
      <c r="F274">
        <v>143.18690853145799</v>
      </c>
      <c r="G274">
        <v>111798</v>
      </c>
      <c r="H274">
        <v>443</v>
      </c>
      <c r="I274">
        <v>16008010</v>
      </c>
      <c r="J274">
        <v>74851</v>
      </c>
      <c r="K274">
        <v>66.95</v>
      </c>
      <c r="L274">
        <v>4.4000000000000004</v>
      </c>
      <c r="M274">
        <v>0.1</v>
      </c>
    </row>
    <row r="275" spans="1:13" x14ac:dyDescent="0.3">
      <c r="A275" s="1">
        <v>44600</v>
      </c>
      <c r="B275">
        <v>150.55000000000001</v>
      </c>
      <c r="C275">
        <v>150.55000000000001</v>
      </c>
      <c r="D275">
        <v>137</v>
      </c>
      <c r="E275">
        <v>147.80000000000001</v>
      </c>
      <c r="F275">
        <v>146.89123394505501</v>
      </c>
      <c r="G275">
        <v>408519</v>
      </c>
      <c r="H275">
        <v>3921</v>
      </c>
      <c r="I275">
        <v>60007860</v>
      </c>
      <c r="J275">
        <v>250760</v>
      </c>
      <c r="K275">
        <v>61.38</v>
      </c>
      <c r="L275">
        <v>13.55</v>
      </c>
      <c r="M275">
        <v>-2.75</v>
      </c>
    </row>
    <row r="276" spans="1:13" x14ac:dyDescent="0.3">
      <c r="A276" s="1">
        <v>44601</v>
      </c>
      <c r="B276">
        <v>147.80000000000001</v>
      </c>
      <c r="C276">
        <v>154</v>
      </c>
      <c r="D276">
        <v>140.44999999999999</v>
      </c>
      <c r="E276">
        <v>140.55000000000001</v>
      </c>
      <c r="F276">
        <v>142.59576404789601</v>
      </c>
      <c r="G276">
        <v>106564</v>
      </c>
      <c r="H276">
        <v>2170</v>
      </c>
      <c r="I276">
        <v>15195575</v>
      </c>
      <c r="J276">
        <v>75537</v>
      </c>
      <c r="K276">
        <v>70.88</v>
      </c>
      <c r="L276">
        <v>13.55</v>
      </c>
      <c r="M276">
        <v>-7.25</v>
      </c>
    </row>
    <row r="277" spans="1:13" x14ac:dyDescent="0.3">
      <c r="A277" s="1">
        <v>44602</v>
      </c>
      <c r="B277">
        <v>134</v>
      </c>
      <c r="C277">
        <v>144</v>
      </c>
      <c r="D277">
        <v>133.55000000000001</v>
      </c>
      <c r="E277">
        <v>133.55000000000001</v>
      </c>
      <c r="F277">
        <v>133.871959268338</v>
      </c>
      <c r="G277">
        <v>31818</v>
      </c>
      <c r="H277">
        <v>373</v>
      </c>
      <c r="I277">
        <v>4259538</v>
      </c>
      <c r="J277">
        <v>30240</v>
      </c>
      <c r="K277">
        <v>95.04</v>
      </c>
      <c r="L277">
        <v>10.45</v>
      </c>
      <c r="M277">
        <v>-0.45</v>
      </c>
    </row>
    <row r="278" spans="1:13" x14ac:dyDescent="0.3">
      <c r="A278" s="1">
        <v>44603</v>
      </c>
      <c r="B278">
        <v>126.9</v>
      </c>
      <c r="C278">
        <v>140.19999999999999</v>
      </c>
      <c r="D278">
        <v>126.9</v>
      </c>
      <c r="E278">
        <v>140.15</v>
      </c>
      <c r="F278">
        <v>135.579430623609</v>
      </c>
      <c r="G278">
        <v>137554</v>
      </c>
      <c r="H278">
        <v>896</v>
      </c>
      <c r="I278">
        <v>18649493</v>
      </c>
      <c r="J278">
        <v>77835</v>
      </c>
      <c r="K278">
        <v>56.58</v>
      </c>
      <c r="L278">
        <v>13.3</v>
      </c>
      <c r="M278">
        <v>13.25</v>
      </c>
    </row>
    <row r="279" spans="1:13" x14ac:dyDescent="0.3">
      <c r="A279" s="1">
        <v>44606</v>
      </c>
      <c r="B279">
        <v>140</v>
      </c>
      <c r="C279">
        <v>144.94999999999999</v>
      </c>
      <c r="D279">
        <v>133.15</v>
      </c>
      <c r="E279">
        <v>135.35</v>
      </c>
      <c r="F279">
        <v>138.72236162496699</v>
      </c>
      <c r="G279">
        <v>109196</v>
      </c>
      <c r="H279">
        <v>1038</v>
      </c>
      <c r="I279">
        <v>15147927</v>
      </c>
      <c r="J279">
        <v>75566</v>
      </c>
      <c r="K279">
        <v>69.2</v>
      </c>
      <c r="L279">
        <v>11.8</v>
      </c>
      <c r="M279">
        <v>-4.6500000000000004</v>
      </c>
    </row>
    <row r="280" spans="1:13" x14ac:dyDescent="0.3">
      <c r="A280" s="1">
        <v>44607</v>
      </c>
      <c r="B280">
        <v>141.5</v>
      </c>
      <c r="C280">
        <v>142</v>
      </c>
      <c r="D280">
        <v>128.6</v>
      </c>
      <c r="E280">
        <v>134.4</v>
      </c>
      <c r="F280">
        <v>131.963474666499</v>
      </c>
      <c r="G280">
        <v>79835</v>
      </c>
      <c r="H280">
        <v>792</v>
      </c>
      <c r="I280">
        <v>10535304</v>
      </c>
      <c r="J280">
        <v>51084</v>
      </c>
      <c r="K280">
        <v>63.99</v>
      </c>
      <c r="L280">
        <v>13.4</v>
      </c>
      <c r="M280">
        <v>-7.1</v>
      </c>
    </row>
    <row r="281" spans="1:13" x14ac:dyDescent="0.3">
      <c r="A281" s="1">
        <v>44608</v>
      </c>
      <c r="B281">
        <v>139</v>
      </c>
      <c r="C281">
        <v>141.1</v>
      </c>
      <c r="D281">
        <v>134.44999999999999</v>
      </c>
      <c r="E281">
        <v>141.1</v>
      </c>
      <c r="F281">
        <v>140.51026392961799</v>
      </c>
      <c r="G281">
        <v>74338</v>
      </c>
      <c r="H281">
        <v>416</v>
      </c>
      <c r="I281">
        <v>10445252</v>
      </c>
      <c r="J281">
        <v>68530</v>
      </c>
      <c r="K281">
        <v>92.19</v>
      </c>
      <c r="L281">
        <v>6.65</v>
      </c>
      <c r="M281">
        <v>2.1</v>
      </c>
    </row>
    <row r="282" spans="1:13" x14ac:dyDescent="0.3">
      <c r="A282" s="1">
        <v>44609</v>
      </c>
      <c r="B282">
        <v>147.5</v>
      </c>
      <c r="C282">
        <v>148.15</v>
      </c>
      <c r="D282">
        <v>142</v>
      </c>
      <c r="E282">
        <v>142.85</v>
      </c>
      <c r="F282">
        <v>145.971358789795</v>
      </c>
      <c r="G282">
        <v>92943</v>
      </c>
      <c r="H282">
        <v>891</v>
      </c>
      <c r="I282">
        <v>13567016</v>
      </c>
      <c r="J282">
        <v>71972</v>
      </c>
      <c r="K282">
        <v>77.44</v>
      </c>
      <c r="L282">
        <v>6.15</v>
      </c>
      <c r="M282">
        <v>-4.6500000000000004</v>
      </c>
    </row>
    <row r="283" spans="1:13" x14ac:dyDescent="0.3">
      <c r="A283" s="1">
        <v>44610</v>
      </c>
      <c r="B283">
        <v>145</v>
      </c>
      <c r="C283">
        <v>147.9</v>
      </c>
      <c r="D283">
        <v>138.30000000000001</v>
      </c>
      <c r="E283">
        <v>142.85</v>
      </c>
      <c r="F283">
        <v>143.36253768303101</v>
      </c>
      <c r="G283">
        <v>74304</v>
      </c>
      <c r="H283">
        <v>678</v>
      </c>
      <c r="I283">
        <v>10652410</v>
      </c>
      <c r="J283">
        <v>45035</v>
      </c>
      <c r="K283">
        <v>60.61</v>
      </c>
      <c r="L283">
        <v>9.6</v>
      </c>
      <c r="M283">
        <v>-2.15</v>
      </c>
    </row>
    <row r="284" spans="1:13" x14ac:dyDescent="0.3">
      <c r="A284" s="1">
        <v>44613</v>
      </c>
      <c r="B284">
        <v>138.9</v>
      </c>
      <c r="C284">
        <v>148</v>
      </c>
      <c r="D284">
        <v>135.75</v>
      </c>
      <c r="E284">
        <v>135.75</v>
      </c>
      <c r="F284">
        <v>136.496766207213</v>
      </c>
      <c r="G284">
        <v>71897</v>
      </c>
      <c r="H284">
        <v>537</v>
      </c>
      <c r="I284">
        <v>9813708</v>
      </c>
      <c r="J284">
        <v>50757</v>
      </c>
      <c r="K284">
        <v>70.599999999999994</v>
      </c>
      <c r="L284">
        <v>12.25</v>
      </c>
      <c r="M284">
        <v>-3.15</v>
      </c>
    </row>
    <row r="285" spans="1:13" x14ac:dyDescent="0.3">
      <c r="A285" s="1">
        <v>44614</v>
      </c>
      <c r="B285">
        <v>129.19999999999999</v>
      </c>
      <c r="C285">
        <v>131.94999999999999</v>
      </c>
      <c r="D285">
        <v>129</v>
      </c>
      <c r="E285">
        <v>129</v>
      </c>
      <c r="F285">
        <v>129.11541683472399</v>
      </c>
      <c r="G285">
        <v>32231</v>
      </c>
      <c r="H285">
        <v>318</v>
      </c>
      <c r="I285">
        <v>4161519</v>
      </c>
      <c r="J285">
        <v>31203</v>
      </c>
      <c r="K285">
        <v>96.81</v>
      </c>
      <c r="L285">
        <v>2.95</v>
      </c>
      <c r="M285">
        <v>-0.2</v>
      </c>
    </row>
    <row r="286" spans="1:13" x14ac:dyDescent="0.3">
      <c r="A286" s="1">
        <v>44615</v>
      </c>
      <c r="B286">
        <v>129</v>
      </c>
      <c r="C286">
        <v>133</v>
      </c>
      <c r="D286">
        <v>124.05</v>
      </c>
      <c r="E286">
        <v>125.95</v>
      </c>
      <c r="F286">
        <v>128.44343644655899</v>
      </c>
      <c r="G286">
        <v>40344</v>
      </c>
      <c r="H286">
        <v>439</v>
      </c>
      <c r="I286">
        <v>5181922</v>
      </c>
      <c r="J286">
        <v>23794</v>
      </c>
      <c r="K286">
        <v>58.98</v>
      </c>
      <c r="L286">
        <v>8.9499999999999993</v>
      </c>
      <c r="M286">
        <v>-3.05</v>
      </c>
    </row>
    <row r="287" spans="1:13" x14ac:dyDescent="0.3">
      <c r="A287" s="1">
        <v>44616</v>
      </c>
      <c r="B287">
        <v>119.7</v>
      </c>
      <c r="C287">
        <v>123</v>
      </c>
      <c r="D287">
        <v>119.7</v>
      </c>
      <c r="E287">
        <v>119.7</v>
      </c>
      <c r="F287">
        <v>119.856789370819</v>
      </c>
      <c r="G287">
        <v>55771</v>
      </c>
      <c r="H287">
        <v>466</v>
      </c>
      <c r="I287">
        <v>6684533</v>
      </c>
      <c r="J287">
        <v>48050</v>
      </c>
      <c r="K287">
        <v>86.16</v>
      </c>
      <c r="L287">
        <v>3.3</v>
      </c>
      <c r="M287">
        <v>0</v>
      </c>
    </row>
    <row r="288" spans="1:13" x14ac:dyDescent="0.3">
      <c r="A288" s="1">
        <v>44617</v>
      </c>
      <c r="B288">
        <v>125</v>
      </c>
      <c r="C288">
        <v>125.65</v>
      </c>
      <c r="D288">
        <v>122</v>
      </c>
      <c r="E288">
        <v>124.2</v>
      </c>
      <c r="F288">
        <v>124.496913016476</v>
      </c>
      <c r="G288">
        <v>82119</v>
      </c>
      <c r="H288">
        <v>736</v>
      </c>
      <c r="I288">
        <v>10223562</v>
      </c>
      <c r="J288">
        <v>57734</v>
      </c>
      <c r="K288">
        <v>70.31</v>
      </c>
      <c r="L288">
        <v>3.65</v>
      </c>
      <c r="M288">
        <v>-0.8</v>
      </c>
    </row>
    <row r="289" spans="1:13" x14ac:dyDescent="0.3">
      <c r="A289" s="1">
        <v>44620</v>
      </c>
      <c r="B289">
        <v>124.55</v>
      </c>
      <c r="C289">
        <v>129.44999999999999</v>
      </c>
      <c r="D289">
        <v>118.05</v>
      </c>
      <c r="E289">
        <v>123.85</v>
      </c>
      <c r="F289">
        <v>126.086134002149</v>
      </c>
      <c r="G289">
        <v>41865</v>
      </c>
      <c r="H289">
        <v>743</v>
      </c>
      <c r="I289">
        <v>5278596</v>
      </c>
      <c r="J289">
        <v>31974</v>
      </c>
      <c r="K289">
        <v>76.37</v>
      </c>
      <c r="L289">
        <v>11.4</v>
      </c>
      <c r="M289">
        <v>-0.7</v>
      </c>
    </row>
    <row r="290" spans="1:13" x14ac:dyDescent="0.3">
      <c r="A290" s="1">
        <v>44622</v>
      </c>
      <c r="B290">
        <v>126.35</v>
      </c>
      <c r="C290">
        <v>129.94999999999999</v>
      </c>
      <c r="D290">
        <v>120.1</v>
      </c>
      <c r="E290">
        <v>129.15</v>
      </c>
      <c r="F290">
        <v>125.889998807251</v>
      </c>
      <c r="G290">
        <v>33536</v>
      </c>
      <c r="H290">
        <v>540</v>
      </c>
      <c r="I290">
        <v>4221847</v>
      </c>
      <c r="J290">
        <v>24330</v>
      </c>
      <c r="K290">
        <v>72.55</v>
      </c>
      <c r="L290">
        <v>9.85</v>
      </c>
      <c r="M290">
        <v>2.8</v>
      </c>
    </row>
    <row r="291" spans="1:13" x14ac:dyDescent="0.3">
      <c r="A291" s="1">
        <v>44623</v>
      </c>
      <c r="B291">
        <v>135</v>
      </c>
      <c r="C291">
        <v>135.35</v>
      </c>
      <c r="D291">
        <v>127.05</v>
      </c>
      <c r="E291">
        <v>128.75</v>
      </c>
      <c r="F291">
        <v>130.80891821422799</v>
      </c>
      <c r="G291">
        <v>37586</v>
      </c>
      <c r="H291">
        <v>494</v>
      </c>
      <c r="I291">
        <v>4916584</v>
      </c>
      <c r="J291">
        <v>23142</v>
      </c>
      <c r="K291">
        <v>61.57</v>
      </c>
      <c r="L291">
        <v>8.3000000000000007</v>
      </c>
      <c r="M291">
        <v>-6.25</v>
      </c>
    </row>
    <row r="292" spans="1:13" x14ac:dyDescent="0.3">
      <c r="A292" s="1">
        <v>44624</v>
      </c>
      <c r="B292">
        <v>123</v>
      </c>
      <c r="C292">
        <v>133</v>
      </c>
      <c r="D292">
        <v>122.35</v>
      </c>
      <c r="E292">
        <v>123.25</v>
      </c>
      <c r="F292">
        <v>124.36671048168201</v>
      </c>
      <c r="G292">
        <v>47168</v>
      </c>
      <c r="H292">
        <v>624</v>
      </c>
      <c r="I292">
        <v>5866129</v>
      </c>
      <c r="J292">
        <v>27394</v>
      </c>
      <c r="K292">
        <v>58.08</v>
      </c>
      <c r="L292">
        <v>10.65</v>
      </c>
      <c r="M292">
        <v>0.25</v>
      </c>
    </row>
    <row r="293" spans="1:13" x14ac:dyDescent="0.3">
      <c r="A293" s="1">
        <v>44627</v>
      </c>
      <c r="B293">
        <v>123</v>
      </c>
      <c r="C293">
        <v>123</v>
      </c>
      <c r="D293">
        <v>117.1</v>
      </c>
      <c r="E293">
        <v>118.55</v>
      </c>
      <c r="F293">
        <v>118.067593701077</v>
      </c>
      <c r="G293">
        <v>32577</v>
      </c>
      <c r="H293">
        <v>489</v>
      </c>
      <c r="I293">
        <v>3846288</v>
      </c>
      <c r="J293">
        <v>23068</v>
      </c>
      <c r="K293">
        <v>70.81</v>
      </c>
      <c r="L293">
        <v>5.9</v>
      </c>
      <c r="M293">
        <v>-4.45</v>
      </c>
    </row>
    <row r="294" spans="1:13" x14ac:dyDescent="0.3">
      <c r="A294" s="1">
        <v>44628</v>
      </c>
      <c r="B294">
        <v>118.05</v>
      </c>
      <c r="C294">
        <v>121.85</v>
      </c>
      <c r="D294">
        <v>114.6</v>
      </c>
      <c r="E294">
        <v>118.65</v>
      </c>
      <c r="F294">
        <v>118.198888166065</v>
      </c>
      <c r="G294">
        <v>16909</v>
      </c>
      <c r="H294">
        <v>390</v>
      </c>
      <c r="I294">
        <v>1998625</v>
      </c>
      <c r="J294">
        <v>12609</v>
      </c>
      <c r="K294">
        <v>74.569999999999993</v>
      </c>
      <c r="L294">
        <v>7.25</v>
      </c>
      <c r="M294">
        <v>0.6</v>
      </c>
    </row>
    <row r="295" spans="1:13" x14ac:dyDescent="0.3">
      <c r="A295" s="1">
        <v>44629</v>
      </c>
      <c r="B295">
        <v>123</v>
      </c>
      <c r="C295">
        <v>123.85</v>
      </c>
      <c r="D295">
        <v>114.1</v>
      </c>
      <c r="E295">
        <v>117.9</v>
      </c>
      <c r="F295">
        <v>118.27024871292799</v>
      </c>
      <c r="G295">
        <v>68955</v>
      </c>
      <c r="H295">
        <v>680</v>
      </c>
      <c r="I295">
        <v>8155325</v>
      </c>
      <c r="J295">
        <v>50991</v>
      </c>
      <c r="K295">
        <v>73.95</v>
      </c>
      <c r="L295">
        <v>9.75</v>
      </c>
      <c r="M295">
        <v>-5.0999999999999996</v>
      </c>
    </row>
    <row r="296" spans="1:13" x14ac:dyDescent="0.3">
      <c r="A296" s="1">
        <v>44630</v>
      </c>
      <c r="B296">
        <v>121</v>
      </c>
      <c r="C296">
        <v>123.75</v>
      </c>
      <c r="D296">
        <v>118.05</v>
      </c>
      <c r="E296">
        <v>121.9</v>
      </c>
      <c r="F296">
        <v>122.019761039413</v>
      </c>
      <c r="G296">
        <v>45949</v>
      </c>
      <c r="H296">
        <v>536</v>
      </c>
      <c r="I296">
        <v>5606686</v>
      </c>
      <c r="J296">
        <v>32128</v>
      </c>
      <c r="K296">
        <v>69.92</v>
      </c>
      <c r="L296">
        <v>5.7</v>
      </c>
      <c r="M296">
        <v>0.9</v>
      </c>
    </row>
    <row r="297" spans="1:13" x14ac:dyDescent="0.3">
      <c r="A297" s="1">
        <v>44631</v>
      </c>
      <c r="B297">
        <v>123.75</v>
      </c>
      <c r="C297">
        <v>124.7</v>
      </c>
      <c r="D297">
        <v>116.2</v>
      </c>
      <c r="E297">
        <v>117.8</v>
      </c>
      <c r="F297">
        <v>118.940868684595</v>
      </c>
      <c r="G297">
        <v>35548</v>
      </c>
      <c r="H297">
        <v>493</v>
      </c>
      <c r="I297">
        <v>4228110</v>
      </c>
      <c r="J297">
        <v>24414</v>
      </c>
      <c r="K297">
        <v>68.680000000000007</v>
      </c>
      <c r="L297">
        <v>8.5</v>
      </c>
      <c r="M297">
        <v>-5.95</v>
      </c>
    </row>
    <row r="298" spans="1:13" x14ac:dyDescent="0.3">
      <c r="A298" s="1">
        <v>44634</v>
      </c>
      <c r="B298">
        <v>120.95</v>
      </c>
      <c r="C298">
        <v>120.95</v>
      </c>
      <c r="D298">
        <v>111.95</v>
      </c>
      <c r="E298">
        <v>112</v>
      </c>
      <c r="F298">
        <v>115.07013400827</v>
      </c>
      <c r="G298">
        <v>88502</v>
      </c>
      <c r="H298">
        <v>692</v>
      </c>
      <c r="I298">
        <v>10183937</v>
      </c>
      <c r="J298">
        <v>67977</v>
      </c>
      <c r="K298">
        <v>76.81</v>
      </c>
      <c r="L298">
        <v>9</v>
      </c>
      <c r="M298">
        <v>-8.9499999999999993</v>
      </c>
    </row>
    <row r="299" spans="1:13" x14ac:dyDescent="0.3">
      <c r="A299" s="1">
        <v>44635</v>
      </c>
      <c r="B299">
        <v>114.95</v>
      </c>
      <c r="C299">
        <v>117.6</v>
      </c>
      <c r="D299">
        <v>108.5</v>
      </c>
      <c r="E299">
        <v>117.6</v>
      </c>
      <c r="F299">
        <v>115.448423827686</v>
      </c>
      <c r="G299">
        <v>35656</v>
      </c>
      <c r="H299">
        <v>386</v>
      </c>
      <c r="I299">
        <v>4116429</v>
      </c>
      <c r="J299">
        <v>29263</v>
      </c>
      <c r="K299">
        <v>82.07</v>
      </c>
      <c r="L299">
        <v>9.1</v>
      </c>
      <c r="M299">
        <v>2.65</v>
      </c>
    </row>
    <row r="300" spans="1:13" x14ac:dyDescent="0.3">
      <c r="A300" s="1">
        <v>44636</v>
      </c>
      <c r="B300">
        <v>122</v>
      </c>
      <c r="C300">
        <v>123.45</v>
      </c>
      <c r="D300">
        <v>121.05</v>
      </c>
      <c r="E300">
        <v>123.45</v>
      </c>
      <c r="F300">
        <v>123.255457999022</v>
      </c>
      <c r="G300">
        <v>63439</v>
      </c>
      <c r="H300">
        <v>232</v>
      </c>
      <c r="I300">
        <v>7819203</v>
      </c>
      <c r="J300">
        <v>48981</v>
      </c>
      <c r="K300">
        <v>77.209999999999994</v>
      </c>
      <c r="L300">
        <v>2.4</v>
      </c>
      <c r="M300">
        <v>1.45</v>
      </c>
    </row>
    <row r="301" spans="1:13" x14ac:dyDescent="0.3">
      <c r="A301" s="1">
        <v>44637</v>
      </c>
      <c r="B301">
        <v>128.4</v>
      </c>
      <c r="C301">
        <v>129.6</v>
      </c>
      <c r="D301">
        <v>125.1</v>
      </c>
      <c r="E301">
        <v>129.35</v>
      </c>
      <c r="F301">
        <v>128.652039303468</v>
      </c>
      <c r="G301">
        <v>68798</v>
      </c>
      <c r="H301">
        <v>656</v>
      </c>
      <c r="I301">
        <v>8851003</v>
      </c>
      <c r="J301">
        <v>52456</v>
      </c>
      <c r="K301">
        <v>76.25</v>
      </c>
      <c r="L301">
        <v>4.5</v>
      </c>
      <c r="M301">
        <v>0.95</v>
      </c>
    </row>
    <row r="302" spans="1:13" x14ac:dyDescent="0.3">
      <c r="A302" s="1">
        <v>44641</v>
      </c>
      <c r="B302">
        <v>134.65</v>
      </c>
      <c r="C302">
        <v>135.80000000000001</v>
      </c>
      <c r="D302">
        <v>130</v>
      </c>
      <c r="E302">
        <v>135.80000000000001</v>
      </c>
      <c r="F302">
        <v>134.59925909784201</v>
      </c>
      <c r="G302">
        <v>55068</v>
      </c>
      <c r="H302">
        <v>558</v>
      </c>
      <c r="I302">
        <v>7412112</v>
      </c>
      <c r="J302">
        <v>45391</v>
      </c>
      <c r="K302">
        <v>82.43</v>
      </c>
      <c r="L302">
        <v>5.8</v>
      </c>
      <c r="M302">
        <v>1.1499999999999999</v>
      </c>
    </row>
    <row r="303" spans="1:13" x14ac:dyDescent="0.3">
      <c r="A303" s="1">
        <v>44642</v>
      </c>
      <c r="B303">
        <v>141.80000000000001</v>
      </c>
      <c r="C303">
        <v>141.80000000000001</v>
      </c>
      <c r="D303">
        <v>132.5</v>
      </c>
      <c r="E303">
        <v>136.55000000000001</v>
      </c>
      <c r="F303">
        <v>137.57946176612199</v>
      </c>
      <c r="G303">
        <v>29058</v>
      </c>
      <c r="H303">
        <v>527</v>
      </c>
      <c r="I303">
        <v>3997784</v>
      </c>
      <c r="J303">
        <v>20335</v>
      </c>
      <c r="K303">
        <v>69.98</v>
      </c>
      <c r="L303">
        <v>9.3000000000000007</v>
      </c>
      <c r="M303">
        <v>-5.25</v>
      </c>
    </row>
    <row r="304" spans="1:13" x14ac:dyDescent="0.3">
      <c r="A304" s="1">
        <v>44643</v>
      </c>
      <c r="B304">
        <v>140.25</v>
      </c>
      <c r="C304">
        <v>141.80000000000001</v>
      </c>
      <c r="D304">
        <v>133.5</v>
      </c>
      <c r="E304">
        <v>137.15</v>
      </c>
      <c r="F304">
        <v>136.38138686131299</v>
      </c>
      <c r="G304">
        <v>33976</v>
      </c>
      <c r="H304">
        <v>477</v>
      </c>
      <c r="I304">
        <v>4633694</v>
      </c>
      <c r="J304">
        <v>25173</v>
      </c>
      <c r="K304">
        <v>74.09</v>
      </c>
      <c r="L304">
        <v>8.3000000000000007</v>
      </c>
      <c r="M304">
        <v>-3.1</v>
      </c>
    </row>
    <row r="305" spans="1:13" x14ac:dyDescent="0.3">
      <c r="A305" s="1">
        <v>44644</v>
      </c>
      <c r="B305">
        <v>134.05000000000001</v>
      </c>
      <c r="C305">
        <v>137.94999999999999</v>
      </c>
      <c r="D305">
        <v>130.30000000000001</v>
      </c>
      <c r="E305">
        <v>130.30000000000001</v>
      </c>
      <c r="F305">
        <v>133.14087823254701</v>
      </c>
      <c r="G305">
        <v>25483</v>
      </c>
      <c r="H305">
        <v>387</v>
      </c>
      <c r="I305">
        <v>3392829</v>
      </c>
      <c r="J305">
        <v>19456</v>
      </c>
      <c r="K305">
        <v>76.349999999999994</v>
      </c>
      <c r="L305">
        <v>7.65</v>
      </c>
      <c r="M305">
        <v>-3.75</v>
      </c>
    </row>
    <row r="306" spans="1:13" x14ac:dyDescent="0.3">
      <c r="A306" s="1">
        <v>44645</v>
      </c>
      <c r="B306">
        <v>124.5</v>
      </c>
      <c r="C306">
        <v>130</v>
      </c>
      <c r="D306">
        <v>124.15</v>
      </c>
      <c r="E306">
        <v>127.15</v>
      </c>
      <c r="F306">
        <v>126.932833948603</v>
      </c>
      <c r="G306">
        <v>27901</v>
      </c>
      <c r="H306">
        <v>514</v>
      </c>
      <c r="I306">
        <v>3541553</v>
      </c>
      <c r="J306">
        <v>18567</v>
      </c>
      <c r="K306">
        <v>66.55</v>
      </c>
      <c r="L306">
        <v>5.85</v>
      </c>
      <c r="M306">
        <v>2.65</v>
      </c>
    </row>
    <row r="307" spans="1:13" x14ac:dyDescent="0.3">
      <c r="A307" s="1">
        <v>44648</v>
      </c>
      <c r="B307">
        <v>122.2</v>
      </c>
      <c r="C307">
        <v>130</v>
      </c>
      <c r="D307">
        <v>122.15</v>
      </c>
      <c r="E307">
        <v>124.25</v>
      </c>
      <c r="F307">
        <v>124.96183133897701</v>
      </c>
      <c r="G307">
        <v>21143</v>
      </c>
      <c r="H307">
        <v>318</v>
      </c>
      <c r="I307">
        <v>2642068</v>
      </c>
      <c r="J307">
        <v>17985</v>
      </c>
      <c r="K307">
        <v>85.06</v>
      </c>
      <c r="L307">
        <v>7.85</v>
      </c>
      <c r="M307">
        <v>2.0499999999999998</v>
      </c>
    </row>
    <row r="308" spans="1:13" x14ac:dyDescent="0.3">
      <c r="A308" s="1">
        <v>44649</v>
      </c>
      <c r="B308">
        <v>123.05</v>
      </c>
      <c r="C308">
        <v>127.8</v>
      </c>
      <c r="D308">
        <v>120.05</v>
      </c>
      <c r="E308">
        <v>125.7</v>
      </c>
      <c r="F308">
        <v>123.651575889963</v>
      </c>
      <c r="G308">
        <v>41659</v>
      </c>
      <c r="H308">
        <v>433</v>
      </c>
      <c r="I308">
        <v>5151201</v>
      </c>
      <c r="J308">
        <v>28569</v>
      </c>
      <c r="K308">
        <v>68.58</v>
      </c>
      <c r="L308">
        <v>7.75</v>
      </c>
      <c r="M308">
        <v>2.65</v>
      </c>
    </row>
    <row r="309" spans="1:13" x14ac:dyDescent="0.3">
      <c r="A309" s="1">
        <v>44650</v>
      </c>
      <c r="B309">
        <v>126.05</v>
      </c>
      <c r="C309">
        <v>127</v>
      </c>
      <c r="D309">
        <v>123.4</v>
      </c>
      <c r="E309">
        <v>124.55</v>
      </c>
      <c r="F309">
        <v>125.37570686405201</v>
      </c>
      <c r="G309">
        <v>21751</v>
      </c>
      <c r="H309">
        <v>340</v>
      </c>
      <c r="I309">
        <v>2727047</v>
      </c>
      <c r="J309">
        <v>14371</v>
      </c>
      <c r="K309">
        <v>66.069999999999993</v>
      </c>
      <c r="L309">
        <v>3.6</v>
      </c>
      <c r="M309">
        <v>-1.5</v>
      </c>
    </row>
    <row r="310" spans="1:13" x14ac:dyDescent="0.3">
      <c r="A310" s="1">
        <v>44651</v>
      </c>
      <c r="B310">
        <v>124</v>
      </c>
      <c r="C310">
        <v>126.75</v>
      </c>
      <c r="D310">
        <v>119.6</v>
      </c>
      <c r="E310">
        <v>122.55</v>
      </c>
      <c r="F310">
        <v>122.179734703798</v>
      </c>
      <c r="G310">
        <v>28798</v>
      </c>
      <c r="H310">
        <v>403</v>
      </c>
      <c r="I310">
        <v>3518532</v>
      </c>
      <c r="J310">
        <v>20385</v>
      </c>
      <c r="K310">
        <v>70.790000000000006</v>
      </c>
      <c r="L310">
        <v>7.15</v>
      </c>
      <c r="M310">
        <v>-1.45</v>
      </c>
    </row>
    <row r="311" spans="1:13" x14ac:dyDescent="0.3">
      <c r="A311" s="1">
        <v>44652</v>
      </c>
      <c r="B311">
        <v>120.4</v>
      </c>
      <c r="C311">
        <v>126</v>
      </c>
      <c r="D311">
        <v>119.4</v>
      </c>
      <c r="E311">
        <v>125</v>
      </c>
      <c r="F311">
        <v>123.852542497069</v>
      </c>
      <c r="G311">
        <v>27296</v>
      </c>
      <c r="H311">
        <v>338</v>
      </c>
      <c r="I311">
        <v>3380679</v>
      </c>
      <c r="J311">
        <v>19609</v>
      </c>
      <c r="K311">
        <v>71.84</v>
      </c>
      <c r="L311">
        <v>6.6</v>
      </c>
      <c r="M311">
        <v>4.5999999999999996</v>
      </c>
    </row>
    <row r="312" spans="1:13" x14ac:dyDescent="0.3">
      <c r="A312" s="1">
        <v>44655</v>
      </c>
      <c r="B312">
        <v>129.55000000000001</v>
      </c>
      <c r="C312">
        <v>131.25</v>
      </c>
      <c r="D312">
        <v>124.55</v>
      </c>
      <c r="E312">
        <v>131.25</v>
      </c>
      <c r="F312">
        <v>130.921737019391</v>
      </c>
      <c r="G312">
        <v>32953</v>
      </c>
      <c r="H312">
        <v>183</v>
      </c>
      <c r="I312">
        <v>4314264</v>
      </c>
      <c r="J312">
        <v>31643</v>
      </c>
      <c r="K312">
        <v>96.02</v>
      </c>
      <c r="L312">
        <v>6.7</v>
      </c>
      <c r="M312">
        <v>1.7</v>
      </c>
    </row>
    <row r="313" spans="1:13" x14ac:dyDescent="0.3">
      <c r="A313" s="1">
        <v>44656</v>
      </c>
      <c r="B313">
        <v>132.9</v>
      </c>
      <c r="C313">
        <v>133</v>
      </c>
      <c r="D313">
        <v>128</v>
      </c>
      <c r="E313">
        <v>128.94999999999999</v>
      </c>
      <c r="F313">
        <v>129.912062715639</v>
      </c>
      <c r="G313">
        <v>45794</v>
      </c>
      <c r="H313">
        <v>410</v>
      </c>
      <c r="I313">
        <v>5949193</v>
      </c>
      <c r="J313">
        <v>33346</v>
      </c>
      <c r="K313">
        <v>72.819999999999993</v>
      </c>
      <c r="L313">
        <v>5</v>
      </c>
      <c r="M313">
        <v>-3.95</v>
      </c>
    </row>
    <row r="314" spans="1:13" x14ac:dyDescent="0.3">
      <c r="A314" s="1">
        <v>44657</v>
      </c>
      <c r="B314">
        <v>126</v>
      </c>
      <c r="C314">
        <v>130.9</v>
      </c>
      <c r="D314">
        <v>126</v>
      </c>
      <c r="E314">
        <v>129.25</v>
      </c>
      <c r="F314">
        <v>129.68492138862501</v>
      </c>
      <c r="G314">
        <v>28431</v>
      </c>
      <c r="H314">
        <v>270</v>
      </c>
      <c r="I314">
        <v>3687072</v>
      </c>
      <c r="J314">
        <v>22662</v>
      </c>
      <c r="K314">
        <v>79.709999999999994</v>
      </c>
      <c r="L314">
        <v>4.9000000000000004</v>
      </c>
      <c r="M314">
        <v>3.25</v>
      </c>
    </row>
    <row r="315" spans="1:13" x14ac:dyDescent="0.3">
      <c r="A315" s="1">
        <v>44658</v>
      </c>
      <c r="B315">
        <v>134.19999999999999</v>
      </c>
      <c r="C315">
        <v>134.19999999999999</v>
      </c>
      <c r="D315">
        <v>126.25</v>
      </c>
      <c r="E315">
        <v>128.5</v>
      </c>
      <c r="F315">
        <v>130.25376015803801</v>
      </c>
      <c r="G315">
        <v>22273</v>
      </c>
      <c r="H315">
        <v>323</v>
      </c>
      <c r="I315">
        <v>2901142</v>
      </c>
      <c r="J315">
        <v>16768</v>
      </c>
      <c r="K315">
        <v>75.28</v>
      </c>
      <c r="L315">
        <v>7.95</v>
      </c>
      <c r="M315">
        <v>-5.7</v>
      </c>
    </row>
    <row r="316" spans="1:13" x14ac:dyDescent="0.3">
      <c r="A316" s="1">
        <v>44659</v>
      </c>
      <c r="B316">
        <v>132.69999999999999</v>
      </c>
      <c r="C316">
        <v>132.69999999999999</v>
      </c>
      <c r="D316">
        <v>125.4</v>
      </c>
      <c r="E316">
        <v>128.75</v>
      </c>
      <c r="F316">
        <v>127.835182169753</v>
      </c>
      <c r="G316">
        <v>19652</v>
      </c>
      <c r="H316">
        <v>365</v>
      </c>
      <c r="I316">
        <v>2512217</v>
      </c>
      <c r="J316">
        <v>11880</v>
      </c>
      <c r="K316">
        <v>60.45</v>
      </c>
      <c r="L316">
        <v>7.3</v>
      </c>
      <c r="M316">
        <v>-3.95</v>
      </c>
    </row>
    <row r="317" spans="1:13" x14ac:dyDescent="0.3">
      <c r="A317" s="1">
        <v>44662</v>
      </c>
      <c r="B317">
        <v>131.65</v>
      </c>
      <c r="C317">
        <v>135.1</v>
      </c>
      <c r="D317">
        <v>124.6</v>
      </c>
      <c r="E317">
        <v>134.15</v>
      </c>
      <c r="F317">
        <v>131.84186909435999</v>
      </c>
      <c r="G317">
        <v>46354</v>
      </c>
      <c r="H317">
        <v>512</v>
      </c>
      <c r="I317">
        <v>6111398</v>
      </c>
      <c r="J317">
        <v>36015</v>
      </c>
      <c r="K317">
        <v>77.7</v>
      </c>
      <c r="L317">
        <v>10.5</v>
      </c>
      <c r="M317">
        <v>2.5</v>
      </c>
    </row>
    <row r="318" spans="1:13" x14ac:dyDescent="0.3">
      <c r="A318" s="1">
        <v>44663</v>
      </c>
      <c r="B318">
        <v>137</v>
      </c>
      <c r="C318">
        <v>137.9</v>
      </c>
      <c r="D318">
        <v>132.25</v>
      </c>
      <c r="E318">
        <v>134.94999999999999</v>
      </c>
      <c r="F318">
        <v>134.53498085624699</v>
      </c>
      <c r="G318">
        <v>37349</v>
      </c>
      <c r="H318">
        <v>431</v>
      </c>
      <c r="I318">
        <v>5024747</v>
      </c>
      <c r="J318">
        <v>27404</v>
      </c>
      <c r="K318">
        <v>73.37</v>
      </c>
      <c r="L318">
        <v>5.65</v>
      </c>
      <c r="M318">
        <v>-2.0499999999999998</v>
      </c>
    </row>
    <row r="319" spans="1:13" x14ac:dyDescent="0.3">
      <c r="A319" s="1">
        <v>44664</v>
      </c>
      <c r="B319">
        <v>135</v>
      </c>
      <c r="C319">
        <v>138</v>
      </c>
      <c r="D319">
        <v>132</v>
      </c>
      <c r="E319">
        <v>132.80000000000001</v>
      </c>
      <c r="F319">
        <v>134.21665804449</v>
      </c>
      <c r="G319">
        <v>28995</v>
      </c>
      <c r="H319">
        <v>265</v>
      </c>
      <c r="I319">
        <v>3891612</v>
      </c>
      <c r="J319">
        <v>23986</v>
      </c>
      <c r="K319">
        <v>82.72</v>
      </c>
      <c r="L319">
        <v>6</v>
      </c>
      <c r="M319">
        <v>-2.2000000000000002</v>
      </c>
    </row>
    <row r="320" spans="1:13" x14ac:dyDescent="0.3">
      <c r="A320" s="1">
        <v>44669</v>
      </c>
      <c r="B320">
        <v>128</v>
      </c>
      <c r="C320">
        <v>137.44999999999999</v>
      </c>
      <c r="D320">
        <v>126.5</v>
      </c>
      <c r="E320">
        <v>135.80000000000001</v>
      </c>
      <c r="F320">
        <v>133.78334083746</v>
      </c>
      <c r="G320">
        <v>44420</v>
      </c>
      <c r="H320">
        <v>533</v>
      </c>
      <c r="I320">
        <v>5942656</v>
      </c>
      <c r="J320">
        <v>33462</v>
      </c>
      <c r="K320">
        <v>75.33</v>
      </c>
      <c r="L320">
        <v>10.95</v>
      </c>
      <c r="M320">
        <v>7.8</v>
      </c>
    </row>
    <row r="321" spans="1:13" x14ac:dyDescent="0.3">
      <c r="A321" s="1">
        <v>44670</v>
      </c>
      <c r="B321">
        <v>136</v>
      </c>
      <c r="C321">
        <v>142.55000000000001</v>
      </c>
      <c r="D321">
        <v>136</v>
      </c>
      <c r="E321">
        <v>138</v>
      </c>
      <c r="F321">
        <v>140.444242875176</v>
      </c>
      <c r="G321">
        <v>119617</v>
      </c>
      <c r="H321">
        <v>734</v>
      </c>
      <c r="I321">
        <v>16799519</v>
      </c>
      <c r="J321">
        <v>96923</v>
      </c>
      <c r="K321">
        <v>81.03</v>
      </c>
      <c r="L321">
        <v>6.55</v>
      </c>
      <c r="M321">
        <v>2</v>
      </c>
    </row>
    <row r="322" spans="1:13" x14ac:dyDescent="0.3">
      <c r="A322" s="1">
        <v>44671</v>
      </c>
      <c r="B322">
        <v>139.44999999999999</v>
      </c>
      <c r="C322">
        <v>139.44999999999999</v>
      </c>
      <c r="D322">
        <v>131.1</v>
      </c>
      <c r="E322">
        <v>133.44999999999999</v>
      </c>
      <c r="F322">
        <v>133.14192712771299</v>
      </c>
      <c r="G322">
        <v>58678</v>
      </c>
      <c r="H322">
        <v>564</v>
      </c>
      <c r="I322">
        <v>7812502</v>
      </c>
      <c r="J322">
        <v>44138</v>
      </c>
      <c r="K322">
        <v>75.22</v>
      </c>
      <c r="L322">
        <v>8.35</v>
      </c>
      <c r="M322">
        <v>-6</v>
      </c>
    </row>
    <row r="323" spans="1:13" x14ac:dyDescent="0.3">
      <c r="A323" s="1">
        <v>44672</v>
      </c>
      <c r="B323">
        <v>133</v>
      </c>
      <c r="C323">
        <v>136.15</v>
      </c>
      <c r="D323">
        <v>130</v>
      </c>
      <c r="E323">
        <v>133.44999999999999</v>
      </c>
      <c r="F323">
        <v>132.908428205012</v>
      </c>
      <c r="G323">
        <v>22223</v>
      </c>
      <c r="H323">
        <v>347</v>
      </c>
      <c r="I323">
        <v>2953624</v>
      </c>
      <c r="J323">
        <v>16438</v>
      </c>
      <c r="K323">
        <v>73.97</v>
      </c>
      <c r="L323">
        <v>6.15</v>
      </c>
      <c r="M323">
        <v>0.45</v>
      </c>
    </row>
    <row r="324" spans="1:13" x14ac:dyDescent="0.3">
      <c r="A324" s="1">
        <v>44673</v>
      </c>
      <c r="B324">
        <v>134</v>
      </c>
      <c r="C324">
        <v>139</v>
      </c>
      <c r="D324">
        <v>134</v>
      </c>
      <c r="E324">
        <v>137.55000000000001</v>
      </c>
      <c r="F324">
        <v>137.184774770443</v>
      </c>
      <c r="G324">
        <v>41602</v>
      </c>
      <c r="H324">
        <v>452</v>
      </c>
      <c r="I324">
        <v>5707161</v>
      </c>
      <c r="J324">
        <v>29861</v>
      </c>
      <c r="K324">
        <v>71.78</v>
      </c>
      <c r="L324">
        <v>5</v>
      </c>
      <c r="M324">
        <v>3.55</v>
      </c>
    </row>
    <row r="325" spans="1:13" x14ac:dyDescent="0.3">
      <c r="A325" s="1">
        <v>44676</v>
      </c>
      <c r="B325">
        <v>139.44999999999999</v>
      </c>
      <c r="C325">
        <v>139.44999999999999</v>
      </c>
      <c r="D325">
        <v>131.5</v>
      </c>
      <c r="E325">
        <v>133.69999999999999</v>
      </c>
      <c r="F325">
        <v>132.75770409082699</v>
      </c>
      <c r="G325">
        <v>22196</v>
      </c>
      <c r="H325">
        <v>288</v>
      </c>
      <c r="I325">
        <v>2946690</v>
      </c>
      <c r="J325">
        <v>15597</v>
      </c>
      <c r="K325">
        <v>70.27</v>
      </c>
      <c r="L325">
        <v>7.95</v>
      </c>
      <c r="M325">
        <v>-5.75</v>
      </c>
    </row>
    <row r="326" spans="1:13" x14ac:dyDescent="0.3">
      <c r="A326" s="1">
        <v>44677</v>
      </c>
      <c r="B326">
        <v>135.25</v>
      </c>
      <c r="C326">
        <v>139.80000000000001</v>
      </c>
      <c r="D326">
        <v>133</v>
      </c>
      <c r="E326">
        <v>136.35</v>
      </c>
      <c r="F326">
        <v>137.125920865019</v>
      </c>
      <c r="G326">
        <v>33664</v>
      </c>
      <c r="H326">
        <v>364</v>
      </c>
      <c r="I326">
        <v>4616207</v>
      </c>
      <c r="J326">
        <v>26915</v>
      </c>
      <c r="K326">
        <v>79.95</v>
      </c>
      <c r="L326">
        <v>6.8</v>
      </c>
      <c r="M326">
        <v>1.1000000000000001</v>
      </c>
    </row>
    <row r="327" spans="1:13" x14ac:dyDescent="0.3">
      <c r="A327" s="1">
        <v>44678</v>
      </c>
      <c r="B327">
        <v>135.15</v>
      </c>
      <c r="C327">
        <v>136.35</v>
      </c>
      <c r="D327">
        <v>131.05000000000001</v>
      </c>
      <c r="E327">
        <v>132.25</v>
      </c>
      <c r="F327">
        <v>133.43329335572</v>
      </c>
      <c r="G327">
        <v>20845</v>
      </c>
      <c r="H327">
        <v>291</v>
      </c>
      <c r="I327">
        <v>2781417</v>
      </c>
      <c r="J327">
        <v>14984</v>
      </c>
      <c r="K327">
        <v>71.88</v>
      </c>
      <c r="L327">
        <v>5.3</v>
      </c>
      <c r="M327">
        <v>-2.9</v>
      </c>
    </row>
    <row r="328" spans="1:13" x14ac:dyDescent="0.3">
      <c r="A328" s="1">
        <v>44679</v>
      </c>
      <c r="B328">
        <v>129.75</v>
      </c>
      <c r="C328">
        <v>134</v>
      </c>
      <c r="D328">
        <v>129.75</v>
      </c>
      <c r="E328">
        <v>130.9</v>
      </c>
      <c r="F328">
        <v>131.28024026512</v>
      </c>
      <c r="G328">
        <v>24140</v>
      </c>
      <c r="H328">
        <v>361</v>
      </c>
      <c r="I328">
        <v>3169105</v>
      </c>
      <c r="J328">
        <v>13701</v>
      </c>
      <c r="K328">
        <v>56.76</v>
      </c>
      <c r="L328">
        <v>4.25</v>
      </c>
      <c r="M328">
        <v>1.1499999999999999</v>
      </c>
    </row>
    <row r="329" spans="1:13" x14ac:dyDescent="0.3">
      <c r="A329" s="1">
        <v>44680</v>
      </c>
      <c r="B329">
        <v>130.55000000000001</v>
      </c>
      <c r="C329">
        <v>132</v>
      </c>
      <c r="D329">
        <v>129.6</v>
      </c>
      <c r="E329">
        <v>130.75</v>
      </c>
      <c r="F329">
        <v>130.62642061438001</v>
      </c>
      <c r="G329">
        <v>17774</v>
      </c>
      <c r="H329">
        <v>258</v>
      </c>
      <c r="I329">
        <v>2321754</v>
      </c>
      <c r="J329">
        <v>14782</v>
      </c>
      <c r="K329">
        <v>83.17</v>
      </c>
      <c r="L329">
        <v>2.4</v>
      </c>
      <c r="M329">
        <v>0.2</v>
      </c>
    </row>
    <row r="330" spans="1:13" x14ac:dyDescent="0.3">
      <c r="A330" s="1">
        <v>44683</v>
      </c>
      <c r="B330">
        <v>132</v>
      </c>
      <c r="C330">
        <v>132</v>
      </c>
      <c r="D330">
        <v>124.5</v>
      </c>
      <c r="E330">
        <v>126.1</v>
      </c>
      <c r="F330">
        <v>126.436105383734</v>
      </c>
      <c r="G330">
        <v>43650</v>
      </c>
      <c r="H330">
        <v>372</v>
      </c>
      <c r="I330">
        <v>5518936</v>
      </c>
      <c r="J330">
        <v>30560</v>
      </c>
      <c r="K330">
        <v>70.010000000000005</v>
      </c>
      <c r="L330">
        <v>7.5</v>
      </c>
      <c r="M330">
        <v>-5.9</v>
      </c>
    </row>
    <row r="331" spans="1:13" x14ac:dyDescent="0.3">
      <c r="A331" s="1">
        <v>44685</v>
      </c>
      <c r="B331">
        <v>123.5</v>
      </c>
      <c r="C331">
        <v>125.8</v>
      </c>
      <c r="D331">
        <v>120.15</v>
      </c>
      <c r="E331">
        <v>120.75</v>
      </c>
      <c r="F331">
        <v>122.049771271729</v>
      </c>
      <c r="G331">
        <v>27325</v>
      </c>
      <c r="H331">
        <v>365</v>
      </c>
      <c r="I331">
        <v>3335010</v>
      </c>
      <c r="J331">
        <v>19822</v>
      </c>
      <c r="K331">
        <v>72.540000000000006</v>
      </c>
      <c r="L331">
        <v>5.65</v>
      </c>
      <c r="M331">
        <v>-2.75</v>
      </c>
    </row>
    <row r="332" spans="1:13" x14ac:dyDescent="0.3">
      <c r="A332" s="1">
        <v>44686</v>
      </c>
      <c r="B332">
        <v>117.5</v>
      </c>
      <c r="C332">
        <v>126.75</v>
      </c>
      <c r="D332">
        <v>117.5</v>
      </c>
      <c r="E332">
        <v>126.65</v>
      </c>
      <c r="F332">
        <v>125.55868926029</v>
      </c>
      <c r="G332">
        <v>25848</v>
      </c>
      <c r="H332">
        <v>239</v>
      </c>
      <c r="I332">
        <v>3245441</v>
      </c>
      <c r="J332">
        <v>23580</v>
      </c>
      <c r="K332">
        <v>91.23</v>
      </c>
      <c r="L332">
        <v>9.25</v>
      </c>
      <c r="M332">
        <v>9.15</v>
      </c>
    </row>
    <row r="333" spans="1:13" x14ac:dyDescent="0.3">
      <c r="A333" s="1">
        <v>44687</v>
      </c>
      <c r="B333">
        <v>124</v>
      </c>
      <c r="C333">
        <v>127</v>
      </c>
      <c r="D333">
        <v>121</v>
      </c>
      <c r="E333">
        <v>123.65</v>
      </c>
      <c r="F333">
        <v>123.22864391143899</v>
      </c>
      <c r="G333">
        <v>21680</v>
      </c>
      <c r="H333">
        <v>273</v>
      </c>
      <c r="I333">
        <v>2671597</v>
      </c>
      <c r="J333">
        <v>14590</v>
      </c>
      <c r="K333">
        <v>67.3</v>
      </c>
      <c r="L333">
        <v>6</v>
      </c>
      <c r="M333">
        <v>-0.35</v>
      </c>
    </row>
    <row r="334" spans="1:13" x14ac:dyDescent="0.3">
      <c r="A334" s="1">
        <v>44690</v>
      </c>
      <c r="B334">
        <v>121</v>
      </c>
      <c r="C334">
        <v>124.9</v>
      </c>
      <c r="D334">
        <v>117.75</v>
      </c>
      <c r="E334">
        <v>121.1</v>
      </c>
      <c r="F334">
        <v>119.30410800830801</v>
      </c>
      <c r="G334">
        <v>43330</v>
      </c>
      <c r="H334">
        <v>302</v>
      </c>
      <c r="I334">
        <v>5169447</v>
      </c>
      <c r="J334">
        <v>38000</v>
      </c>
      <c r="K334">
        <v>87.7</v>
      </c>
      <c r="L334">
        <v>7.15</v>
      </c>
      <c r="M334">
        <v>0.1</v>
      </c>
    </row>
    <row r="335" spans="1:13" x14ac:dyDescent="0.3">
      <c r="A335" s="1">
        <v>44691</v>
      </c>
      <c r="B335">
        <v>121.65</v>
      </c>
      <c r="C335">
        <v>123</v>
      </c>
      <c r="D335">
        <v>115.05</v>
      </c>
      <c r="E335">
        <v>115.9</v>
      </c>
      <c r="F335">
        <v>117.085586924219</v>
      </c>
      <c r="G335">
        <v>13460</v>
      </c>
      <c r="H335">
        <v>185</v>
      </c>
      <c r="I335">
        <v>1575972</v>
      </c>
      <c r="J335">
        <v>11942</v>
      </c>
      <c r="K335">
        <v>88.72</v>
      </c>
      <c r="L335">
        <v>7.95</v>
      </c>
      <c r="M335">
        <v>-5.75</v>
      </c>
    </row>
    <row r="336" spans="1:13" x14ac:dyDescent="0.3">
      <c r="A336" s="1">
        <v>44692</v>
      </c>
      <c r="B336">
        <v>112.05</v>
      </c>
      <c r="C336">
        <v>118.9</v>
      </c>
      <c r="D336">
        <v>110.15</v>
      </c>
      <c r="E336">
        <v>110.8</v>
      </c>
      <c r="F336">
        <v>112.131979147941</v>
      </c>
      <c r="G336">
        <v>55630</v>
      </c>
      <c r="H336">
        <v>379</v>
      </c>
      <c r="I336">
        <v>6237902</v>
      </c>
      <c r="J336">
        <v>50038</v>
      </c>
      <c r="K336">
        <v>89.95</v>
      </c>
      <c r="L336">
        <v>8.75</v>
      </c>
      <c r="M336">
        <v>-1.25</v>
      </c>
    </row>
    <row r="337" spans="1:13" x14ac:dyDescent="0.3">
      <c r="A337" s="1">
        <v>44693</v>
      </c>
      <c r="B337">
        <v>113.05</v>
      </c>
      <c r="C337">
        <v>113.05</v>
      </c>
      <c r="D337">
        <v>105.3</v>
      </c>
      <c r="E337">
        <v>105.3</v>
      </c>
      <c r="F337">
        <v>106.81767035995099</v>
      </c>
      <c r="G337">
        <v>34838</v>
      </c>
      <c r="H337">
        <v>337</v>
      </c>
      <c r="I337">
        <v>3721314</v>
      </c>
      <c r="J337">
        <v>30278</v>
      </c>
      <c r="K337">
        <v>86.91</v>
      </c>
      <c r="L337">
        <v>7.75</v>
      </c>
      <c r="M337">
        <v>-7.75</v>
      </c>
    </row>
    <row r="338" spans="1:13" x14ac:dyDescent="0.3">
      <c r="A338" s="1">
        <v>44694</v>
      </c>
      <c r="B338">
        <v>109.4</v>
      </c>
      <c r="C338">
        <v>110.55</v>
      </c>
      <c r="D338">
        <v>106.05</v>
      </c>
      <c r="E338">
        <v>110.15</v>
      </c>
      <c r="F338">
        <v>109.211516008111</v>
      </c>
      <c r="G338">
        <v>16273</v>
      </c>
      <c r="H338">
        <v>193</v>
      </c>
      <c r="I338">
        <v>1777199</v>
      </c>
      <c r="J338">
        <v>13619</v>
      </c>
      <c r="K338">
        <v>83.69</v>
      </c>
      <c r="L338">
        <v>4.5</v>
      </c>
      <c r="M338">
        <v>0.75</v>
      </c>
    </row>
    <row r="339" spans="1:13" x14ac:dyDescent="0.3">
      <c r="A339" s="1">
        <v>44697</v>
      </c>
      <c r="B339">
        <v>114.85</v>
      </c>
      <c r="C339">
        <v>115.6</v>
      </c>
      <c r="D339">
        <v>108</v>
      </c>
      <c r="E339">
        <v>112.75</v>
      </c>
      <c r="F339">
        <v>113.27666061705899</v>
      </c>
      <c r="G339">
        <v>13775</v>
      </c>
      <c r="H339">
        <v>189</v>
      </c>
      <c r="I339">
        <v>1560386</v>
      </c>
      <c r="J339">
        <v>8860</v>
      </c>
      <c r="K339">
        <v>64.319999999999993</v>
      </c>
      <c r="L339">
        <v>7.6</v>
      </c>
      <c r="M339">
        <v>-2.1</v>
      </c>
    </row>
    <row r="340" spans="1:13" x14ac:dyDescent="0.3">
      <c r="A340" s="1">
        <v>44698</v>
      </c>
      <c r="B340">
        <v>115.2</v>
      </c>
      <c r="C340">
        <v>118.35</v>
      </c>
      <c r="D340">
        <v>115</v>
      </c>
      <c r="E340">
        <v>115.8</v>
      </c>
      <c r="F340">
        <v>116.26872165139299</v>
      </c>
      <c r="G340">
        <v>10803</v>
      </c>
      <c r="H340">
        <v>184</v>
      </c>
      <c r="I340">
        <v>1256051</v>
      </c>
      <c r="J340">
        <v>9063</v>
      </c>
      <c r="K340">
        <v>83.89</v>
      </c>
      <c r="L340">
        <v>3.35</v>
      </c>
      <c r="M340">
        <v>0.6</v>
      </c>
    </row>
    <row r="341" spans="1:13" x14ac:dyDescent="0.3">
      <c r="A341" s="1">
        <v>44699</v>
      </c>
      <c r="B341">
        <v>118.15</v>
      </c>
      <c r="C341">
        <v>120.8</v>
      </c>
      <c r="D341">
        <v>112.5</v>
      </c>
      <c r="E341">
        <v>119.6</v>
      </c>
      <c r="F341">
        <v>116.866070454793</v>
      </c>
      <c r="G341">
        <v>18338</v>
      </c>
      <c r="H341">
        <v>235</v>
      </c>
      <c r="I341">
        <v>2143090</v>
      </c>
      <c r="J341">
        <v>9233</v>
      </c>
      <c r="K341">
        <v>50.35</v>
      </c>
      <c r="L341">
        <v>8.3000000000000007</v>
      </c>
      <c r="M341">
        <v>1.45</v>
      </c>
    </row>
    <row r="342" spans="1:13" x14ac:dyDescent="0.3">
      <c r="A342" s="1">
        <v>44700</v>
      </c>
      <c r="B342">
        <v>113.65</v>
      </c>
      <c r="C342">
        <v>122</v>
      </c>
      <c r="D342">
        <v>113.65</v>
      </c>
      <c r="E342">
        <v>120.8</v>
      </c>
      <c r="F342">
        <v>118.546105640107</v>
      </c>
      <c r="G342">
        <v>10053</v>
      </c>
      <c r="H342">
        <v>203</v>
      </c>
      <c r="I342">
        <v>1191744</v>
      </c>
      <c r="J342">
        <v>7273</v>
      </c>
      <c r="K342">
        <v>72.349999999999994</v>
      </c>
      <c r="L342">
        <v>8.35</v>
      </c>
      <c r="M342">
        <v>7.15</v>
      </c>
    </row>
    <row r="343" spans="1:13" x14ac:dyDescent="0.3">
      <c r="A343" s="1">
        <v>44701</v>
      </c>
      <c r="B343">
        <v>122</v>
      </c>
      <c r="C343">
        <v>124.9</v>
      </c>
      <c r="D343">
        <v>122</v>
      </c>
      <c r="E343">
        <v>124.7</v>
      </c>
      <c r="F343">
        <v>123.849030716119</v>
      </c>
      <c r="G343">
        <v>22594</v>
      </c>
      <c r="H343">
        <v>223</v>
      </c>
      <c r="I343">
        <v>2798245</v>
      </c>
      <c r="J343">
        <v>17483</v>
      </c>
      <c r="K343">
        <v>77.38</v>
      </c>
      <c r="L343">
        <v>2.9</v>
      </c>
      <c r="M343">
        <v>2.7</v>
      </c>
    </row>
    <row r="344" spans="1:13" x14ac:dyDescent="0.3">
      <c r="A344" s="1">
        <v>44704</v>
      </c>
      <c r="B344">
        <v>123.05</v>
      </c>
      <c r="C344">
        <v>126</v>
      </c>
      <c r="D344">
        <v>119.4</v>
      </c>
      <c r="E344">
        <v>121</v>
      </c>
      <c r="F344">
        <v>122.188549926085</v>
      </c>
      <c r="G344">
        <v>7441</v>
      </c>
      <c r="H344">
        <v>146</v>
      </c>
      <c r="I344">
        <v>909205</v>
      </c>
      <c r="J344">
        <v>5176</v>
      </c>
      <c r="K344">
        <v>69.56</v>
      </c>
      <c r="L344">
        <v>6.6</v>
      </c>
      <c r="M344">
        <v>-2.0499999999999998</v>
      </c>
    </row>
    <row r="345" spans="1:13" x14ac:dyDescent="0.3">
      <c r="A345" s="1">
        <v>44705</v>
      </c>
      <c r="B345">
        <v>118.55</v>
      </c>
      <c r="C345">
        <v>121.7</v>
      </c>
      <c r="D345">
        <v>115.15</v>
      </c>
      <c r="E345">
        <v>120.15</v>
      </c>
      <c r="F345">
        <v>117.40281167108699</v>
      </c>
      <c r="G345">
        <v>18850</v>
      </c>
      <c r="H345">
        <v>232</v>
      </c>
      <c r="I345">
        <v>2213043</v>
      </c>
      <c r="J345">
        <v>11804</v>
      </c>
      <c r="K345">
        <v>62.62</v>
      </c>
      <c r="L345">
        <v>6.55</v>
      </c>
      <c r="M345">
        <v>1.6</v>
      </c>
    </row>
    <row r="346" spans="1:13" x14ac:dyDescent="0.3">
      <c r="A346" s="1">
        <v>44706</v>
      </c>
      <c r="B346">
        <v>120.65</v>
      </c>
      <c r="C346">
        <v>124</v>
      </c>
      <c r="D346">
        <v>114.15</v>
      </c>
      <c r="E346">
        <v>114.15</v>
      </c>
      <c r="F346">
        <v>116.38886218498899</v>
      </c>
      <c r="G346">
        <v>14563</v>
      </c>
      <c r="H346">
        <v>213</v>
      </c>
      <c r="I346">
        <v>1694971</v>
      </c>
      <c r="J346">
        <v>10920</v>
      </c>
      <c r="K346">
        <v>74.98</v>
      </c>
      <c r="L346">
        <v>9.85</v>
      </c>
      <c r="M346">
        <v>-6.5</v>
      </c>
    </row>
    <row r="347" spans="1:13" x14ac:dyDescent="0.3">
      <c r="A347" s="1">
        <v>44707</v>
      </c>
      <c r="B347">
        <v>114</v>
      </c>
      <c r="C347">
        <v>117</v>
      </c>
      <c r="D347">
        <v>108.45</v>
      </c>
      <c r="E347">
        <v>115.3</v>
      </c>
      <c r="F347">
        <v>111.72483856602</v>
      </c>
      <c r="G347">
        <v>17964</v>
      </c>
      <c r="H347">
        <v>271</v>
      </c>
      <c r="I347">
        <v>2007025</v>
      </c>
      <c r="J347">
        <v>14032</v>
      </c>
      <c r="K347">
        <v>78.11</v>
      </c>
      <c r="L347">
        <v>8.5500000000000007</v>
      </c>
      <c r="M347">
        <v>1.3</v>
      </c>
    </row>
    <row r="348" spans="1:13" x14ac:dyDescent="0.3">
      <c r="A348" s="1">
        <v>44708</v>
      </c>
      <c r="B348">
        <v>118</v>
      </c>
      <c r="C348">
        <v>120</v>
      </c>
      <c r="D348">
        <v>112.05</v>
      </c>
      <c r="E348">
        <v>117.95</v>
      </c>
      <c r="F348">
        <v>116.095014662756</v>
      </c>
      <c r="G348">
        <v>10230</v>
      </c>
      <c r="H348">
        <v>247</v>
      </c>
      <c r="I348">
        <v>1187652</v>
      </c>
      <c r="J348">
        <v>6597</v>
      </c>
      <c r="K348">
        <v>64.489999999999995</v>
      </c>
      <c r="L348">
        <v>7.95</v>
      </c>
      <c r="M348">
        <v>-0.05</v>
      </c>
    </row>
    <row r="349" spans="1:13" x14ac:dyDescent="0.3">
      <c r="A349" s="1">
        <v>44711</v>
      </c>
      <c r="B349">
        <v>117</v>
      </c>
      <c r="C349">
        <v>123.75</v>
      </c>
      <c r="D349">
        <v>115.05</v>
      </c>
      <c r="E349">
        <v>122.3</v>
      </c>
      <c r="F349">
        <v>121.316983445738</v>
      </c>
      <c r="G349">
        <v>26096</v>
      </c>
      <c r="H349">
        <v>334</v>
      </c>
      <c r="I349">
        <v>3165888</v>
      </c>
      <c r="J349">
        <v>19244</v>
      </c>
      <c r="K349">
        <v>73.739999999999995</v>
      </c>
      <c r="L349">
        <v>8.6999999999999993</v>
      </c>
      <c r="M349">
        <v>5.3</v>
      </c>
    </row>
    <row r="350" spans="1:13" x14ac:dyDescent="0.3">
      <c r="A350" s="1">
        <v>44712</v>
      </c>
      <c r="B350">
        <v>125</v>
      </c>
      <c r="C350">
        <v>126.95</v>
      </c>
      <c r="D350">
        <v>119</v>
      </c>
      <c r="E350">
        <v>121.25</v>
      </c>
      <c r="F350">
        <v>123.505460263007</v>
      </c>
      <c r="G350">
        <v>34980</v>
      </c>
      <c r="H350">
        <v>405</v>
      </c>
      <c r="I350">
        <v>4320221</v>
      </c>
      <c r="J350">
        <v>25502</v>
      </c>
      <c r="K350">
        <v>72.900000000000006</v>
      </c>
      <c r="L350">
        <v>7.95</v>
      </c>
      <c r="M350">
        <v>-3.75</v>
      </c>
    </row>
    <row r="351" spans="1:13" x14ac:dyDescent="0.3">
      <c r="A351" s="1">
        <v>44713</v>
      </c>
      <c r="B351">
        <v>118.15</v>
      </c>
      <c r="C351">
        <v>122</v>
      </c>
      <c r="D351">
        <v>116.7</v>
      </c>
      <c r="E351">
        <v>118.2</v>
      </c>
      <c r="F351">
        <v>119.071873404798</v>
      </c>
      <c r="G351">
        <v>19590</v>
      </c>
      <c r="H351">
        <v>307</v>
      </c>
      <c r="I351">
        <v>2332618</v>
      </c>
      <c r="J351">
        <v>14760</v>
      </c>
      <c r="K351">
        <v>75.34</v>
      </c>
      <c r="L351">
        <v>5.3</v>
      </c>
      <c r="M351">
        <v>0.05</v>
      </c>
    </row>
    <row r="352" spans="1:13" x14ac:dyDescent="0.3">
      <c r="A352" s="1">
        <v>44714</v>
      </c>
      <c r="B352">
        <v>118.9</v>
      </c>
      <c r="C352">
        <v>119.5</v>
      </c>
      <c r="D352">
        <v>114.95</v>
      </c>
      <c r="E352">
        <v>118.9</v>
      </c>
      <c r="F352">
        <v>118.234102093988</v>
      </c>
      <c r="G352">
        <v>10363</v>
      </c>
      <c r="H352">
        <v>171</v>
      </c>
      <c r="I352">
        <v>1225260</v>
      </c>
      <c r="J352">
        <v>7436</v>
      </c>
      <c r="K352">
        <v>71.760000000000005</v>
      </c>
      <c r="L352">
        <v>4.55</v>
      </c>
      <c r="M352">
        <v>0</v>
      </c>
    </row>
    <row r="353" spans="1:13" x14ac:dyDescent="0.3">
      <c r="A353" s="1">
        <v>44715</v>
      </c>
      <c r="B353">
        <v>118.05</v>
      </c>
      <c r="C353">
        <v>119.95</v>
      </c>
      <c r="D353">
        <v>117</v>
      </c>
      <c r="E353">
        <v>119.55</v>
      </c>
      <c r="F353">
        <v>118.116504854368</v>
      </c>
      <c r="G353">
        <v>25338</v>
      </c>
      <c r="H353">
        <v>258</v>
      </c>
      <c r="I353">
        <v>2992836</v>
      </c>
      <c r="J353">
        <v>19138</v>
      </c>
      <c r="K353">
        <v>75.53</v>
      </c>
      <c r="L353">
        <v>2.95</v>
      </c>
      <c r="M353">
        <v>1.5</v>
      </c>
    </row>
    <row r="354" spans="1:13" x14ac:dyDescent="0.3">
      <c r="A354" s="1">
        <v>44718</v>
      </c>
      <c r="B354">
        <v>120</v>
      </c>
      <c r="C354">
        <v>120</v>
      </c>
      <c r="D354">
        <v>116</v>
      </c>
      <c r="E354">
        <v>117.4</v>
      </c>
      <c r="F354">
        <v>117.076948444542</v>
      </c>
      <c r="G354">
        <v>9097</v>
      </c>
      <c r="H354">
        <v>160</v>
      </c>
      <c r="I354">
        <v>1065049</v>
      </c>
      <c r="J354">
        <v>5745</v>
      </c>
      <c r="K354">
        <v>63.15</v>
      </c>
      <c r="L354">
        <v>4</v>
      </c>
      <c r="M354">
        <v>-2.6</v>
      </c>
    </row>
    <row r="355" spans="1:13" x14ac:dyDescent="0.3">
      <c r="A355" s="1">
        <v>44719</v>
      </c>
      <c r="B355">
        <v>120</v>
      </c>
      <c r="C355">
        <v>120</v>
      </c>
      <c r="D355">
        <v>117.05</v>
      </c>
      <c r="E355">
        <v>118.1</v>
      </c>
      <c r="F355">
        <v>118.206082949308</v>
      </c>
      <c r="G355">
        <v>10850</v>
      </c>
      <c r="H355">
        <v>142</v>
      </c>
      <c r="I355">
        <v>1282536</v>
      </c>
      <c r="J355">
        <v>9098</v>
      </c>
      <c r="K355">
        <v>83.85</v>
      </c>
      <c r="L355">
        <v>2.95</v>
      </c>
      <c r="M355">
        <v>-1.9</v>
      </c>
    </row>
    <row r="356" spans="1:13" x14ac:dyDescent="0.3">
      <c r="A356" s="1">
        <v>44720</v>
      </c>
      <c r="B356">
        <v>118.3</v>
      </c>
      <c r="C356">
        <v>119</v>
      </c>
      <c r="D356">
        <v>115</v>
      </c>
      <c r="E356">
        <v>115.8</v>
      </c>
      <c r="F356">
        <v>117.61817786475299</v>
      </c>
      <c r="G356">
        <v>4599</v>
      </c>
      <c r="H356">
        <v>114</v>
      </c>
      <c r="I356">
        <v>540926</v>
      </c>
      <c r="J356">
        <v>4191</v>
      </c>
      <c r="K356">
        <v>91.13</v>
      </c>
      <c r="L356">
        <v>4</v>
      </c>
      <c r="M356">
        <v>-2.5</v>
      </c>
    </row>
    <row r="357" spans="1:13" x14ac:dyDescent="0.3">
      <c r="A357" s="1">
        <v>44721</v>
      </c>
      <c r="B357">
        <v>114.55</v>
      </c>
      <c r="C357">
        <v>127.1</v>
      </c>
      <c r="D357">
        <v>109.25</v>
      </c>
      <c r="E357">
        <v>114.65</v>
      </c>
      <c r="F357">
        <v>114.948934459187</v>
      </c>
      <c r="G357">
        <v>14922</v>
      </c>
      <c r="H357">
        <v>318</v>
      </c>
      <c r="I357">
        <v>1715268</v>
      </c>
      <c r="J357">
        <v>7598</v>
      </c>
      <c r="K357">
        <v>50.92</v>
      </c>
      <c r="L357">
        <v>17.850000000000001</v>
      </c>
      <c r="M357">
        <v>0.1</v>
      </c>
    </row>
    <row r="358" spans="1:13" x14ac:dyDescent="0.3">
      <c r="A358" s="1">
        <v>44722</v>
      </c>
      <c r="B358">
        <v>114.35</v>
      </c>
      <c r="C358">
        <v>117.5</v>
      </c>
      <c r="D358">
        <v>112.25</v>
      </c>
      <c r="E358">
        <v>112.9</v>
      </c>
      <c r="F358">
        <v>114.973090339574</v>
      </c>
      <c r="G358">
        <v>14047</v>
      </c>
      <c r="H358">
        <v>313</v>
      </c>
      <c r="I358">
        <v>1615027</v>
      </c>
      <c r="J358">
        <v>8917</v>
      </c>
      <c r="K358">
        <v>63.48</v>
      </c>
      <c r="L358">
        <v>5.25</v>
      </c>
      <c r="M358">
        <v>-1.45</v>
      </c>
    </row>
    <row r="359" spans="1:13" x14ac:dyDescent="0.3">
      <c r="A359" s="1">
        <v>44725</v>
      </c>
      <c r="B359">
        <v>108.05</v>
      </c>
      <c r="C359">
        <v>109.8</v>
      </c>
      <c r="D359">
        <v>105.75</v>
      </c>
      <c r="E359">
        <v>107.9</v>
      </c>
      <c r="F359">
        <v>107.999744256425</v>
      </c>
      <c r="G359">
        <v>23461</v>
      </c>
      <c r="H359">
        <v>344</v>
      </c>
      <c r="I359">
        <v>2533782</v>
      </c>
      <c r="J359">
        <v>18764</v>
      </c>
      <c r="K359">
        <v>79.98</v>
      </c>
      <c r="L359">
        <v>4.05</v>
      </c>
      <c r="M359">
        <v>-0.15</v>
      </c>
    </row>
    <row r="360" spans="1:13" x14ac:dyDescent="0.3">
      <c r="A360" s="1">
        <v>44726</v>
      </c>
      <c r="B360">
        <v>107</v>
      </c>
      <c r="C360">
        <v>116.95</v>
      </c>
      <c r="D360">
        <v>107</v>
      </c>
      <c r="E360">
        <v>111.85</v>
      </c>
      <c r="F360">
        <v>111.665107003144</v>
      </c>
      <c r="G360">
        <v>13037</v>
      </c>
      <c r="H360">
        <v>259</v>
      </c>
      <c r="I360">
        <v>1455778</v>
      </c>
      <c r="J360">
        <v>6562</v>
      </c>
      <c r="K360">
        <v>50.33</v>
      </c>
      <c r="L360">
        <v>9.9499999999999993</v>
      </c>
      <c r="M360">
        <v>4.8499999999999996</v>
      </c>
    </row>
    <row r="361" spans="1:13" x14ac:dyDescent="0.3">
      <c r="A361" s="1">
        <v>44727</v>
      </c>
      <c r="B361">
        <v>111.05</v>
      </c>
      <c r="C361">
        <v>113</v>
      </c>
      <c r="D361">
        <v>109</v>
      </c>
      <c r="E361">
        <v>111</v>
      </c>
      <c r="F361">
        <v>111.14801775600699</v>
      </c>
      <c r="G361">
        <v>6533</v>
      </c>
      <c r="H361">
        <v>168</v>
      </c>
      <c r="I361">
        <v>726130</v>
      </c>
      <c r="J361">
        <v>4802</v>
      </c>
      <c r="K361">
        <v>73.5</v>
      </c>
      <c r="L361">
        <v>4</v>
      </c>
      <c r="M361">
        <v>-0.05</v>
      </c>
    </row>
    <row r="362" spans="1:13" x14ac:dyDescent="0.3">
      <c r="A362" s="1">
        <v>44728</v>
      </c>
      <c r="B362">
        <v>110.5</v>
      </c>
      <c r="C362">
        <v>114</v>
      </c>
      <c r="D362">
        <v>107.05</v>
      </c>
      <c r="E362">
        <v>107.95</v>
      </c>
      <c r="F362">
        <v>109.24106628241999</v>
      </c>
      <c r="G362">
        <v>13880</v>
      </c>
      <c r="H362">
        <v>217</v>
      </c>
      <c r="I362">
        <v>1516266</v>
      </c>
      <c r="J362">
        <v>9151</v>
      </c>
      <c r="K362">
        <v>65.930000000000007</v>
      </c>
      <c r="L362">
        <v>6.95</v>
      </c>
      <c r="M362">
        <v>-2.5499999999999998</v>
      </c>
    </row>
    <row r="363" spans="1:13" x14ac:dyDescent="0.3">
      <c r="A363" s="1">
        <v>44729</v>
      </c>
      <c r="B363">
        <v>105.05</v>
      </c>
      <c r="C363">
        <v>109</v>
      </c>
      <c r="D363">
        <v>103.3</v>
      </c>
      <c r="E363">
        <v>105.55</v>
      </c>
      <c r="F363">
        <v>106.307116104868</v>
      </c>
      <c r="G363">
        <v>10947</v>
      </c>
      <c r="H363">
        <v>243</v>
      </c>
      <c r="I363">
        <v>1163744</v>
      </c>
      <c r="J363">
        <v>5659</v>
      </c>
      <c r="K363">
        <v>51.69</v>
      </c>
      <c r="L363">
        <v>5.7</v>
      </c>
      <c r="M363">
        <v>0.5</v>
      </c>
    </row>
    <row r="364" spans="1:13" x14ac:dyDescent="0.3">
      <c r="A364" s="1">
        <v>44732</v>
      </c>
      <c r="B364">
        <v>107.85</v>
      </c>
      <c r="C364">
        <v>108.5</v>
      </c>
      <c r="D364">
        <v>96</v>
      </c>
      <c r="E364">
        <v>98.1</v>
      </c>
      <c r="F364">
        <v>100.814115580923</v>
      </c>
      <c r="G364">
        <v>18221</v>
      </c>
      <c r="H364">
        <v>363</v>
      </c>
      <c r="I364">
        <v>1836934</v>
      </c>
      <c r="J364">
        <v>12937</v>
      </c>
      <c r="K364">
        <v>71</v>
      </c>
      <c r="L364">
        <v>12.5</v>
      </c>
      <c r="M364">
        <v>-9.75</v>
      </c>
    </row>
    <row r="365" spans="1:13" x14ac:dyDescent="0.3">
      <c r="A365" s="1">
        <v>44733</v>
      </c>
      <c r="B365">
        <v>97</v>
      </c>
      <c r="C365">
        <v>105</v>
      </c>
      <c r="D365">
        <v>96</v>
      </c>
      <c r="E365">
        <v>102.85</v>
      </c>
      <c r="F365">
        <v>100.707190795781</v>
      </c>
      <c r="G365">
        <v>10430</v>
      </c>
      <c r="H365">
        <v>239</v>
      </c>
      <c r="I365">
        <v>1050376</v>
      </c>
      <c r="J365">
        <v>6060</v>
      </c>
      <c r="K365">
        <v>58.1</v>
      </c>
      <c r="L365">
        <v>9</v>
      </c>
      <c r="M365">
        <v>5.85</v>
      </c>
    </row>
    <row r="366" spans="1:13" x14ac:dyDescent="0.3">
      <c r="A366" s="1">
        <v>44734</v>
      </c>
      <c r="B366">
        <v>105</v>
      </c>
      <c r="C366">
        <v>105</v>
      </c>
      <c r="D366">
        <v>100.45</v>
      </c>
      <c r="E366">
        <v>101.55</v>
      </c>
      <c r="F366">
        <v>101.430769230769</v>
      </c>
      <c r="G366">
        <v>8125</v>
      </c>
      <c r="H366">
        <v>131</v>
      </c>
      <c r="I366">
        <v>824125</v>
      </c>
      <c r="J366">
        <v>6626</v>
      </c>
      <c r="K366">
        <v>81.55</v>
      </c>
      <c r="L366">
        <v>4.55</v>
      </c>
      <c r="M366">
        <v>-3.45</v>
      </c>
    </row>
    <row r="367" spans="1:13" x14ac:dyDescent="0.3">
      <c r="A367" s="1">
        <v>44735</v>
      </c>
      <c r="B367">
        <v>102.75</v>
      </c>
      <c r="C367">
        <v>103.5</v>
      </c>
      <c r="D367">
        <v>93</v>
      </c>
      <c r="E367">
        <v>99.95</v>
      </c>
      <c r="F367">
        <v>99.488690418405895</v>
      </c>
      <c r="G367">
        <v>10301</v>
      </c>
      <c r="H367">
        <v>216</v>
      </c>
      <c r="I367">
        <v>1024833</v>
      </c>
      <c r="J367">
        <v>7493</v>
      </c>
      <c r="K367">
        <v>72.739999999999995</v>
      </c>
      <c r="L367">
        <v>10.5</v>
      </c>
      <c r="M367">
        <v>-2.8</v>
      </c>
    </row>
    <row r="368" spans="1:13" x14ac:dyDescent="0.3">
      <c r="A368" s="1">
        <v>44736</v>
      </c>
      <c r="B368">
        <v>101.05</v>
      </c>
      <c r="C368">
        <v>102.9</v>
      </c>
      <c r="D368">
        <v>97.05</v>
      </c>
      <c r="E368">
        <v>101.75</v>
      </c>
      <c r="F368">
        <v>101.076839118096</v>
      </c>
      <c r="G368">
        <v>4581</v>
      </c>
      <c r="H368">
        <v>95</v>
      </c>
      <c r="I368">
        <v>463033</v>
      </c>
      <c r="J368">
        <v>3642</v>
      </c>
      <c r="K368">
        <v>79.5</v>
      </c>
      <c r="L368">
        <v>5.85</v>
      </c>
      <c r="M368">
        <v>0.7</v>
      </c>
    </row>
    <row r="369" spans="1:13" x14ac:dyDescent="0.3">
      <c r="A369" s="1">
        <v>44739</v>
      </c>
      <c r="B369">
        <v>103.95</v>
      </c>
      <c r="C369">
        <v>108.15</v>
      </c>
      <c r="D369">
        <v>102.25</v>
      </c>
      <c r="E369">
        <v>103.95</v>
      </c>
      <c r="F369">
        <v>105.47998240211101</v>
      </c>
      <c r="G369">
        <v>15911</v>
      </c>
      <c r="H369">
        <v>244</v>
      </c>
      <c r="I369">
        <v>1678292</v>
      </c>
      <c r="J369">
        <v>9895</v>
      </c>
      <c r="K369">
        <v>62.19</v>
      </c>
      <c r="L369">
        <v>5.9</v>
      </c>
      <c r="M369">
        <v>0</v>
      </c>
    </row>
    <row r="370" spans="1:13" x14ac:dyDescent="0.3">
      <c r="A370" s="1">
        <v>44740</v>
      </c>
      <c r="B370">
        <v>102.75</v>
      </c>
      <c r="C370">
        <v>105.2</v>
      </c>
      <c r="D370">
        <v>102.6</v>
      </c>
      <c r="E370">
        <v>104.35</v>
      </c>
      <c r="F370">
        <v>104.12445040614</v>
      </c>
      <c r="G370">
        <v>13419</v>
      </c>
      <c r="H370">
        <v>114</v>
      </c>
      <c r="I370">
        <v>1397246</v>
      </c>
      <c r="J370">
        <v>11948</v>
      </c>
      <c r="K370">
        <v>89.04</v>
      </c>
      <c r="L370">
        <v>2.6</v>
      </c>
      <c r="M370">
        <v>1.6</v>
      </c>
    </row>
    <row r="371" spans="1:13" x14ac:dyDescent="0.3">
      <c r="A371" s="1">
        <v>44741</v>
      </c>
      <c r="B371">
        <v>106</v>
      </c>
      <c r="C371">
        <v>106</v>
      </c>
      <c r="D371">
        <v>100</v>
      </c>
      <c r="E371">
        <v>104.15</v>
      </c>
      <c r="F371">
        <v>103.24588521539999</v>
      </c>
      <c r="G371">
        <v>6987</v>
      </c>
      <c r="H371">
        <v>157</v>
      </c>
      <c r="I371">
        <v>721379</v>
      </c>
      <c r="J371">
        <v>5245</v>
      </c>
      <c r="K371">
        <v>75.069999999999993</v>
      </c>
      <c r="L371">
        <v>6</v>
      </c>
      <c r="M371">
        <v>-1.85</v>
      </c>
    </row>
    <row r="372" spans="1:13" x14ac:dyDescent="0.3">
      <c r="A372" s="1">
        <v>44742</v>
      </c>
      <c r="B372">
        <v>105.85</v>
      </c>
      <c r="C372">
        <v>106</v>
      </c>
      <c r="D372">
        <v>101.1</v>
      </c>
      <c r="E372">
        <v>102.95</v>
      </c>
      <c r="F372">
        <v>103.660895417978</v>
      </c>
      <c r="G372">
        <v>11436</v>
      </c>
      <c r="H372">
        <v>138</v>
      </c>
      <c r="I372">
        <v>1185466</v>
      </c>
      <c r="J372">
        <v>9674</v>
      </c>
      <c r="K372">
        <v>84.59</v>
      </c>
      <c r="L372">
        <v>4.9000000000000004</v>
      </c>
      <c r="M372">
        <v>-2.9</v>
      </c>
    </row>
    <row r="373" spans="1:13" x14ac:dyDescent="0.3">
      <c r="A373" s="1">
        <v>44743</v>
      </c>
      <c r="B373">
        <v>103.6</v>
      </c>
      <c r="C373">
        <v>107</v>
      </c>
      <c r="D373">
        <v>101.5</v>
      </c>
      <c r="E373">
        <v>103.75</v>
      </c>
      <c r="F373">
        <v>103.406289506953</v>
      </c>
      <c r="G373">
        <v>6328</v>
      </c>
      <c r="H373">
        <v>144</v>
      </c>
      <c r="I373">
        <v>654355</v>
      </c>
      <c r="J373">
        <v>3933</v>
      </c>
      <c r="K373">
        <v>62.15</v>
      </c>
      <c r="L373">
        <v>5.5</v>
      </c>
      <c r="M373">
        <v>0.15</v>
      </c>
    </row>
    <row r="374" spans="1:13" x14ac:dyDescent="0.3">
      <c r="A374" s="1">
        <v>44746</v>
      </c>
      <c r="B374">
        <v>107.9</v>
      </c>
      <c r="C374">
        <v>113.75</v>
      </c>
      <c r="D374">
        <v>106</v>
      </c>
      <c r="E374">
        <v>110.1</v>
      </c>
      <c r="F374">
        <v>110.29259250043501</v>
      </c>
      <c r="G374">
        <v>40189</v>
      </c>
      <c r="H374">
        <v>638</v>
      </c>
      <c r="I374">
        <v>4432549</v>
      </c>
      <c r="J374">
        <v>24466</v>
      </c>
      <c r="K374">
        <v>60.88</v>
      </c>
      <c r="L374">
        <v>7.75</v>
      </c>
      <c r="M374">
        <v>2.2000000000000002</v>
      </c>
    </row>
    <row r="375" spans="1:13" x14ac:dyDescent="0.3">
      <c r="A375" s="1">
        <v>44747</v>
      </c>
      <c r="B375">
        <v>112</v>
      </c>
      <c r="C375">
        <v>113.9</v>
      </c>
      <c r="D375">
        <v>109</v>
      </c>
      <c r="E375">
        <v>111.6</v>
      </c>
      <c r="F375">
        <v>111.545466388744</v>
      </c>
      <c r="G375">
        <v>7676</v>
      </c>
      <c r="H375">
        <v>196</v>
      </c>
      <c r="I375">
        <v>856223</v>
      </c>
      <c r="J375">
        <v>5432</v>
      </c>
      <c r="K375">
        <v>70.77</v>
      </c>
      <c r="L375">
        <v>4.9000000000000004</v>
      </c>
      <c r="M375">
        <v>-0.4</v>
      </c>
    </row>
    <row r="376" spans="1:13" x14ac:dyDescent="0.3">
      <c r="A376" s="1">
        <v>44748</v>
      </c>
      <c r="B376">
        <v>110.25</v>
      </c>
      <c r="C376">
        <v>113.85</v>
      </c>
      <c r="D376">
        <v>109</v>
      </c>
      <c r="E376">
        <v>109.55</v>
      </c>
      <c r="F376">
        <v>110.97318659329601</v>
      </c>
      <c r="G376">
        <v>9995</v>
      </c>
      <c r="H376">
        <v>176</v>
      </c>
      <c r="I376">
        <v>1109177</v>
      </c>
      <c r="J376">
        <v>7089</v>
      </c>
      <c r="K376">
        <v>70.930000000000007</v>
      </c>
      <c r="L376">
        <v>4.8499999999999996</v>
      </c>
      <c r="M376">
        <v>-0.7</v>
      </c>
    </row>
    <row r="377" spans="1:13" x14ac:dyDescent="0.3">
      <c r="A377" s="1">
        <v>44749</v>
      </c>
      <c r="B377">
        <v>108</v>
      </c>
      <c r="C377">
        <v>113.45</v>
      </c>
      <c r="D377">
        <v>108</v>
      </c>
      <c r="E377">
        <v>111.25</v>
      </c>
      <c r="F377">
        <v>110.70570264765701</v>
      </c>
      <c r="G377">
        <v>9820</v>
      </c>
      <c r="H377">
        <v>181</v>
      </c>
      <c r="I377">
        <v>1087130</v>
      </c>
      <c r="J377">
        <v>6690</v>
      </c>
      <c r="K377">
        <v>68.13</v>
      </c>
      <c r="L377">
        <v>5.45</v>
      </c>
      <c r="M377">
        <v>3.25</v>
      </c>
    </row>
    <row r="378" spans="1:13" x14ac:dyDescent="0.3">
      <c r="A378" s="1">
        <v>44750</v>
      </c>
      <c r="B378">
        <v>112</v>
      </c>
      <c r="C378">
        <v>114</v>
      </c>
      <c r="D378">
        <v>108.55</v>
      </c>
      <c r="E378">
        <v>112</v>
      </c>
      <c r="F378">
        <v>110.875907226254</v>
      </c>
      <c r="G378">
        <v>12676</v>
      </c>
      <c r="H378">
        <v>201</v>
      </c>
      <c r="I378">
        <v>1405463</v>
      </c>
      <c r="J378">
        <v>9358</v>
      </c>
      <c r="K378">
        <v>73.819999999999993</v>
      </c>
      <c r="L378">
        <v>5.45</v>
      </c>
      <c r="M378">
        <v>0</v>
      </c>
    </row>
    <row r="379" spans="1:13" x14ac:dyDescent="0.3">
      <c r="A379" s="1">
        <v>44753</v>
      </c>
      <c r="B379">
        <v>114</v>
      </c>
      <c r="C379">
        <v>114</v>
      </c>
      <c r="D379">
        <v>110.05</v>
      </c>
      <c r="E379">
        <v>111.35</v>
      </c>
      <c r="F379">
        <v>111.317664418212</v>
      </c>
      <c r="G379">
        <v>9488</v>
      </c>
      <c r="H379">
        <v>175</v>
      </c>
      <c r="I379">
        <v>1056182</v>
      </c>
      <c r="J379">
        <v>4702</v>
      </c>
      <c r="K379">
        <v>49.56</v>
      </c>
      <c r="L379">
        <v>3.95</v>
      </c>
      <c r="M379">
        <v>-2.65</v>
      </c>
    </row>
    <row r="380" spans="1:13" x14ac:dyDescent="0.3">
      <c r="A380" s="1">
        <v>44754</v>
      </c>
      <c r="B380">
        <v>111.05</v>
      </c>
      <c r="C380">
        <v>111.05</v>
      </c>
      <c r="D380">
        <v>104.45</v>
      </c>
      <c r="E380">
        <v>108.1</v>
      </c>
      <c r="F380">
        <v>108.687215092222</v>
      </c>
      <c r="G380">
        <v>14259</v>
      </c>
      <c r="H380">
        <v>257</v>
      </c>
      <c r="I380">
        <v>1549771</v>
      </c>
      <c r="J380">
        <v>9796</v>
      </c>
      <c r="K380">
        <v>68.7</v>
      </c>
      <c r="L380">
        <v>6.6</v>
      </c>
      <c r="M380">
        <v>-2.95</v>
      </c>
    </row>
    <row r="381" spans="1:13" x14ac:dyDescent="0.3">
      <c r="A381" s="1">
        <v>44755</v>
      </c>
      <c r="B381">
        <v>109</v>
      </c>
      <c r="C381">
        <v>110</v>
      </c>
      <c r="D381">
        <v>107</v>
      </c>
      <c r="E381">
        <v>107.95</v>
      </c>
      <c r="F381">
        <v>108.480189140714</v>
      </c>
      <c r="G381">
        <v>6133</v>
      </c>
      <c r="H381">
        <v>107</v>
      </c>
      <c r="I381">
        <v>665309</v>
      </c>
      <c r="J381">
        <v>4205</v>
      </c>
      <c r="K381">
        <v>68.56</v>
      </c>
      <c r="L381">
        <v>3</v>
      </c>
      <c r="M381">
        <v>-1.05</v>
      </c>
    </row>
    <row r="382" spans="1:13" x14ac:dyDescent="0.3">
      <c r="A382" s="1">
        <v>44756</v>
      </c>
      <c r="B382">
        <v>108.9</v>
      </c>
      <c r="C382">
        <v>110.05</v>
      </c>
      <c r="D382">
        <v>107.05</v>
      </c>
      <c r="E382">
        <v>109.4</v>
      </c>
      <c r="F382">
        <v>109.22968845448899</v>
      </c>
      <c r="G382">
        <v>3274</v>
      </c>
      <c r="H382">
        <v>95</v>
      </c>
      <c r="I382">
        <v>357618</v>
      </c>
      <c r="J382">
        <v>2312</v>
      </c>
      <c r="K382">
        <v>70.62</v>
      </c>
      <c r="L382">
        <v>3</v>
      </c>
      <c r="M382">
        <v>0.5</v>
      </c>
    </row>
    <row r="383" spans="1:13" x14ac:dyDescent="0.3">
      <c r="A383" s="1">
        <v>44757</v>
      </c>
      <c r="B383">
        <v>110.95</v>
      </c>
      <c r="C383">
        <v>112</v>
      </c>
      <c r="D383">
        <v>108</v>
      </c>
      <c r="E383">
        <v>110.65</v>
      </c>
      <c r="F383">
        <v>110.302408654827</v>
      </c>
      <c r="G383">
        <v>9798</v>
      </c>
      <c r="H383">
        <v>151</v>
      </c>
      <c r="I383">
        <v>1080743</v>
      </c>
      <c r="J383">
        <v>8175</v>
      </c>
      <c r="K383">
        <v>83.44</v>
      </c>
      <c r="L383">
        <v>4</v>
      </c>
      <c r="M383">
        <v>-0.3</v>
      </c>
    </row>
    <row r="384" spans="1:13" x14ac:dyDescent="0.3">
      <c r="A384" s="1">
        <v>44760</v>
      </c>
      <c r="B384">
        <v>112</v>
      </c>
      <c r="C384">
        <v>118.95</v>
      </c>
      <c r="D384">
        <v>112</v>
      </c>
      <c r="E384">
        <v>115.45</v>
      </c>
      <c r="F384">
        <v>115.536763612941</v>
      </c>
      <c r="G384">
        <v>40366</v>
      </c>
      <c r="H384">
        <v>397</v>
      </c>
      <c r="I384">
        <v>4663757</v>
      </c>
      <c r="J384">
        <v>27546</v>
      </c>
      <c r="K384">
        <v>68.239999999999995</v>
      </c>
      <c r="L384">
        <v>6.95</v>
      </c>
      <c r="M384">
        <v>3.45</v>
      </c>
    </row>
    <row r="385" spans="1:13" x14ac:dyDescent="0.3">
      <c r="A385" s="1">
        <v>44761</v>
      </c>
      <c r="B385">
        <v>116.2</v>
      </c>
      <c r="C385">
        <v>119.8</v>
      </c>
      <c r="D385">
        <v>115</v>
      </c>
      <c r="E385">
        <v>118.75</v>
      </c>
      <c r="F385">
        <v>118.373801088741</v>
      </c>
      <c r="G385">
        <v>11573</v>
      </c>
      <c r="H385">
        <v>177</v>
      </c>
      <c r="I385">
        <v>1369940</v>
      </c>
      <c r="J385">
        <v>9068</v>
      </c>
      <c r="K385">
        <v>78.349999999999994</v>
      </c>
      <c r="L385">
        <v>4.8</v>
      </c>
      <c r="M385">
        <v>2.5499999999999998</v>
      </c>
    </row>
    <row r="386" spans="1:13" x14ac:dyDescent="0.3">
      <c r="A386" s="1">
        <v>44762</v>
      </c>
      <c r="B386">
        <v>119.5</v>
      </c>
      <c r="C386">
        <v>119.95</v>
      </c>
      <c r="D386">
        <v>115</v>
      </c>
      <c r="E386">
        <v>116.3</v>
      </c>
      <c r="F386">
        <v>116.914254842942</v>
      </c>
      <c r="G386">
        <v>12957</v>
      </c>
      <c r="H386">
        <v>218</v>
      </c>
      <c r="I386">
        <v>1514858</v>
      </c>
      <c r="J386">
        <v>5675</v>
      </c>
      <c r="K386">
        <v>43.8</v>
      </c>
      <c r="L386">
        <v>4.95</v>
      </c>
      <c r="M386">
        <v>-3.2</v>
      </c>
    </row>
    <row r="387" spans="1:13" x14ac:dyDescent="0.3">
      <c r="A387" s="1">
        <v>44763</v>
      </c>
      <c r="B387">
        <v>115</v>
      </c>
      <c r="C387">
        <v>124.7</v>
      </c>
      <c r="D387">
        <v>115</v>
      </c>
      <c r="E387">
        <v>123.95</v>
      </c>
      <c r="F387">
        <v>123.005969351389</v>
      </c>
      <c r="G387">
        <v>44896</v>
      </c>
      <c r="H387">
        <v>549</v>
      </c>
      <c r="I387">
        <v>5522476</v>
      </c>
      <c r="J387">
        <v>36826</v>
      </c>
      <c r="K387">
        <v>82.03</v>
      </c>
      <c r="L387">
        <v>9.6999999999999993</v>
      </c>
      <c r="M387">
        <v>8.9499999999999993</v>
      </c>
    </row>
    <row r="388" spans="1:13" x14ac:dyDescent="0.3">
      <c r="A388" s="1">
        <v>44764</v>
      </c>
      <c r="B388">
        <v>126.8</v>
      </c>
      <c r="C388">
        <v>136</v>
      </c>
      <c r="D388">
        <v>124.45</v>
      </c>
      <c r="E388">
        <v>134.4</v>
      </c>
      <c r="F388">
        <v>132.416333649026</v>
      </c>
      <c r="G388">
        <v>86582</v>
      </c>
      <c r="H388">
        <v>1050</v>
      </c>
      <c r="I388">
        <v>11464871</v>
      </c>
      <c r="J388">
        <v>68226</v>
      </c>
      <c r="K388">
        <v>78.8</v>
      </c>
      <c r="L388">
        <v>11.55</v>
      </c>
      <c r="M388">
        <v>7.6</v>
      </c>
    </row>
    <row r="389" spans="1:13" x14ac:dyDescent="0.3">
      <c r="A389" s="1">
        <v>44767</v>
      </c>
      <c r="B389">
        <v>137</v>
      </c>
      <c r="C389">
        <v>147.80000000000001</v>
      </c>
      <c r="D389">
        <v>130</v>
      </c>
      <c r="E389">
        <v>147.25</v>
      </c>
      <c r="F389">
        <v>141.66750843269099</v>
      </c>
      <c r="G389">
        <v>110878</v>
      </c>
      <c r="H389">
        <v>1011</v>
      </c>
      <c r="I389">
        <v>15707810</v>
      </c>
      <c r="J389">
        <v>86583</v>
      </c>
      <c r="K389">
        <v>78.09</v>
      </c>
      <c r="L389">
        <v>17.8</v>
      </c>
      <c r="M389">
        <v>10.25</v>
      </c>
    </row>
    <row r="390" spans="1:13" x14ac:dyDescent="0.3">
      <c r="A390" s="1">
        <v>44768</v>
      </c>
      <c r="B390">
        <v>150.55000000000001</v>
      </c>
      <c r="C390">
        <v>151.5</v>
      </c>
      <c r="D390">
        <v>139.9</v>
      </c>
      <c r="E390">
        <v>139.9</v>
      </c>
      <c r="F390">
        <v>143.02967615918999</v>
      </c>
      <c r="G390">
        <v>45053</v>
      </c>
      <c r="H390">
        <v>621</v>
      </c>
      <c r="I390">
        <v>6443916</v>
      </c>
      <c r="J390">
        <v>34507</v>
      </c>
      <c r="K390">
        <v>76.59</v>
      </c>
      <c r="L390">
        <v>11.6</v>
      </c>
      <c r="M390">
        <v>-10.65</v>
      </c>
    </row>
    <row r="391" spans="1:13" x14ac:dyDescent="0.3">
      <c r="A391" s="1">
        <v>44769</v>
      </c>
      <c r="B391">
        <v>140</v>
      </c>
      <c r="C391">
        <v>146</v>
      </c>
      <c r="D391">
        <v>135.69999999999999</v>
      </c>
      <c r="E391">
        <v>136.5</v>
      </c>
      <c r="F391">
        <v>141.471715107215</v>
      </c>
      <c r="G391">
        <v>28867</v>
      </c>
      <c r="H391">
        <v>589</v>
      </c>
      <c r="I391">
        <v>4083864</v>
      </c>
      <c r="J391">
        <v>20441</v>
      </c>
      <c r="K391">
        <v>70.81</v>
      </c>
      <c r="L391">
        <v>10.3</v>
      </c>
      <c r="M391">
        <v>-3.5</v>
      </c>
    </row>
    <row r="392" spans="1:13" x14ac:dyDescent="0.3">
      <c r="A392" s="1">
        <v>44770</v>
      </c>
      <c r="B392">
        <v>140</v>
      </c>
      <c r="C392">
        <v>143.30000000000001</v>
      </c>
      <c r="D392">
        <v>139.05000000000001</v>
      </c>
      <c r="E392">
        <v>142.94999999999999</v>
      </c>
      <c r="F392">
        <v>142.083403716216</v>
      </c>
      <c r="G392">
        <v>18944</v>
      </c>
      <c r="H392">
        <v>348</v>
      </c>
      <c r="I392">
        <v>2691628</v>
      </c>
      <c r="J392">
        <v>13213</v>
      </c>
      <c r="K392">
        <v>69.75</v>
      </c>
      <c r="L392">
        <v>4.25</v>
      </c>
      <c r="M392">
        <v>2.95</v>
      </c>
    </row>
    <row r="393" spans="1:13" x14ac:dyDescent="0.3">
      <c r="A393" s="1">
        <v>44771</v>
      </c>
      <c r="B393">
        <v>145.05000000000001</v>
      </c>
      <c r="C393">
        <v>150.05000000000001</v>
      </c>
      <c r="D393">
        <v>145.05000000000001</v>
      </c>
      <c r="E393">
        <v>150.05000000000001</v>
      </c>
      <c r="F393">
        <v>149.86350892049899</v>
      </c>
      <c r="G393">
        <v>87383</v>
      </c>
      <c r="H393">
        <v>596</v>
      </c>
      <c r="I393">
        <v>13095523</v>
      </c>
      <c r="J393">
        <v>62581</v>
      </c>
      <c r="K393">
        <v>71.62</v>
      </c>
      <c r="L393">
        <v>5</v>
      </c>
      <c r="M393">
        <v>5</v>
      </c>
    </row>
    <row r="394" spans="1:13" x14ac:dyDescent="0.3">
      <c r="A394" s="1">
        <v>44774</v>
      </c>
      <c r="B394">
        <v>157.5</v>
      </c>
      <c r="C394">
        <v>157.55000000000001</v>
      </c>
      <c r="D394">
        <v>156.55000000000001</v>
      </c>
      <c r="E394">
        <v>157.55000000000001</v>
      </c>
      <c r="F394">
        <v>157.51292215973601</v>
      </c>
      <c r="G394">
        <v>32541</v>
      </c>
      <c r="H394">
        <v>127</v>
      </c>
      <c r="I394">
        <v>5125628</v>
      </c>
      <c r="J394">
        <v>29026</v>
      </c>
      <c r="K394">
        <v>89.2</v>
      </c>
      <c r="L394">
        <v>1</v>
      </c>
      <c r="M394">
        <v>0.05</v>
      </c>
    </row>
    <row r="395" spans="1:13" x14ac:dyDescent="0.3">
      <c r="A395" s="1">
        <v>44775</v>
      </c>
      <c r="B395">
        <v>165.4</v>
      </c>
      <c r="C395">
        <v>165.4</v>
      </c>
      <c r="D395">
        <v>158</v>
      </c>
      <c r="E395">
        <v>165.4</v>
      </c>
      <c r="F395">
        <v>164.95471398543901</v>
      </c>
      <c r="G395">
        <v>110851</v>
      </c>
      <c r="H395">
        <v>837</v>
      </c>
      <c r="I395">
        <v>18285395</v>
      </c>
      <c r="J395">
        <v>63778</v>
      </c>
      <c r="K395">
        <v>57.53</v>
      </c>
      <c r="L395">
        <v>7.4</v>
      </c>
      <c r="M395">
        <v>0</v>
      </c>
    </row>
    <row r="396" spans="1:13" x14ac:dyDescent="0.3">
      <c r="A396" s="1">
        <v>44776</v>
      </c>
      <c r="B396">
        <v>173.65</v>
      </c>
      <c r="C396">
        <v>173.65</v>
      </c>
      <c r="D396">
        <v>161.94999999999999</v>
      </c>
      <c r="E396">
        <v>170.7</v>
      </c>
      <c r="F396">
        <v>171.53702298274499</v>
      </c>
      <c r="G396">
        <v>139670</v>
      </c>
      <c r="H396">
        <v>1693</v>
      </c>
      <c r="I396">
        <v>23958576</v>
      </c>
      <c r="J396">
        <v>78878</v>
      </c>
      <c r="K396">
        <v>56.47</v>
      </c>
      <c r="L396">
        <v>11.7</v>
      </c>
      <c r="M396">
        <v>-2.95</v>
      </c>
    </row>
    <row r="397" spans="1:13" x14ac:dyDescent="0.3">
      <c r="A397" s="1">
        <v>44777</v>
      </c>
      <c r="B397">
        <v>173</v>
      </c>
      <c r="C397">
        <v>173</v>
      </c>
      <c r="D397">
        <v>162.19999999999999</v>
      </c>
      <c r="E397">
        <v>162.19999999999999</v>
      </c>
      <c r="F397">
        <v>165.42750292614599</v>
      </c>
      <c r="G397">
        <v>35029</v>
      </c>
      <c r="H397">
        <v>610</v>
      </c>
      <c r="I397">
        <v>5794760</v>
      </c>
      <c r="J397">
        <v>25458</v>
      </c>
      <c r="K397">
        <v>72.680000000000007</v>
      </c>
      <c r="L397">
        <v>10.8</v>
      </c>
      <c r="M397">
        <v>-10.8</v>
      </c>
    </row>
    <row r="398" spans="1:13" x14ac:dyDescent="0.3">
      <c r="A398" s="1">
        <v>44778</v>
      </c>
      <c r="B398">
        <v>162</v>
      </c>
      <c r="C398">
        <v>162</v>
      </c>
      <c r="D398">
        <v>154.1</v>
      </c>
      <c r="E398">
        <v>154.1</v>
      </c>
      <c r="F398">
        <v>154.64125339254801</v>
      </c>
      <c r="G398">
        <v>36477</v>
      </c>
      <c r="H398">
        <v>597</v>
      </c>
      <c r="I398">
        <v>5640849</v>
      </c>
      <c r="J398">
        <v>20552</v>
      </c>
      <c r="K398">
        <v>56.34</v>
      </c>
      <c r="L398">
        <v>7.9</v>
      </c>
      <c r="M398">
        <v>-7.9</v>
      </c>
    </row>
    <row r="399" spans="1:13" x14ac:dyDescent="0.3">
      <c r="A399" s="1">
        <v>44781</v>
      </c>
      <c r="B399">
        <v>152</v>
      </c>
      <c r="C399">
        <v>161.80000000000001</v>
      </c>
      <c r="D399">
        <v>147.9</v>
      </c>
      <c r="E399">
        <v>161.80000000000001</v>
      </c>
      <c r="F399">
        <v>160.80602622874699</v>
      </c>
      <c r="G399">
        <v>68932</v>
      </c>
      <c r="H399">
        <v>936</v>
      </c>
      <c r="I399">
        <v>11084681</v>
      </c>
      <c r="J399">
        <v>44491</v>
      </c>
      <c r="K399">
        <v>64.540000000000006</v>
      </c>
      <c r="L399">
        <v>13.9</v>
      </c>
      <c r="M399">
        <v>9.8000000000000007</v>
      </c>
    </row>
    <row r="400" spans="1:13" x14ac:dyDescent="0.3">
      <c r="A400" s="1">
        <v>44783</v>
      </c>
      <c r="B400">
        <v>165</v>
      </c>
      <c r="C400">
        <v>166</v>
      </c>
      <c r="D400">
        <v>154.25</v>
      </c>
      <c r="E400">
        <v>156.05000000000001</v>
      </c>
      <c r="F400">
        <v>157.13254169548799</v>
      </c>
      <c r="G400">
        <v>26022</v>
      </c>
      <c r="H400">
        <v>438</v>
      </c>
      <c r="I400">
        <v>4088903</v>
      </c>
      <c r="J400">
        <v>21324</v>
      </c>
      <c r="K400">
        <v>81.95</v>
      </c>
      <c r="L400">
        <v>11.75</v>
      </c>
      <c r="M400">
        <v>-8.9499999999999993</v>
      </c>
    </row>
    <row r="401" spans="1:13" x14ac:dyDescent="0.3">
      <c r="A401" s="1">
        <v>44784</v>
      </c>
      <c r="B401">
        <v>156.94999999999999</v>
      </c>
      <c r="C401">
        <v>156.94999999999999</v>
      </c>
      <c r="D401">
        <v>148.25</v>
      </c>
      <c r="E401">
        <v>148.25</v>
      </c>
      <c r="F401">
        <v>148.63001184232701</v>
      </c>
      <c r="G401">
        <v>35466</v>
      </c>
      <c r="H401">
        <v>295</v>
      </c>
      <c r="I401">
        <v>5271312</v>
      </c>
      <c r="J401">
        <v>26112</v>
      </c>
      <c r="K401">
        <v>73.63</v>
      </c>
      <c r="L401">
        <v>8.6999999999999993</v>
      </c>
      <c r="M401">
        <v>-8.6999999999999993</v>
      </c>
    </row>
    <row r="402" spans="1:13" x14ac:dyDescent="0.3">
      <c r="A402" s="1">
        <v>44785</v>
      </c>
      <c r="B402">
        <v>147.6</v>
      </c>
      <c r="C402">
        <v>151.75</v>
      </c>
      <c r="D402">
        <v>141.30000000000001</v>
      </c>
      <c r="E402">
        <v>144.85</v>
      </c>
      <c r="F402">
        <v>145.43445652173901</v>
      </c>
      <c r="G402">
        <v>18400</v>
      </c>
      <c r="H402">
        <v>628</v>
      </c>
      <c r="I402">
        <v>2675994</v>
      </c>
      <c r="J402">
        <v>9543</v>
      </c>
      <c r="K402">
        <v>51.86</v>
      </c>
      <c r="L402">
        <v>10.45</v>
      </c>
      <c r="M402">
        <v>-2.75</v>
      </c>
    </row>
    <row r="403" spans="1:13" x14ac:dyDescent="0.3">
      <c r="A403" s="1">
        <v>44789</v>
      </c>
      <c r="B403">
        <v>144.85</v>
      </c>
      <c r="C403">
        <v>150.80000000000001</v>
      </c>
      <c r="D403">
        <v>143</v>
      </c>
      <c r="E403">
        <v>143.65</v>
      </c>
      <c r="F403">
        <v>147.82176656151401</v>
      </c>
      <c r="G403">
        <v>14582</v>
      </c>
      <c r="H403">
        <v>309</v>
      </c>
      <c r="I403">
        <v>2155537</v>
      </c>
      <c r="J403">
        <v>11368</v>
      </c>
      <c r="K403">
        <v>77.959999999999994</v>
      </c>
      <c r="L403">
        <v>7.8</v>
      </c>
      <c r="M403">
        <v>-1.2</v>
      </c>
    </row>
    <row r="404" spans="1:13" x14ac:dyDescent="0.3">
      <c r="A404" s="1">
        <v>44790</v>
      </c>
      <c r="B404">
        <v>142</v>
      </c>
      <c r="C404">
        <v>148.9</v>
      </c>
      <c r="D404">
        <v>142</v>
      </c>
      <c r="E404">
        <v>145</v>
      </c>
      <c r="F404">
        <v>145.64325416877199</v>
      </c>
      <c r="G404">
        <v>9895</v>
      </c>
      <c r="H404">
        <v>371</v>
      </c>
      <c r="I404">
        <v>1441140</v>
      </c>
      <c r="J404">
        <v>7064</v>
      </c>
      <c r="K404">
        <v>71.39</v>
      </c>
      <c r="L404">
        <v>6.9</v>
      </c>
      <c r="M404">
        <v>3</v>
      </c>
    </row>
    <row r="405" spans="1:13" x14ac:dyDescent="0.3">
      <c r="A405" s="1">
        <v>44791</v>
      </c>
      <c r="B405">
        <v>145.85</v>
      </c>
      <c r="C405">
        <v>148.9</v>
      </c>
      <c r="D405">
        <v>145.30000000000001</v>
      </c>
      <c r="E405">
        <v>148</v>
      </c>
      <c r="F405">
        <v>147.90180537208201</v>
      </c>
      <c r="G405">
        <v>11355</v>
      </c>
      <c r="H405">
        <v>177</v>
      </c>
      <c r="I405">
        <v>1679425</v>
      </c>
      <c r="J405">
        <v>10080</v>
      </c>
      <c r="K405">
        <v>88.77</v>
      </c>
      <c r="L405">
        <v>3.6</v>
      </c>
      <c r="M405">
        <v>2.15</v>
      </c>
    </row>
    <row r="406" spans="1:13" x14ac:dyDescent="0.3">
      <c r="A406" s="1">
        <v>44792</v>
      </c>
      <c r="B406">
        <v>148.15</v>
      </c>
      <c r="C406">
        <v>150</v>
      </c>
      <c r="D406">
        <v>142.55000000000001</v>
      </c>
      <c r="E406">
        <v>148.25</v>
      </c>
      <c r="F406">
        <v>147.374693376941</v>
      </c>
      <c r="G406">
        <v>9784</v>
      </c>
      <c r="H406">
        <v>272</v>
      </c>
      <c r="I406">
        <v>1441914</v>
      </c>
      <c r="J406">
        <v>8084</v>
      </c>
      <c r="K406">
        <v>82.62</v>
      </c>
      <c r="L406">
        <v>7.45</v>
      </c>
      <c r="M406">
        <v>0.1</v>
      </c>
    </row>
    <row r="407" spans="1:13" x14ac:dyDescent="0.3">
      <c r="A407" s="1">
        <v>44795</v>
      </c>
      <c r="B407">
        <v>151.80000000000001</v>
      </c>
      <c r="C407">
        <v>152.55000000000001</v>
      </c>
      <c r="D407">
        <v>142.5</v>
      </c>
      <c r="E407">
        <v>143.19999999999999</v>
      </c>
      <c r="F407">
        <v>146.860376827896</v>
      </c>
      <c r="G407">
        <v>7112</v>
      </c>
      <c r="H407">
        <v>211</v>
      </c>
      <c r="I407">
        <v>1044471</v>
      </c>
      <c r="J407">
        <v>5281</v>
      </c>
      <c r="K407">
        <v>74.25</v>
      </c>
      <c r="L407">
        <v>10.050000000000001</v>
      </c>
      <c r="M407">
        <v>-8.6</v>
      </c>
    </row>
    <row r="408" spans="1:13" x14ac:dyDescent="0.3">
      <c r="A408" s="1">
        <v>44796</v>
      </c>
      <c r="B408">
        <v>144.5</v>
      </c>
      <c r="C408">
        <v>147.5</v>
      </c>
      <c r="D408">
        <v>142.69999999999999</v>
      </c>
      <c r="E408">
        <v>146.75</v>
      </c>
      <c r="F408">
        <v>146.086445953593</v>
      </c>
      <c r="G408">
        <v>7068</v>
      </c>
      <c r="H408">
        <v>265</v>
      </c>
      <c r="I408">
        <v>1032539</v>
      </c>
      <c r="J408">
        <v>6239</v>
      </c>
      <c r="K408">
        <v>88.27</v>
      </c>
      <c r="L408">
        <v>4.8</v>
      </c>
      <c r="M408">
        <v>2.25</v>
      </c>
    </row>
    <row r="409" spans="1:13" x14ac:dyDescent="0.3">
      <c r="A409" s="1">
        <v>44797</v>
      </c>
      <c r="B409">
        <v>148.9</v>
      </c>
      <c r="C409">
        <v>148.9</v>
      </c>
      <c r="D409">
        <v>143.5</v>
      </c>
      <c r="E409">
        <v>144.75</v>
      </c>
      <c r="F409">
        <v>145.22113007989799</v>
      </c>
      <c r="G409">
        <v>17397</v>
      </c>
      <c r="H409">
        <v>352</v>
      </c>
      <c r="I409">
        <v>2526412</v>
      </c>
      <c r="J409">
        <v>13133</v>
      </c>
      <c r="K409">
        <v>75.489999999999995</v>
      </c>
      <c r="L409">
        <v>5.4</v>
      </c>
      <c r="M409">
        <v>-4.1500000000000004</v>
      </c>
    </row>
    <row r="410" spans="1:13" x14ac:dyDescent="0.3">
      <c r="A410" s="1">
        <v>44798</v>
      </c>
      <c r="B410">
        <v>145.35</v>
      </c>
      <c r="C410">
        <v>148.9</v>
      </c>
      <c r="D410">
        <v>143.55000000000001</v>
      </c>
      <c r="E410">
        <v>144.94999999999999</v>
      </c>
      <c r="F410">
        <v>146.279763371949</v>
      </c>
      <c r="G410">
        <v>8114</v>
      </c>
      <c r="H410">
        <v>323</v>
      </c>
      <c r="I410">
        <v>1186914</v>
      </c>
      <c r="J410">
        <v>5066</v>
      </c>
      <c r="K410">
        <v>62.44</v>
      </c>
      <c r="L410">
        <v>5.35</v>
      </c>
      <c r="M410">
        <v>-0.4</v>
      </c>
    </row>
    <row r="411" spans="1:13" x14ac:dyDescent="0.3">
      <c r="A411" s="1">
        <v>44799</v>
      </c>
      <c r="B411">
        <v>145.15</v>
      </c>
      <c r="C411">
        <v>150.44999999999999</v>
      </c>
      <c r="D411">
        <v>142.85</v>
      </c>
      <c r="E411">
        <v>147.05000000000001</v>
      </c>
      <c r="F411">
        <v>147.71267779839201</v>
      </c>
      <c r="G411">
        <v>24255</v>
      </c>
      <c r="H411">
        <v>737</v>
      </c>
      <c r="I411">
        <v>3582771</v>
      </c>
      <c r="J411">
        <v>16093</v>
      </c>
      <c r="K411">
        <v>66.349999999999994</v>
      </c>
      <c r="L411">
        <v>7.6</v>
      </c>
      <c r="M411">
        <v>1.9</v>
      </c>
    </row>
    <row r="412" spans="1:13" x14ac:dyDescent="0.3">
      <c r="A412" s="1">
        <v>44802</v>
      </c>
      <c r="B412">
        <v>145.15</v>
      </c>
      <c r="C412">
        <v>148</v>
      </c>
      <c r="D412">
        <v>140.75</v>
      </c>
      <c r="E412">
        <v>146.75</v>
      </c>
      <c r="F412">
        <v>145.21484467631001</v>
      </c>
      <c r="G412">
        <v>4217</v>
      </c>
      <c r="H412">
        <v>218</v>
      </c>
      <c r="I412">
        <v>612371</v>
      </c>
      <c r="J412">
        <v>3313</v>
      </c>
      <c r="K412">
        <v>78.56</v>
      </c>
      <c r="L412">
        <v>7.25</v>
      </c>
      <c r="M412">
        <v>1.6</v>
      </c>
    </row>
    <row r="413" spans="1:13" x14ac:dyDescent="0.3">
      <c r="A413" s="1">
        <v>44803</v>
      </c>
      <c r="B413">
        <v>152.69999999999999</v>
      </c>
      <c r="C413">
        <v>154.05000000000001</v>
      </c>
      <c r="D413">
        <v>148.9</v>
      </c>
      <c r="E413">
        <v>154.05000000000001</v>
      </c>
      <c r="F413">
        <v>152.111568546727</v>
      </c>
      <c r="G413">
        <v>7287</v>
      </c>
      <c r="H413">
        <v>272</v>
      </c>
      <c r="I413">
        <v>1108437</v>
      </c>
      <c r="J413">
        <v>5923</v>
      </c>
      <c r="K413">
        <v>81.28</v>
      </c>
      <c r="L413">
        <v>5.15</v>
      </c>
      <c r="M413">
        <v>1.35</v>
      </c>
    </row>
    <row r="414" spans="1:13" x14ac:dyDescent="0.3">
      <c r="A414" s="1">
        <v>44805</v>
      </c>
      <c r="B414">
        <v>154.85</v>
      </c>
      <c r="C414">
        <v>161.75</v>
      </c>
      <c r="D414">
        <v>154.19999999999999</v>
      </c>
      <c r="E414">
        <v>161.75</v>
      </c>
      <c r="F414">
        <v>161.249881206937</v>
      </c>
      <c r="G414">
        <v>16836</v>
      </c>
      <c r="H414">
        <v>182</v>
      </c>
      <c r="I414">
        <v>2714803</v>
      </c>
      <c r="J414">
        <v>15751</v>
      </c>
      <c r="K414">
        <v>93.56</v>
      </c>
      <c r="L414">
        <v>7.55</v>
      </c>
      <c r="M414">
        <v>6.9</v>
      </c>
    </row>
    <row r="415" spans="1:13" x14ac:dyDescent="0.3">
      <c r="A415" s="1">
        <v>44806</v>
      </c>
      <c r="B415">
        <v>169</v>
      </c>
      <c r="C415">
        <v>169.8</v>
      </c>
      <c r="D415">
        <v>162.05000000000001</v>
      </c>
      <c r="E415">
        <v>163.35</v>
      </c>
      <c r="F415">
        <v>166.966644117187</v>
      </c>
      <c r="G415">
        <v>19217</v>
      </c>
      <c r="H415">
        <v>487</v>
      </c>
      <c r="I415">
        <v>3208598</v>
      </c>
      <c r="J415">
        <v>11431</v>
      </c>
      <c r="K415">
        <v>59.48</v>
      </c>
      <c r="L415">
        <v>7.75</v>
      </c>
      <c r="M415">
        <v>-5.65</v>
      </c>
    </row>
    <row r="416" spans="1:13" x14ac:dyDescent="0.3">
      <c r="A416" s="1">
        <v>44809</v>
      </c>
      <c r="B416">
        <v>157.05000000000001</v>
      </c>
      <c r="C416">
        <v>170</v>
      </c>
      <c r="D416">
        <v>157.05000000000001</v>
      </c>
      <c r="E416">
        <v>167.9</v>
      </c>
      <c r="F416">
        <v>165.461509073543</v>
      </c>
      <c r="G416">
        <v>5235</v>
      </c>
      <c r="H416">
        <v>291</v>
      </c>
      <c r="I416">
        <v>866191</v>
      </c>
      <c r="J416">
        <v>3319</v>
      </c>
      <c r="K416">
        <v>63.4</v>
      </c>
      <c r="L416">
        <v>12.95</v>
      </c>
      <c r="M416">
        <v>10.85</v>
      </c>
    </row>
    <row r="417" spans="1:13" x14ac:dyDescent="0.3">
      <c r="A417" s="1">
        <v>44810</v>
      </c>
      <c r="B417">
        <v>169.85</v>
      </c>
      <c r="C417">
        <v>171.95</v>
      </c>
      <c r="D417">
        <v>163.30000000000001</v>
      </c>
      <c r="E417">
        <v>164.4</v>
      </c>
      <c r="F417">
        <v>165.823379923761</v>
      </c>
      <c r="G417">
        <v>6296</v>
      </c>
      <c r="H417">
        <v>198</v>
      </c>
      <c r="I417">
        <v>1044024</v>
      </c>
      <c r="J417">
        <v>5177</v>
      </c>
      <c r="K417">
        <v>82.23</v>
      </c>
      <c r="L417">
        <v>8.65</v>
      </c>
      <c r="M417">
        <v>-5.45</v>
      </c>
    </row>
    <row r="418" spans="1:13" x14ac:dyDescent="0.3">
      <c r="A418" s="1">
        <v>44811</v>
      </c>
      <c r="B418">
        <v>162.5</v>
      </c>
      <c r="C418">
        <v>165</v>
      </c>
      <c r="D418">
        <v>157.55000000000001</v>
      </c>
      <c r="E418">
        <v>163.4</v>
      </c>
      <c r="F418">
        <v>162.15641399416899</v>
      </c>
      <c r="G418">
        <v>6860</v>
      </c>
      <c r="H418">
        <v>292</v>
      </c>
      <c r="I418">
        <v>1112393</v>
      </c>
      <c r="J418">
        <v>5793</v>
      </c>
      <c r="K418">
        <v>84.45</v>
      </c>
      <c r="L418">
        <v>7.45</v>
      </c>
      <c r="M418">
        <v>0.9</v>
      </c>
    </row>
    <row r="419" spans="1:13" x14ac:dyDescent="0.3">
      <c r="A419" s="1">
        <v>44812</v>
      </c>
      <c r="B419">
        <v>164.8</v>
      </c>
      <c r="C419">
        <v>168</v>
      </c>
      <c r="D419">
        <v>161.5</v>
      </c>
      <c r="E419">
        <v>164.25</v>
      </c>
      <c r="F419">
        <v>164.66458217010899</v>
      </c>
      <c r="G419">
        <v>26865</v>
      </c>
      <c r="H419">
        <v>615</v>
      </c>
      <c r="I419">
        <v>4423714</v>
      </c>
      <c r="J419">
        <v>18107</v>
      </c>
      <c r="K419">
        <v>67.400000000000006</v>
      </c>
      <c r="L419">
        <v>6.5</v>
      </c>
      <c r="M419">
        <v>-0.55000000000000004</v>
      </c>
    </row>
    <row r="420" spans="1:13" x14ac:dyDescent="0.3">
      <c r="A420" s="1">
        <v>44813</v>
      </c>
      <c r="B420">
        <v>168.75</v>
      </c>
      <c r="C420">
        <v>168.75</v>
      </c>
      <c r="D420">
        <v>160</v>
      </c>
      <c r="E420">
        <v>164.75</v>
      </c>
      <c r="F420">
        <v>164.77248677248599</v>
      </c>
      <c r="G420">
        <v>2079</v>
      </c>
      <c r="H420">
        <v>132</v>
      </c>
      <c r="I420">
        <v>342562</v>
      </c>
      <c r="J420">
        <v>1535</v>
      </c>
      <c r="K420">
        <v>73.83</v>
      </c>
      <c r="L420">
        <v>8.75</v>
      </c>
      <c r="M420">
        <v>-4</v>
      </c>
    </row>
    <row r="421" spans="1:13" x14ac:dyDescent="0.3">
      <c r="A421" s="1">
        <v>44816</v>
      </c>
      <c r="B421">
        <v>164.5</v>
      </c>
      <c r="C421">
        <v>168</v>
      </c>
      <c r="D421">
        <v>160.65</v>
      </c>
      <c r="E421">
        <v>162.15</v>
      </c>
      <c r="F421">
        <v>163.03407323625001</v>
      </c>
      <c r="G421">
        <v>7073</v>
      </c>
      <c r="H421">
        <v>296</v>
      </c>
      <c r="I421">
        <v>1153140</v>
      </c>
      <c r="J421">
        <v>5499</v>
      </c>
      <c r="K421">
        <v>77.75</v>
      </c>
      <c r="L421">
        <v>7.35</v>
      </c>
      <c r="M421">
        <v>-2.35</v>
      </c>
    </row>
    <row r="422" spans="1:13" x14ac:dyDescent="0.3">
      <c r="A422" s="1">
        <v>44817</v>
      </c>
      <c r="B422">
        <v>165.9</v>
      </c>
      <c r="C422">
        <v>165.9</v>
      </c>
      <c r="D422">
        <v>156.15</v>
      </c>
      <c r="E422">
        <v>159</v>
      </c>
      <c r="F422">
        <v>159.584309757136</v>
      </c>
      <c r="G422">
        <v>18776</v>
      </c>
      <c r="H422">
        <v>432</v>
      </c>
      <c r="I422">
        <v>2996355</v>
      </c>
      <c r="J422">
        <v>13215</v>
      </c>
      <c r="K422">
        <v>70.38</v>
      </c>
      <c r="L422">
        <v>9.75</v>
      </c>
      <c r="M422">
        <v>-6.9</v>
      </c>
    </row>
    <row r="423" spans="1:13" x14ac:dyDescent="0.3">
      <c r="A423" s="1">
        <v>44818</v>
      </c>
      <c r="B423">
        <v>157</v>
      </c>
      <c r="C423">
        <v>162</v>
      </c>
      <c r="D423">
        <v>155.9</v>
      </c>
      <c r="E423">
        <v>159.5</v>
      </c>
      <c r="F423">
        <v>159.99901477832501</v>
      </c>
      <c r="G423">
        <v>5075</v>
      </c>
      <c r="H423">
        <v>181</v>
      </c>
      <c r="I423">
        <v>811995</v>
      </c>
      <c r="J423">
        <v>4064</v>
      </c>
      <c r="K423">
        <v>80.08</v>
      </c>
      <c r="L423">
        <v>6.1</v>
      </c>
      <c r="M423">
        <v>2.5</v>
      </c>
    </row>
    <row r="424" spans="1:13" x14ac:dyDescent="0.3">
      <c r="A424" s="1">
        <v>44819</v>
      </c>
      <c r="B424">
        <v>157.30000000000001</v>
      </c>
      <c r="C424">
        <v>162.65</v>
      </c>
      <c r="D424">
        <v>157.30000000000001</v>
      </c>
      <c r="E424">
        <v>159.75</v>
      </c>
      <c r="F424">
        <v>160.39846498241101</v>
      </c>
      <c r="G424">
        <v>3127</v>
      </c>
      <c r="H424">
        <v>146</v>
      </c>
      <c r="I424">
        <v>501566</v>
      </c>
      <c r="J424">
        <v>2324</v>
      </c>
      <c r="K424">
        <v>74.319999999999993</v>
      </c>
      <c r="L424">
        <v>5.35</v>
      </c>
      <c r="M424">
        <v>2.4500000000000002</v>
      </c>
    </row>
    <row r="425" spans="1:13" x14ac:dyDescent="0.3">
      <c r="A425" s="1">
        <v>44820</v>
      </c>
      <c r="B425">
        <v>159</v>
      </c>
      <c r="C425">
        <v>159</v>
      </c>
      <c r="D425">
        <v>152.25</v>
      </c>
      <c r="E425">
        <v>155.94999999999999</v>
      </c>
      <c r="F425">
        <v>155.084612432847</v>
      </c>
      <c r="G425">
        <v>10424</v>
      </c>
      <c r="H425">
        <v>346</v>
      </c>
      <c r="I425">
        <v>1616602</v>
      </c>
      <c r="J425">
        <v>7553</v>
      </c>
      <c r="K425">
        <v>72.459999999999994</v>
      </c>
      <c r="L425">
        <v>6.75</v>
      </c>
      <c r="M425">
        <v>-3.05</v>
      </c>
    </row>
    <row r="426" spans="1:13" x14ac:dyDescent="0.3">
      <c r="A426" s="1">
        <v>44823</v>
      </c>
      <c r="B426">
        <v>156.5</v>
      </c>
      <c r="C426">
        <v>163.69999999999999</v>
      </c>
      <c r="D426">
        <v>154.15</v>
      </c>
      <c r="E426">
        <v>161.19999999999999</v>
      </c>
      <c r="F426">
        <v>161.89930023725799</v>
      </c>
      <c r="G426">
        <v>33297</v>
      </c>
      <c r="H426">
        <v>510</v>
      </c>
      <c r="I426">
        <v>5390761</v>
      </c>
      <c r="J426">
        <v>26206</v>
      </c>
      <c r="K426">
        <v>78.7</v>
      </c>
      <c r="L426">
        <v>9.5500000000000007</v>
      </c>
      <c r="M426">
        <v>4.7</v>
      </c>
    </row>
    <row r="427" spans="1:13" x14ac:dyDescent="0.3">
      <c r="A427" s="1">
        <v>44824</v>
      </c>
      <c r="B427">
        <v>165.6</v>
      </c>
      <c r="C427">
        <v>169</v>
      </c>
      <c r="D427">
        <v>161</v>
      </c>
      <c r="E427">
        <v>161.15</v>
      </c>
      <c r="F427">
        <v>164.00923076922999</v>
      </c>
      <c r="G427">
        <v>10075</v>
      </c>
      <c r="H427">
        <v>291</v>
      </c>
      <c r="I427">
        <v>1652393</v>
      </c>
      <c r="J427">
        <v>6224</v>
      </c>
      <c r="K427">
        <v>61.78</v>
      </c>
      <c r="L427">
        <v>8</v>
      </c>
      <c r="M427">
        <v>-4.45</v>
      </c>
    </row>
    <row r="428" spans="1:13" x14ac:dyDescent="0.3">
      <c r="A428" s="1">
        <v>44825</v>
      </c>
      <c r="B428">
        <v>162.94999999999999</v>
      </c>
      <c r="C428">
        <v>163.30000000000001</v>
      </c>
      <c r="D428">
        <v>156.65</v>
      </c>
      <c r="E428">
        <v>157.55000000000001</v>
      </c>
      <c r="F428">
        <v>158.79467084639401</v>
      </c>
      <c r="G428">
        <v>1276</v>
      </c>
      <c r="H428">
        <v>76</v>
      </c>
      <c r="I428">
        <v>202622</v>
      </c>
      <c r="J428">
        <v>1037</v>
      </c>
      <c r="K428">
        <v>81.27</v>
      </c>
      <c r="L428">
        <v>6.65</v>
      </c>
      <c r="M428">
        <v>-5.4</v>
      </c>
    </row>
    <row r="429" spans="1:13" x14ac:dyDescent="0.3">
      <c r="A429" s="1">
        <v>44826</v>
      </c>
      <c r="B429">
        <v>158.55000000000001</v>
      </c>
      <c r="C429">
        <v>160.05000000000001</v>
      </c>
      <c r="D429">
        <v>151.69999999999999</v>
      </c>
      <c r="E429">
        <v>154.19999999999999</v>
      </c>
      <c r="F429">
        <v>155.49755452742801</v>
      </c>
      <c r="G429">
        <v>7565</v>
      </c>
      <c r="H429">
        <v>270</v>
      </c>
      <c r="I429">
        <v>1176339</v>
      </c>
      <c r="J429">
        <v>6104</v>
      </c>
      <c r="K429">
        <v>80.69</v>
      </c>
      <c r="L429">
        <v>8.35</v>
      </c>
      <c r="M429">
        <v>-4.3499999999999996</v>
      </c>
    </row>
    <row r="430" spans="1:13" x14ac:dyDescent="0.3">
      <c r="A430" s="1">
        <v>44827</v>
      </c>
      <c r="B430">
        <v>157.19999999999999</v>
      </c>
      <c r="C430">
        <v>158.4</v>
      </c>
      <c r="D430">
        <v>147.5</v>
      </c>
      <c r="E430">
        <v>149</v>
      </c>
      <c r="F430">
        <v>153.26563138536901</v>
      </c>
      <c r="G430">
        <v>9788</v>
      </c>
      <c r="H430">
        <v>451</v>
      </c>
      <c r="I430">
        <v>1500164</v>
      </c>
      <c r="J430">
        <v>6352</v>
      </c>
      <c r="K430">
        <v>64.900000000000006</v>
      </c>
      <c r="L430">
        <v>10.9</v>
      </c>
      <c r="M430">
        <v>-8.1999999999999993</v>
      </c>
    </row>
    <row r="431" spans="1:13" x14ac:dyDescent="0.3">
      <c r="A431" s="1">
        <v>44830</v>
      </c>
      <c r="B431">
        <v>147.35</v>
      </c>
      <c r="C431">
        <v>147.35</v>
      </c>
      <c r="D431">
        <v>141.55000000000001</v>
      </c>
      <c r="E431">
        <v>144.6</v>
      </c>
      <c r="F431">
        <v>143.62769659011801</v>
      </c>
      <c r="G431">
        <v>5748</v>
      </c>
      <c r="H431">
        <v>224</v>
      </c>
      <c r="I431">
        <v>825572</v>
      </c>
      <c r="J431">
        <v>4536</v>
      </c>
      <c r="K431">
        <v>78.91</v>
      </c>
      <c r="L431">
        <v>5.8</v>
      </c>
      <c r="M431">
        <v>-2.75</v>
      </c>
    </row>
    <row r="432" spans="1:13" x14ac:dyDescent="0.3">
      <c r="A432" s="1">
        <v>44831</v>
      </c>
      <c r="B432">
        <v>146</v>
      </c>
      <c r="C432">
        <v>147.15</v>
      </c>
      <c r="D432">
        <v>137.4</v>
      </c>
      <c r="E432">
        <v>137.4</v>
      </c>
      <c r="F432">
        <v>139.759348374881</v>
      </c>
      <c r="G432">
        <v>25352</v>
      </c>
      <c r="H432">
        <v>479</v>
      </c>
      <c r="I432">
        <v>3543179</v>
      </c>
      <c r="J432">
        <v>18720</v>
      </c>
      <c r="K432">
        <v>73.84</v>
      </c>
      <c r="L432">
        <v>9.75</v>
      </c>
      <c r="M432">
        <v>-8.6</v>
      </c>
    </row>
    <row r="433" spans="1:13" x14ac:dyDescent="0.3">
      <c r="A433" s="1">
        <v>44832</v>
      </c>
      <c r="B433">
        <v>133.55000000000001</v>
      </c>
      <c r="C433">
        <v>142.44999999999999</v>
      </c>
      <c r="D433">
        <v>131.15</v>
      </c>
      <c r="E433">
        <v>138.94999999999999</v>
      </c>
      <c r="F433">
        <v>135.45407544520299</v>
      </c>
      <c r="G433">
        <v>15667</v>
      </c>
      <c r="H433">
        <v>639</v>
      </c>
      <c r="I433">
        <v>2122159</v>
      </c>
      <c r="J433">
        <v>9618</v>
      </c>
      <c r="K433">
        <v>61.39</v>
      </c>
      <c r="L433">
        <v>11.3</v>
      </c>
      <c r="M433">
        <v>5.4</v>
      </c>
    </row>
    <row r="434" spans="1:13" x14ac:dyDescent="0.3">
      <c r="A434" s="1">
        <v>44833</v>
      </c>
      <c r="B434">
        <v>143</v>
      </c>
      <c r="C434">
        <v>144</v>
      </c>
      <c r="D434">
        <v>135.94999999999999</v>
      </c>
      <c r="E434">
        <v>139.6</v>
      </c>
      <c r="F434">
        <v>140.65108730931499</v>
      </c>
      <c r="G434">
        <v>6162</v>
      </c>
      <c r="H434">
        <v>256</v>
      </c>
      <c r="I434">
        <v>866692</v>
      </c>
      <c r="J434">
        <v>4649</v>
      </c>
      <c r="K434">
        <v>75.45</v>
      </c>
      <c r="L434">
        <v>8.0500000000000007</v>
      </c>
      <c r="M434">
        <v>-3.4</v>
      </c>
    </row>
    <row r="435" spans="1:13" x14ac:dyDescent="0.3">
      <c r="A435" s="1">
        <v>44834</v>
      </c>
      <c r="B435">
        <v>139.35</v>
      </c>
      <c r="C435">
        <v>146.55000000000001</v>
      </c>
      <c r="D435">
        <v>139.35</v>
      </c>
      <c r="E435">
        <v>146.55000000000001</v>
      </c>
      <c r="F435">
        <v>145.94572731284001</v>
      </c>
      <c r="G435">
        <v>6799</v>
      </c>
      <c r="H435">
        <v>195</v>
      </c>
      <c r="I435">
        <v>992285</v>
      </c>
      <c r="J435">
        <v>5824</v>
      </c>
      <c r="K435">
        <v>85.66</v>
      </c>
      <c r="L435">
        <v>7.2</v>
      </c>
      <c r="M435">
        <v>7.2</v>
      </c>
    </row>
    <row r="436" spans="1:13" x14ac:dyDescent="0.3">
      <c r="A436" s="1">
        <v>44837</v>
      </c>
      <c r="B436">
        <v>150.4</v>
      </c>
      <c r="C436">
        <v>150.4</v>
      </c>
      <c r="D436">
        <v>139.5</v>
      </c>
      <c r="E436">
        <v>140.85</v>
      </c>
      <c r="F436">
        <v>142.73288359408599</v>
      </c>
      <c r="G436">
        <v>6967</v>
      </c>
      <c r="H436">
        <v>178</v>
      </c>
      <c r="I436">
        <v>994420</v>
      </c>
      <c r="J436">
        <v>6138</v>
      </c>
      <c r="K436">
        <v>88.1</v>
      </c>
      <c r="L436">
        <v>10.9</v>
      </c>
      <c r="M436">
        <v>-9.5500000000000007</v>
      </c>
    </row>
    <row r="437" spans="1:13" x14ac:dyDescent="0.3">
      <c r="A437" s="1">
        <v>44838</v>
      </c>
      <c r="B437">
        <v>142.30000000000001</v>
      </c>
      <c r="C437">
        <v>145.5</v>
      </c>
      <c r="D437">
        <v>140.5</v>
      </c>
      <c r="E437">
        <v>144.30000000000001</v>
      </c>
      <c r="F437">
        <v>143.34039429530199</v>
      </c>
      <c r="G437">
        <v>4768</v>
      </c>
      <c r="H437">
        <v>284</v>
      </c>
      <c r="I437">
        <v>683447</v>
      </c>
      <c r="J437">
        <v>3880</v>
      </c>
      <c r="K437">
        <v>81.38</v>
      </c>
      <c r="L437">
        <v>5</v>
      </c>
      <c r="M437">
        <v>2</v>
      </c>
    </row>
    <row r="438" spans="1:13" x14ac:dyDescent="0.3">
      <c r="A438" s="1">
        <v>44840</v>
      </c>
      <c r="B438">
        <v>146.85</v>
      </c>
      <c r="C438">
        <v>151.5</v>
      </c>
      <c r="D438">
        <v>144</v>
      </c>
      <c r="E438">
        <v>151.5</v>
      </c>
      <c r="F438">
        <v>149.46839515518499</v>
      </c>
      <c r="G438">
        <v>15852</v>
      </c>
      <c r="H438">
        <v>374</v>
      </c>
      <c r="I438">
        <v>2369373</v>
      </c>
      <c r="J438">
        <v>11195</v>
      </c>
      <c r="K438">
        <v>70.62</v>
      </c>
      <c r="L438">
        <v>7.5</v>
      </c>
      <c r="M438">
        <v>4.6500000000000004</v>
      </c>
    </row>
    <row r="439" spans="1:13" x14ac:dyDescent="0.3">
      <c r="A439" s="1">
        <v>44841</v>
      </c>
      <c r="B439">
        <v>157</v>
      </c>
      <c r="C439">
        <v>159.05000000000001</v>
      </c>
      <c r="D439">
        <v>152</v>
      </c>
      <c r="E439">
        <v>158.30000000000001</v>
      </c>
      <c r="F439">
        <v>155.14102469590799</v>
      </c>
      <c r="G439">
        <v>13565</v>
      </c>
      <c r="H439">
        <v>544</v>
      </c>
      <c r="I439">
        <v>2104488</v>
      </c>
      <c r="J439">
        <v>8919</v>
      </c>
      <c r="K439">
        <v>65.75</v>
      </c>
      <c r="L439">
        <v>7.05</v>
      </c>
      <c r="M439">
        <v>1.3</v>
      </c>
    </row>
    <row r="440" spans="1:13" x14ac:dyDescent="0.3">
      <c r="A440" s="1">
        <v>44844</v>
      </c>
      <c r="B440">
        <v>165</v>
      </c>
      <c r="C440">
        <v>174.1</v>
      </c>
      <c r="D440">
        <v>156.65</v>
      </c>
      <c r="E440">
        <v>169.7</v>
      </c>
      <c r="F440">
        <v>168.529698049123</v>
      </c>
      <c r="G440">
        <v>48286</v>
      </c>
      <c r="H440">
        <v>1169</v>
      </c>
      <c r="I440">
        <v>8137625</v>
      </c>
      <c r="J440">
        <v>31622</v>
      </c>
      <c r="K440">
        <v>65.489999999999995</v>
      </c>
      <c r="L440">
        <v>17.45</v>
      </c>
      <c r="M440">
        <v>4.7</v>
      </c>
    </row>
    <row r="441" spans="1:13" x14ac:dyDescent="0.3">
      <c r="A441" s="1">
        <v>44845</v>
      </c>
      <c r="B441">
        <v>175.8</v>
      </c>
      <c r="C441">
        <v>178.8</v>
      </c>
      <c r="D441">
        <v>162.25</v>
      </c>
      <c r="E441">
        <v>164.1</v>
      </c>
      <c r="F441">
        <v>171.89983634605301</v>
      </c>
      <c r="G441">
        <v>26886</v>
      </c>
      <c r="H441">
        <v>1144</v>
      </c>
      <c r="I441">
        <v>4621699</v>
      </c>
      <c r="J441">
        <v>18458</v>
      </c>
      <c r="K441">
        <v>68.650000000000006</v>
      </c>
      <c r="L441">
        <v>16.55</v>
      </c>
      <c r="M441">
        <v>-11.7</v>
      </c>
    </row>
    <row r="442" spans="1:13" x14ac:dyDescent="0.3">
      <c r="A442" s="1">
        <v>44846</v>
      </c>
      <c r="B442">
        <v>175</v>
      </c>
      <c r="C442">
        <v>175</v>
      </c>
      <c r="D442">
        <v>161</v>
      </c>
      <c r="E442">
        <v>164.2</v>
      </c>
      <c r="F442">
        <v>165.21321961620399</v>
      </c>
      <c r="G442">
        <v>4221</v>
      </c>
      <c r="H442">
        <v>270</v>
      </c>
      <c r="I442">
        <v>697365</v>
      </c>
      <c r="J442">
        <v>3454</v>
      </c>
      <c r="K442">
        <v>81.83</v>
      </c>
      <c r="L442">
        <v>14</v>
      </c>
      <c r="M442">
        <v>-10.8</v>
      </c>
    </row>
    <row r="443" spans="1:13" x14ac:dyDescent="0.3">
      <c r="A443" s="1">
        <v>44847</v>
      </c>
      <c r="B443">
        <v>164.2</v>
      </c>
      <c r="C443">
        <v>170</v>
      </c>
      <c r="D443">
        <v>159.65</v>
      </c>
      <c r="E443">
        <v>161.05000000000001</v>
      </c>
      <c r="F443">
        <v>164.78150289017299</v>
      </c>
      <c r="G443">
        <v>6920</v>
      </c>
      <c r="H443">
        <v>400</v>
      </c>
      <c r="I443">
        <v>1140288</v>
      </c>
      <c r="J443">
        <v>4419</v>
      </c>
      <c r="K443">
        <v>63.86</v>
      </c>
      <c r="L443">
        <v>10.35</v>
      </c>
      <c r="M443">
        <v>-3.15</v>
      </c>
    </row>
    <row r="444" spans="1:13" x14ac:dyDescent="0.3">
      <c r="A444" s="1">
        <v>44848</v>
      </c>
      <c r="B444">
        <v>155.1</v>
      </c>
      <c r="C444">
        <v>165.5</v>
      </c>
      <c r="D444">
        <v>155.1</v>
      </c>
      <c r="E444">
        <v>161.80000000000001</v>
      </c>
      <c r="F444">
        <v>162.31692207368701</v>
      </c>
      <c r="G444">
        <v>3067</v>
      </c>
      <c r="H444">
        <v>203</v>
      </c>
      <c r="I444">
        <v>497826</v>
      </c>
      <c r="J444">
        <v>2288</v>
      </c>
      <c r="K444">
        <v>74.599999999999994</v>
      </c>
      <c r="L444">
        <v>10.4</v>
      </c>
      <c r="M444">
        <v>6.7</v>
      </c>
    </row>
    <row r="445" spans="1:13" x14ac:dyDescent="0.3">
      <c r="A445" s="1">
        <v>44851</v>
      </c>
      <c r="B445">
        <v>164</v>
      </c>
      <c r="C445">
        <v>175.8</v>
      </c>
      <c r="D445">
        <v>160</v>
      </c>
      <c r="E445">
        <v>172.85</v>
      </c>
      <c r="F445">
        <v>169.25221210149601</v>
      </c>
      <c r="G445">
        <v>30740</v>
      </c>
      <c r="H445">
        <v>1082</v>
      </c>
      <c r="I445">
        <v>5202813</v>
      </c>
      <c r="J445">
        <v>21404</v>
      </c>
      <c r="K445">
        <v>69.63</v>
      </c>
      <c r="L445">
        <v>15.8</v>
      </c>
      <c r="M445">
        <v>8.85</v>
      </c>
    </row>
    <row r="446" spans="1:13" x14ac:dyDescent="0.3">
      <c r="A446" s="1">
        <v>44852</v>
      </c>
      <c r="B446">
        <v>176.6</v>
      </c>
      <c r="C446">
        <v>188</v>
      </c>
      <c r="D446">
        <v>175.05</v>
      </c>
      <c r="E446">
        <v>186.35</v>
      </c>
      <c r="F446">
        <v>183.94363572094201</v>
      </c>
      <c r="G446">
        <v>31119</v>
      </c>
      <c r="H446">
        <v>1022</v>
      </c>
      <c r="I446">
        <v>5724142</v>
      </c>
      <c r="J446">
        <v>21100</v>
      </c>
      <c r="K446">
        <v>67.8</v>
      </c>
      <c r="L446">
        <v>12.95</v>
      </c>
      <c r="M446">
        <v>9.75</v>
      </c>
    </row>
    <row r="447" spans="1:13" x14ac:dyDescent="0.3">
      <c r="A447" s="1">
        <v>44853</v>
      </c>
      <c r="B447">
        <v>186</v>
      </c>
      <c r="C447">
        <v>191.65</v>
      </c>
      <c r="D447">
        <v>177.75</v>
      </c>
      <c r="E447">
        <v>184.2</v>
      </c>
      <c r="F447">
        <v>185.30087539790799</v>
      </c>
      <c r="G447">
        <v>35184</v>
      </c>
      <c r="H447">
        <v>1356</v>
      </c>
      <c r="I447">
        <v>6519626</v>
      </c>
      <c r="J447">
        <v>18403</v>
      </c>
      <c r="K447">
        <v>52.3</v>
      </c>
      <c r="L447">
        <v>13.9</v>
      </c>
      <c r="M447">
        <v>-1.8</v>
      </c>
    </row>
    <row r="448" spans="1:13" x14ac:dyDescent="0.3">
      <c r="A448" s="1">
        <v>44854</v>
      </c>
      <c r="B448">
        <v>180.1</v>
      </c>
      <c r="C448">
        <v>183.65</v>
      </c>
      <c r="D448">
        <v>173.1</v>
      </c>
      <c r="E448">
        <v>176.25</v>
      </c>
      <c r="F448">
        <v>177.16849914602901</v>
      </c>
      <c r="G448">
        <v>18736</v>
      </c>
      <c r="H448">
        <v>885</v>
      </c>
      <c r="I448">
        <v>3319429</v>
      </c>
      <c r="J448">
        <v>11795</v>
      </c>
      <c r="K448">
        <v>62.95</v>
      </c>
      <c r="L448">
        <v>10.55</v>
      </c>
      <c r="M448">
        <v>-3.85</v>
      </c>
    </row>
    <row r="449" spans="1:13" x14ac:dyDescent="0.3">
      <c r="A449" s="1">
        <v>44855</v>
      </c>
      <c r="B449">
        <v>180</v>
      </c>
      <c r="C449">
        <v>182.7</v>
      </c>
      <c r="D449">
        <v>172</v>
      </c>
      <c r="E449">
        <v>174.45</v>
      </c>
      <c r="F449">
        <v>177.57573805689699</v>
      </c>
      <c r="G449">
        <v>9315</v>
      </c>
      <c r="H449">
        <v>508</v>
      </c>
      <c r="I449">
        <v>1654118</v>
      </c>
      <c r="J449">
        <v>6913</v>
      </c>
      <c r="K449">
        <v>74.209999999999994</v>
      </c>
      <c r="L449">
        <v>10.7</v>
      </c>
      <c r="M449">
        <v>-5.55</v>
      </c>
    </row>
    <row r="450" spans="1:13" x14ac:dyDescent="0.3">
      <c r="A450" s="1">
        <v>44858</v>
      </c>
      <c r="B450">
        <v>175</v>
      </c>
      <c r="C450">
        <v>180.9</v>
      </c>
      <c r="D450">
        <v>171.1</v>
      </c>
      <c r="E450">
        <v>178.15</v>
      </c>
      <c r="F450">
        <v>176.65976632949099</v>
      </c>
      <c r="G450">
        <v>12753</v>
      </c>
      <c r="H450">
        <v>495</v>
      </c>
      <c r="I450">
        <v>2252942</v>
      </c>
      <c r="J450">
        <v>9084</v>
      </c>
      <c r="K450">
        <v>71.23</v>
      </c>
      <c r="L450">
        <v>9.8000000000000007</v>
      </c>
      <c r="M450">
        <v>3.15</v>
      </c>
    </row>
    <row r="451" spans="1:13" x14ac:dyDescent="0.3">
      <c r="A451" s="1">
        <v>44859</v>
      </c>
      <c r="B451">
        <v>180</v>
      </c>
      <c r="C451">
        <v>180.05</v>
      </c>
      <c r="D451">
        <v>171.35</v>
      </c>
      <c r="E451">
        <v>173.85</v>
      </c>
      <c r="F451">
        <v>174.36034802223401</v>
      </c>
      <c r="G451">
        <v>12413</v>
      </c>
      <c r="H451">
        <v>346</v>
      </c>
      <c r="I451">
        <v>2164335</v>
      </c>
      <c r="J451">
        <v>11163</v>
      </c>
      <c r="K451">
        <v>89.93</v>
      </c>
      <c r="L451">
        <v>8.6999999999999993</v>
      </c>
      <c r="M451">
        <v>-6.15</v>
      </c>
    </row>
    <row r="452" spans="1:13" x14ac:dyDescent="0.3">
      <c r="A452" s="1">
        <v>44861</v>
      </c>
      <c r="B452">
        <v>175.1</v>
      </c>
      <c r="C452">
        <v>184.5</v>
      </c>
      <c r="D452">
        <v>174.75</v>
      </c>
      <c r="E452">
        <v>182.25</v>
      </c>
      <c r="F452">
        <v>180.207350472656</v>
      </c>
      <c r="G452">
        <v>22638</v>
      </c>
      <c r="H452">
        <v>978</v>
      </c>
      <c r="I452">
        <v>4079534</v>
      </c>
      <c r="J452">
        <v>14901</v>
      </c>
      <c r="K452">
        <v>65.819999999999993</v>
      </c>
      <c r="L452">
        <v>9.75</v>
      </c>
      <c r="M452">
        <v>7.15</v>
      </c>
    </row>
    <row r="453" spans="1:13" x14ac:dyDescent="0.3">
      <c r="A453" s="1">
        <v>44862</v>
      </c>
      <c r="B453">
        <v>181</v>
      </c>
      <c r="C453">
        <v>184.75</v>
      </c>
      <c r="D453">
        <v>177.3</v>
      </c>
      <c r="E453">
        <v>179.15</v>
      </c>
      <c r="F453">
        <v>180.274542245753</v>
      </c>
      <c r="G453">
        <v>9066</v>
      </c>
      <c r="H453">
        <v>412</v>
      </c>
      <c r="I453">
        <v>1634369</v>
      </c>
      <c r="J453">
        <v>4899</v>
      </c>
      <c r="K453">
        <v>54.04</v>
      </c>
      <c r="L453">
        <v>7.45</v>
      </c>
      <c r="M453">
        <v>-1.85</v>
      </c>
    </row>
    <row r="454" spans="1:13" x14ac:dyDescent="0.3">
      <c r="A454" s="1">
        <v>44865</v>
      </c>
      <c r="B454">
        <v>184</v>
      </c>
      <c r="C454">
        <v>186.1</v>
      </c>
      <c r="D454">
        <v>173.5</v>
      </c>
      <c r="E454">
        <v>178.5</v>
      </c>
      <c r="F454">
        <v>177.34869295524999</v>
      </c>
      <c r="G454">
        <v>6771</v>
      </c>
      <c r="H454">
        <v>228</v>
      </c>
      <c r="I454">
        <v>1200828</v>
      </c>
      <c r="J454">
        <v>4975</v>
      </c>
      <c r="K454">
        <v>73.48</v>
      </c>
      <c r="L454">
        <v>12.6</v>
      </c>
      <c r="M454">
        <v>-5.5</v>
      </c>
    </row>
    <row r="455" spans="1:13" x14ac:dyDescent="0.3">
      <c r="A455" s="1">
        <v>44866</v>
      </c>
      <c r="B455">
        <v>187.95</v>
      </c>
      <c r="C455">
        <v>187.95</v>
      </c>
      <c r="D455">
        <v>177</v>
      </c>
      <c r="E455">
        <v>179.45</v>
      </c>
      <c r="F455">
        <v>181.51939864209501</v>
      </c>
      <c r="G455">
        <v>6186</v>
      </c>
      <c r="H455">
        <v>296</v>
      </c>
      <c r="I455">
        <v>1122879</v>
      </c>
      <c r="J455">
        <v>3929</v>
      </c>
      <c r="K455">
        <v>63.51</v>
      </c>
      <c r="L455">
        <v>10.95</v>
      </c>
      <c r="M455">
        <v>-8.5</v>
      </c>
    </row>
    <row r="456" spans="1:13" x14ac:dyDescent="0.3">
      <c r="A456" s="1">
        <v>44867</v>
      </c>
      <c r="B456">
        <v>186.85</v>
      </c>
      <c r="C456">
        <v>186.85</v>
      </c>
      <c r="D456">
        <v>175</v>
      </c>
      <c r="E456">
        <v>176.9</v>
      </c>
      <c r="F456">
        <v>178.81325757575701</v>
      </c>
      <c r="G456">
        <v>10560</v>
      </c>
      <c r="H456">
        <v>411</v>
      </c>
      <c r="I456">
        <v>1888268</v>
      </c>
      <c r="J456">
        <v>8302</v>
      </c>
      <c r="K456">
        <v>78.62</v>
      </c>
      <c r="L456">
        <v>11.85</v>
      </c>
      <c r="M456">
        <v>-9.9499999999999993</v>
      </c>
    </row>
    <row r="457" spans="1:13" x14ac:dyDescent="0.3">
      <c r="A457" s="1">
        <v>44868</v>
      </c>
      <c r="B457">
        <v>176.9</v>
      </c>
      <c r="C457">
        <v>182</v>
      </c>
      <c r="D457">
        <v>175.1</v>
      </c>
      <c r="E457">
        <v>177.95</v>
      </c>
      <c r="F457">
        <v>179.171882408724</v>
      </c>
      <c r="G457">
        <v>4218</v>
      </c>
      <c r="H457">
        <v>225</v>
      </c>
      <c r="I457">
        <v>755747</v>
      </c>
      <c r="J457">
        <v>3149</v>
      </c>
      <c r="K457">
        <v>74.66</v>
      </c>
      <c r="L457">
        <v>6.9</v>
      </c>
      <c r="M457">
        <v>1.05</v>
      </c>
    </row>
    <row r="458" spans="1:13" x14ac:dyDescent="0.3">
      <c r="A458" s="1">
        <v>44869</v>
      </c>
      <c r="B458">
        <v>177.95</v>
      </c>
      <c r="C458">
        <v>181.9</v>
      </c>
      <c r="D458">
        <v>177</v>
      </c>
      <c r="E458">
        <v>178</v>
      </c>
      <c r="F458">
        <v>179.689291598023</v>
      </c>
      <c r="G458">
        <v>3035</v>
      </c>
      <c r="H458">
        <v>227</v>
      </c>
      <c r="I458">
        <v>545357</v>
      </c>
      <c r="J458">
        <v>2075</v>
      </c>
      <c r="K458">
        <v>68.37</v>
      </c>
      <c r="L458">
        <v>4.9000000000000004</v>
      </c>
      <c r="M458">
        <v>0.05</v>
      </c>
    </row>
    <row r="459" spans="1:13" x14ac:dyDescent="0.3">
      <c r="A459" s="1">
        <v>44872</v>
      </c>
      <c r="B459">
        <v>181.9</v>
      </c>
      <c r="C459">
        <v>183.3</v>
      </c>
      <c r="D459">
        <v>176</v>
      </c>
      <c r="E459">
        <v>177.15</v>
      </c>
      <c r="F459">
        <v>180.545970795024</v>
      </c>
      <c r="G459">
        <v>7396</v>
      </c>
      <c r="H459">
        <v>376</v>
      </c>
      <c r="I459">
        <v>1335318</v>
      </c>
      <c r="J459">
        <v>5093</v>
      </c>
      <c r="K459">
        <v>68.86</v>
      </c>
      <c r="L459">
        <v>7.3</v>
      </c>
      <c r="M459">
        <v>-4.75</v>
      </c>
    </row>
    <row r="460" spans="1:13" x14ac:dyDescent="0.3">
      <c r="A460" s="1">
        <v>44874</v>
      </c>
      <c r="B460">
        <v>175</v>
      </c>
      <c r="C460">
        <v>181.6</v>
      </c>
      <c r="D460">
        <v>175</v>
      </c>
      <c r="E460">
        <v>178.65</v>
      </c>
      <c r="F460">
        <v>178.82352941176401</v>
      </c>
      <c r="G460">
        <v>3128</v>
      </c>
      <c r="H460">
        <v>206</v>
      </c>
      <c r="I460">
        <v>559360</v>
      </c>
      <c r="J460">
        <v>2298</v>
      </c>
      <c r="K460">
        <v>73.47</v>
      </c>
      <c r="L460">
        <v>6.6</v>
      </c>
      <c r="M460">
        <v>3.65</v>
      </c>
    </row>
    <row r="461" spans="1:13" x14ac:dyDescent="0.3">
      <c r="A461" s="1">
        <v>44875</v>
      </c>
      <c r="B461">
        <v>182.2</v>
      </c>
      <c r="C461">
        <v>183.75</v>
      </c>
      <c r="D461">
        <v>177</v>
      </c>
      <c r="E461">
        <v>178.5</v>
      </c>
      <c r="F461">
        <v>180.89365829998701</v>
      </c>
      <c r="G461">
        <v>8247</v>
      </c>
      <c r="H461">
        <v>455</v>
      </c>
      <c r="I461">
        <v>1491830</v>
      </c>
      <c r="J461">
        <v>5663</v>
      </c>
      <c r="K461">
        <v>68.67</v>
      </c>
      <c r="L461">
        <v>6.75</v>
      </c>
      <c r="M461">
        <v>-3.7</v>
      </c>
    </row>
    <row r="462" spans="1:13" x14ac:dyDescent="0.3">
      <c r="A462" s="1">
        <v>44876</v>
      </c>
      <c r="B462">
        <v>185.7</v>
      </c>
      <c r="C462">
        <v>185.7</v>
      </c>
      <c r="D462">
        <v>178.5</v>
      </c>
      <c r="E462">
        <v>178.75</v>
      </c>
      <c r="F462">
        <v>181.40448557088999</v>
      </c>
      <c r="G462">
        <v>6376</v>
      </c>
      <c r="H462">
        <v>288</v>
      </c>
      <c r="I462">
        <v>1156635</v>
      </c>
      <c r="J462">
        <v>4646</v>
      </c>
      <c r="K462">
        <v>72.87</v>
      </c>
      <c r="L462">
        <v>7.2</v>
      </c>
      <c r="M462">
        <v>-6.95</v>
      </c>
    </row>
    <row r="463" spans="1:13" x14ac:dyDescent="0.3">
      <c r="A463" s="1">
        <v>44879</v>
      </c>
      <c r="B463">
        <v>182.4</v>
      </c>
      <c r="C463">
        <v>182.4</v>
      </c>
      <c r="D463">
        <v>163.65</v>
      </c>
      <c r="E463">
        <v>164.8</v>
      </c>
      <c r="F463">
        <v>168.44406565656499</v>
      </c>
      <c r="G463">
        <v>23760</v>
      </c>
      <c r="H463">
        <v>1069</v>
      </c>
      <c r="I463">
        <v>4002231</v>
      </c>
      <c r="J463">
        <v>17029</v>
      </c>
      <c r="K463">
        <v>71.67</v>
      </c>
      <c r="L463">
        <v>18.75</v>
      </c>
      <c r="M463">
        <v>-17.600000000000001</v>
      </c>
    </row>
    <row r="464" spans="1:13" x14ac:dyDescent="0.3">
      <c r="A464" s="1">
        <v>44880</v>
      </c>
      <c r="B464">
        <v>168</v>
      </c>
      <c r="C464">
        <v>169</v>
      </c>
      <c r="D464">
        <v>163.05000000000001</v>
      </c>
      <c r="E464">
        <v>166.4</v>
      </c>
      <c r="F464">
        <v>165.67611075337999</v>
      </c>
      <c r="G464">
        <v>6212</v>
      </c>
      <c r="H464">
        <v>296</v>
      </c>
      <c r="I464">
        <v>1029180</v>
      </c>
      <c r="J464">
        <v>4905</v>
      </c>
      <c r="K464">
        <v>78.959999999999994</v>
      </c>
      <c r="L464">
        <v>5.95</v>
      </c>
      <c r="M464">
        <v>-1.6</v>
      </c>
    </row>
    <row r="465" spans="1:13" x14ac:dyDescent="0.3">
      <c r="A465" s="1">
        <v>44881</v>
      </c>
      <c r="B465">
        <v>171.45</v>
      </c>
      <c r="C465">
        <v>171.45</v>
      </c>
      <c r="D465">
        <v>165</v>
      </c>
      <c r="E465">
        <v>169.45</v>
      </c>
      <c r="F465">
        <v>167.99925705794899</v>
      </c>
      <c r="G465">
        <v>8076</v>
      </c>
      <c r="H465">
        <v>399</v>
      </c>
      <c r="I465">
        <v>1356762</v>
      </c>
      <c r="J465">
        <v>5716</v>
      </c>
      <c r="K465">
        <v>70.78</v>
      </c>
      <c r="L465">
        <v>6.45</v>
      </c>
      <c r="M465">
        <v>-2</v>
      </c>
    </row>
    <row r="466" spans="1:13" x14ac:dyDescent="0.3">
      <c r="A466" s="1">
        <v>44882</v>
      </c>
      <c r="B466">
        <v>170.05</v>
      </c>
      <c r="C466">
        <v>170.05</v>
      </c>
      <c r="D466">
        <v>165.5</v>
      </c>
      <c r="E466">
        <v>166.6</v>
      </c>
      <c r="F466">
        <v>167.032462173314</v>
      </c>
      <c r="G466">
        <v>3635</v>
      </c>
      <c r="H466">
        <v>221</v>
      </c>
      <c r="I466">
        <v>607163</v>
      </c>
      <c r="J466">
        <v>2795</v>
      </c>
      <c r="K466">
        <v>76.89</v>
      </c>
      <c r="L466">
        <v>4.55</v>
      </c>
      <c r="M466">
        <v>-3.45</v>
      </c>
    </row>
    <row r="467" spans="1:13" x14ac:dyDescent="0.3">
      <c r="A467" s="1">
        <v>44883</v>
      </c>
      <c r="B467">
        <v>166.05</v>
      </c>
      <c r="C467">
        <v>168.85</v>
      </c>
      <c r="D467">
        <v>162.5</v>
      </c>
      <c r="E467">
        <v>165.05</v>
      </c>
      <c r="F467">
        <v>164.90371915189399</v>
      </c>
      <c r="G467">
        <v>2877</v>
      </c>
      <c r="H467">
        <v>164</v>
      </c>
      <c r="I467">
        <v>474428</v>
      </c>
      <c r="J467">
        <v>1735</v>
      </c>
      <c r="K467">
        <v>60.31</v>
      </c>
      <c r="L467">
        <v>6.35</v>
      </c>
      <c r="M467">
        <v>-1</v>
      </c>
    </row>
    <row r="468" spans="1:13" x14ac:dyDescent="0.3">
      <c r="A468" s="1">
        <v>44886</v>
      </c>
      <c r="B468">
        <v>164.8</v>
      </c>
      <c r="C468">
        <v>164.8</v>
      </c>
      <c r="D468">
        <v>161.55000000000001</v>
      </c>
      <c r="E468">
        <v>162.75</v>
      </c>
      <c r="F468">
        <v>162.46486486486401</v>
      </c>
      <c r="G468">
        <v>2405</v>
      </c>
      <c r="H468">
        <v>257</v>
      </c>
      <c r="I468">
        <v>390728</v>
      </c>
      <c r="J468">
        <v>1991</v>
      </c>
      <c r="K468">
        <v>82.79</v>
      </c>
      <c r="L468">
        <v>3.25</v>
      </c>
      <c r="M468">
        <v>-2.0499999999999998</v>
      </c>
    </row>
    <row r="469" spans="1:13" x14ac:dyDescent="0.3">
      <c r="A469" s="1">
        <v>44887</v>
      </c>
      <c r="B469">
        <v>164.4</v>
      </c>
      <c r="C469">
        <v>165.85</v>
      </c>
      <c r="D469">
        <v>158.94999999999999</v>
      </c>
      <c r="E469">
        <v>160.4</v>
      </c>
      <c r="F469">
        <v>160.27087372150501</v>
      </c>
      <c r="G469">
        <v>14959</v>
      </c>
      <c r="H469">
        <v>408</v>
      </c>
      <c r="I469">
        <v>2397492</v>
      </c>
      <c r="J469">
        <v>9309</v>
      </c>
      <c r="K469">
        <v>62.23</v>
      </c>
      <c r="L469">
        <v>6.9</v>
      </c>
      <c r="M469">
        <v>-4</v>
      </c>
    </row>
    <row r="470" spans="1:13" x14ac:dyDescent="0.3">
      <c r="A470" s="1">
        <v>44888</v>
      </c>
      <c r="B470">
        <v>164</v>
      </c>
      <c r="C470">
        <v>164.85</v>
      </c>
      <c r="D470">
        <v>160.15</v>
      </c>
      <c r="E470">
        <v>163.25</v>
      </c>
      <c r="F470">
        <v>162.402480462113</v>
      </c>
      <c r="G470">
        <v>5886</v>
      </c>
      <c r="H470">
        <v>314</v>
      </c>
      <c r="I470">
        <v>955901</v>
      </c>
      <c r="J470">
        <v>3823</v>
      </c>
      <c r="K470">
        <v>64.95</v>
      </c>
      <c r="L470">
        <v>4.7</v>
      </c>
      <c r="M470">
        <v>-0.75</v>
      </c>
    </row>
    <row r="471" spans="1:13" x14ac:dyDescent="0.3">
      <c r="A471" s="1">
        <v>44889</v>
      </c>
      <c r="B471">
        <v>164.8</v>
      </c>
      <c r="C471">
        <v>168.1</v>
      </c>
      <c r="D471">
        <v>158</v>
      </c>
      <c r="E471">
        <v>162.44999999999999</v>
      </c>
      <c r="F471">
        <v>162.77795836235501</v>
      </c>
      <c r="G471">
        <v>12921</v>
      </c>
      <c r="H471">
        <v>516</v>
      </c>
      <c r="I471">
        <v>2103254</v>
      </c>
      <c r="J471">
        <v>9645</v>
      </c>
      <c r="K471">
        <v>74.650000000000006</v>
      </c>
      <c r="L471">
        <v>10.1</v>
      </c>
      <c r="M471">
        <v>-2.35</v>
      </c>
    </row>
    <row r="472" spans="1:13" x14ac:dyDescent="0.3">
      <c r="A472" s="1">
        <v>44890</v>
      </c>
      <c r="B472">
        <v>163.30000000000001</v>
      </c>
      <c r="C472">
        <v>174.6</v>
      </c>
      <c r="D472">
        <v>160</v>
      </c>
      <c r="E472">
        <v>168.7</v>
      </c>
      <c r="F472">
        <v>168.61286681715501</v>
      </c>
      <c r="G472">
        <v>3544</v>
      </c>
      <c r="H472">
        <v>328</v>
      </c>
      <c r="I472">
        <v>597564</v>
      </c>
      <c r="J472">
        <v>1785</v>
      </c>
      <c r="K472">
        <v>50.37</v>
      </c>
      <c r="L472">
        <v>14.6</v>
      </c>
      <c r="M472">
        <v>5.4</v>
      </c>
    </row>
    <row r="473" spans="1:13" x14ac:dyDescent="0.3">
      <c r="A473" s="1">
        <v>44893</v>
      </c>
      <c r="B473">
        <v>169</v>
      </c>
      <c r="C473">
        <v>172.7</v>
      </c>
      <c r="D473">
        <v>165.45</v>
      </c>
      <c r="E473">
        <v>167.5</v>
      </c>
      <c r="F473">
        <v>169.35569171234999</v>
      </c>
      <c r="G473">
        <v>3101</v>
      </c>
      <c r="H473">
        <v>204</v>
      </c>
      <c r="I473">
        <v>525172</v>
      </c>
      <c r="J473">
        <v>2439</v>
      </c>
      <c r="K473">
        <v>78.650000000000006</v>
      </c>
      <c r="L473">
        <v>7.25</v>
      </c>
      <c r="M473">
        <v>-1.5</v>
      </c>
    </row>
    <row r="474" spans="1:13" x14ac:dyDescent="0.3">
      <c r="A474" s="1">
        <v>44894</v>
      </c>
      <c r="B474">
        <v>167.7</v>
      </c>
      <c r="C474">
        <v>169.9</v>
      </c>
      <c r="D474">
        <v>161.6</v>
      </c>
      <c r="E474">
        <v>164.35</v>
      </c>
      <c r="F474">
        <v>164.68147476579</v>
      </c>
      <c r="G474">
        <v>6618</v>
      </c>
      <c r="H474">
        <v>372</v>
      </c>
      <c r="I474">
        <v>1089862</v>
      </c>
      <c r="J474">
        <v>4552</v>
      </c>
      <c r="K474">
        <v>68.78</v>
      </c>
      <c r="L474">
        <v>8.3000000000000007</v>
      </c>
      <c r="M474">
        <v>-3.35</v>
      </c>
    </row>
    <row r="475" spans="1:13" x14ac:dyDescent="0.3">
      <c r="A475" s="1">
        <v>44895</v>
      </c>
      <c r="B475">
        <v>167</v>
      </c>
      <c r="C475">
        <v>167.25</v>
      </c>
      <c r="D475">
        <v>162</v>
      </c>
      <c r="E475">
        <v>166.4</v>
      </c>
      <c r="F475">
        <v>164.252724968314</v>
      </c>
      <c r="G475">
        <v>7890</v>
      </c>
      <c r="H475">
        <v>419</v>
      </c>
      <c r="I475">
        <v>1295954</v>
      </c>
      <c r="J475">
        <v>6241</v>
      </c>
      <c r="K475">
        <v>79.099999999999994</v>
      </c>
      <c r="L475">
        <v>5.25</v>
      </c>
      <c r="M475">
        <v>-0.6</v>
      </c>
    </row>
    <row r="476" spans="1:13" x14ac:dyDescent="0.3">
      <c r="A476" s="1">
        <v>44896</v>
      </c>
      <c r="B476">
        <v>161</v>
      </c>
      <c r="C476">
        <v>167.9</v>
      </c>
      <c r="D476">
        <v>160.55000000000001</v>
      </c>
      <c r="E476">
        <v>162.65</v>
      </c>
      <c r="F476">
        <v>162.29943456526999</v>
      </c>
      <c r="G476">
        <v>12203</v>
      </c>
      <c r="H476">
        <v>530</v>
      </c>
      <c r="I476">
        <v>1980540</v>
      </c>
      <c r="J476">
        <v>8380</v>
      </c>
      <c r="K476">
        <v>68.67</v>
      </c>
      <c r="L476">
        <v>7.35</v>
      </c>
      <c r="M476">
        <v>1.65</v>
      </c>
    </row>
    <row r="477" spans="1:13" x14ac:dyDescent="0.3">
      <c r="A477" s="1">
        <v>44897</v>
      </c>
      <c r="B477">
        <v>162.65</v>
      </c>
      <c r="C477">
        <v>163.05000000000001</v>
      </c>
      <c r="D477">
        <v>158.9</v>
      </c>
      <c r="E477">
        <v>160.94999999999999</v>
      </c>
      <c r="F477">
        <v>159.96437776749701</v>
      </c>
      <c r="G477">
        <v>15131</v>
      </c>
      <c r="H477">
        <v>670</v>
      </c>
      <c r="I477">
        <v>2420421</v>
      </c>
      <c r="J477">
        <v>12376</v>
      </c>
      <c r="K477">
        <v>81.790000000000006</v>
      </c>
      <c r="L477">
        <v>4.1500000000000004</v>
      </c>
      <c r="M477">
        <v>-1.7</v>
      </c>
    </row>
    <row r="478" spans="1:13" x14ac:dyDescent="0.3">
      <c r="A478" s="1">
        <v>44900</v>
      </c>
      <c r="B478">
        <v>160.5</v>
      </c>
      <c r="C478">
        <v>162.30000000000001</v>
      </c>
      <c r="D478">
        <v>156.1</v>
      </c>
      <c r="E478">
        <v>161.30000000000001</v>
      </c>
      <c r="F478">
        <v>159.07425255704101</v>
      </c>
      <c r="G478">
        <v>10168</v>
      </c>
      <c r="H478">
        <v>680</v>
      </c>
      <c r="I478">
        <v>1617467</v>
      </c>
      <c r="J478">
        <v>7246</v>
      </c>
      <c r="K478">
        <v>71.260000000000005</v>
      </c>
      <c r="L478">
        <v>6.2</v>
      </c>
      <c r="M478">
        <v>0.8</v>
      </c>
    </row>
    <row r="479" spans="1:13" x14ac:dyDescent="0.3">
      <c r="A479" s="1">
        <v>44901</v>
      </c>
      <c r="B479">
        <v>162.25</v>
      </c>
      <c r="C479">
        <v>175</v>
      </c>
      <c r="D479">
        <v>161.94999999999999</v>
      </c>
      <c r="E479">
        <v>169.35</v>
      </c>
      <c r="F479">
        <v>168.839332840705</v>
      </c>
      <c r="G479">
        <v>18946</v>
      </c>
      <c r="H479">
        <v>1110</v>
      </c>
      <c r="I479">
        <v>3198830</v>
      </c>
      <c r="J479">
        <v>10282</v>
      </c>
      <c r="K479">
        <v>54.27</v>
      </c>
      <c r="L479">
        <v>13.05</v>
      </c>
      <c r="M479">
        <v>7.1</v>
      </c>
    </row>
    <row r="480" spans="1:13" x14ac:dyDescent="0.3">
      <c r="A480" s="1">
        <v>44902</v>
      </c>
      <c r="B480">
        <v>174.65</v>
      </c>
      <c r="C480">
        <v>175</v>
      </c>
      <c r="D480">
        <v>165.6</v>
      </c>
      <c r="E480">
        <v>166.65</v>
      </c>
      <c r="F480">
        <v>170.41531647045099</v>
      </c>
      <c r="G480">
        <v>8579</v>
      </c>
      <c r="H480">
        <v>611</v>
      </c>
      <c r="I480">
        <v>1461993</v>
      </c>
      <c r="J480">
        <v>7063</v>
      </c>
      <c r="K480">
        <v>82.33</v>
      </c>
      <c r="L480">
        <v>9.4</v>
      </c>
      <c r="M480">
        <v>-8</v>
      </c>
    </row>
    <row r="481" spans="1:13" x14ac:dyDescent="0.3">
      <c r="A481" s="1">
        <v>44903</v>
      </c>
      <c r="B481">
        <v>168.1</v>
      </c>
      <c r="C481">
        <v>168.1</v>
      </c>
      <c r="D481">
        <v>162.5</v>
      </c>
      <c r="E481">
        <v>164.1</v>
      </c>
      <c r="F481">
        <v>164.32856753812601</v>
      </c>
      <c r="G481">
        <v>7344</v>
      </c>
      <c r="H481">
        <v>614</v>
      </c>
      <c r="I481">
        <v>1206829</v>
      </c>
      <c r="J481">
        <v>5338</v>
      </c>
      <c r="K481">
        <v>72.69</v>
      </c>
      <c r="L481">
        <v>5.6</v>
      </c>
      <c r="M481">
        <v>-4</v>
      </c>
    </row>
    <row r="482" spans="1:13" x14ac:dyDescent="0.3">
      <c r="A482" s="1">
        <v>44904</v>
      </c>
      <c r="B482">
        <v>166.3</v>
      </c>
      <c r="C482">
        <v>166.7</v>
      </c>
      <c r="D482">
        <v>162.85</v>
      </c>
      <c r="E482">
        <v>163.1</v>
      </c>
      <c r="F482">
        <v>164.26154734411</v>
      </c>
      <c r="G482">
        <v>3464</v>
      </c>
      <c r="H482">
        <v>381</v>
      </c>
      <c r="I482">
        <v>569002</v>
      </c>
      <c r="J482">
        <v>2386</v>
      </c>
      <c r="K482">
        <v>68.88</v>
      </c>
      <c r="L482">
        <v>3.85</v>
      </c>
      <c r="M482">
        <v>-3.2</v>
      </c>
    </row>
    <row r="483" spans="1:13" x14ac:dyDescent="0.3">
      <c r="A483" s="1">
        <v>44907</v>
      </c>
      <c r="B483">
        <v>163.44999999999999</v>
      </c>
      <c r="C483">
        <v>168</v>
      </c>
      <c r="D483">
        <v>161.1</v>
      </c>
      <c r="E483">
        <v>161.69999999999999</v>
      </c>
      <c r="F483">
        <v>161.99462943071899</v>
      </c>
      <c r="G483">
        <v>3724</v>
      </c>
      <c r="H483">
        <v>209</v>
      </c>
      <c r="I483">
        <v>603268</v>
      </c>
      <c r="J483">
        <v>3115</v>
      </c>
      <c r="K483">
        <v>83.65</v>
      </c>
      <c r="L483">
        <v>6.9</v>
      </c>
      <c r="M483">
        <v>-1.75</v>
      </c>
    </row>
    <row r="484" spans="1:13" x14ac:dyDescent="0.3">
      <c r="A484" s="1">
        <v>44908</v>
      </c>
      <c r="B484">
        <v>163.55000000000001</v>
      </c>
      <c r="C484">
        <v>173.9</v>
      </c>
      <c r="D484">
        <v>163.55000000000001</v>
      </c>
      <c r="E484">
        <v>172.85</v>
      </c>
      <c r="F484">
        <v>170.909488457235</v>
      </c>
      <c r="G484">
        <v>19666</v>
      </c>
      <c r="H484">
        <v>1710</v>
      </c>
      <c r="I484">
        <v>3361106</v>
      </c>
      <c r="J484">
        <v>14317</v>
      </c>
      <c r="K484">
        <v>72.8</v>
      </c>
      <c r="L484">
        <v>10.35</v>
      </c>
      <c r="M484">
        <v>9.3000000000000007</v>
      </c>
    </row>
    <row r="485" spans="1:13" x14ac:dyDescent="0.3">
      <c r="A485" s="1">
        <v>44909</v>
      </c>
      <c r="B485">
        <v>174.8</v>
      </c>
      <c r="C485">
        <v>204</v>
      </c>
      <c r="D485">
        <v>172.85</v>
      </c>
      <c r="E485">
        <v>199.6</v>
      </c>
      <c r="F485">
        <v>194.56539166681</v>
      </c>
      <c r="G485">
        <v>231268</v>
      </c>
      <c r="H485">
        <v>6628</v>
      </c>
      <c r="I485">
        <v>44996749</v>
      </c>
      <c r="J485">
        <v>128620</v>
      </c>
      <c r="K485">
        <v>55.62</v>
      </c>
      <c r="L485">
        <v>31.15</v>
      </c>
      <c r="M485">
        <v>24.8</v>
      </c>
    </row>
    <row r="486" spans="1:13" x14ac:dyDescent="0.3">
      <c r="A486" s="1">
        <v>44910</v>
      </c>
      <c r="B486">
        <v>204.05</v>
      </c>
      <c r="C486">
        <v>211.7</v>
      </c>
      <c r="D486">
        <v>196.55</v>
      </c>
      <c r="E486">
        <v>199.55</v>
      </c>
      <c r="F486">
        <v>202.85087336839501</v>
      </c>
      <c r="G486">
        <v>146788</v>
      </c>
      <c r="H486">
        <v>5431</v>
      </c>
      <c r="I486">
        <v>29776074</v>
      </c>
      <c r="J486">
        <v>73392</v>
      </c>
      <c r="K486">
        <v>50</v>
      </c>
      <c r="L486">
        <v>15.15</v>
      </c>
      <c r="M486">
        <v>-4.5</v>
      </c>
    </row>
    <row r="487" spans="1:13" x14ac:dyDescent="0.3">
      <c r="A487" s="1">
        <v>44911</v>
      </c>
      <c r="B487">
        <v>205</v>
      </c>
      <c r="C487">
        <v>205</v>
      </c>
      <c r="D487">
        <v>196.1</v>
      </c>
      <c r="E487">
        <v>197.9</v>
      </c>
      <c r="F487">
        <v>201.56193980907901</v>
      </c>
      <c r="G487">
        <v>27446</v>
      </c>
      <c r="H487">
        <v>1284</v>
      </c>
      <c r="I487">
        <v>5532069</v>
      </c>
      <c r="J487">
        <v>20465</v>
      </c>
      <c r="K487">
        <v>74.56</v>
      </c>
      <c r="L487">
        <v>8.9</v>
      </c>
      <c r="M487">
        <v>-7.1</v>
      </c>
    </row>
    <row r="488" spans="1:13" x14ac:dyDescent="0.3">
      <c r="A488" s="1">
        <v>44914</v>
      </c>
      <c r="B488">
        <v>200</v>
      </c>
      <c r="C488">
        <v>204.25</v>
      </c>
      <c r="D488">
        <v>194.35</v>
      </c>
      <c r="E488">
        <v>198.75</v>
      </c>
      <c r="F488">
        <v>199.738908269051</v>
      </c>
      <c r="G488">
        <v>20353</v>
      </c>
      <c r="H488">
        <v>1145</v>
      </c>
      <c r="I488">
        <v>4065286</v>
      </c>
      <c r="J488">
        <v>12220</v>
      </c>
      <c r="K488">
        <v>60.04</v>
      </c>
      <c r="L488">
        <v>9.9</v>
      </c>
      <c r="M488">
        <v>-1.25</v>
      </c>
    </row>
    <row r="489" spans="1:13" x14ac:dyDescent="0.3">
      <c r="A489" s="1">
        <v>44915</v>
      </c>
      <c r="B489">
        <v>200.9</v>
      </c>
      <c r="C489">
        <v>200.9</v>
      </c>
      <c r="D489">
        <v>191.4</v>
      </c>
      <c r="E489">
        <v>196.05</v>
      </c>
      <c r="F489">
        <v>194.884139985107</v>
      </c>
      <c r="G489">
        <v>13430</v>
      </c>
      <c r="H489">
        <v>708</v>
      </c>
      <c r="I489">
        <v>2617294</v>
      </c>
      <c r="J489">
        <v>8982</v>
      </c>
      <c r="K489">
        <v>66.88</v>
      </c>
      <c r="L489">
        <v>9.5</v>
      </c>
      <c r="M489">
        <v>-4.8499999999999996</v>
      </c>
    </row>
    <row r="490" spans="1:13" x14ac:dyDescent="0.3">
      <c r="A490" s="1">
        <v>44916</v>
      </c>
      <c r="B490">
        <v>192.55</v>
      </c>
      <c r="C490">
        <v>200.9</v>
      </c>
      <c r="D490">
        <v>179.1</v>
      </c>
      <c r="E490">
        <v>180.9</v>
      </c>
      <c r="F490">
        <v>188.220564971751</v>
      </c>
      <c r="G490">
        <v>22125</v>
      </c>
      <c r="H490">
        <v>1079</v>
      </c>
      <c r="I490">
        <v>4164380</v>
      </c>
      <c r="J490">
        <v>14724</v>
      </c>
      <c r="K490">
        <v>66.55</v>
      </c>
      <c r="L490">
        <v>21.8</v>
      </c>
      <c r="M490">
        <v>-11.65</v>
      </c>
    </row>
    <row r="491" spans="1:13" x14ac:dyDescent="0.3">
      <c r="A491" s="1">
        <v>44917</v>
      </c>
      <c r="B491">
        <v>181.1</v>
      </c>
      <c r="C491">
        <v>186</v>
      </c>
      <c r="D491">
        <v>170.1</v>
      </c>
      <c r="E491">
        <v>173.1</v>
      </c>
      <c r="F491">
        <v>175.30810392170599</v>
      </c>
      <c r="G491">
        <v>14203</v>
      </c>
      <c r="H491">
        <v>897</v>
      </c>
      <c r="I491">
        <v>2489901</v>
      </c>
      <c r="J491">
        <v>10042</v>
      </c>
      <c r="K491">
        <v>70.7</v>
      </c>
      <c r="L491">
        <v>15.9</v>
      </c>
      <c r="M491">
        <v>-8</v>
      </c>
    </row>
    <row r="492" spans="1:13" x14ac:dyDescent="0.3">
      <c r="A492" s="1">
        <v>44918</v>
      </c>
      <c r="B492">
        <v>170</v>
      </c>
      <c r="C492">
        <v>181.55</v>
      </c>
      <c r="D492">
        <v>169</v>
      </c>
      <c r="E492">
        <v>170.3</v>
      </c>
      <c r="F492">
        <v>173.206564082586</v>
      </c>
      <c r="G492">
        <v>20536</v>
      </c>
      <c r="H492">
        <v>1068</v>
      </c>
      <c r="I492">
        <v>3556970</v>
      </c>
      <c r="J492">
        <v>14789</v>
      </c>
      <c r="K492">
        <v>72.010000000000005</v>
      </c>
      <c r="L492">
        <v>12.55</v>
      </c>
      <c r="M492">
        <v>0.3</v>
      </c>
    </row>
    <row r="493" spans="1:13" x14ac:dyDescent="0.3">
      <c r="A493" s="1">
        <v>44921</v>
      </c>
      <c r="B493">
        <v>173.6</v>
      </c>
      <c r="C493">
        <v>180.05</v>
      </c>
      <c r="D493">
        <v>172.4</v>
      </c>
      <c r="E493">
        <v>178.3</v>
      </c>
      <c r="F493">
        <v>176.497689243027</v>
      </c>
      <c r="G493">
        <v>12550</v>
      </c>
      <c r="H493">
        <v>592</v>
      </c>
      <c r="I493">
        <v>2215046</v>
      </c>
      <c r="J493">
        <v>8433</v>
      </c>
      <c r="K493">
        <v>67.2</v>
      </c>
      <c r="L493">
        <v>7.65</v>
      </c>
      <c r="M493">
        <v>4.7</v>
      </c>
    </row>
    <row r="494" spans="1:13" x14ac:dyDescent="0.3">
      <c r="A494" s="1">
        <v>44922</v>
      </c>
      <c r="B494">
        <v>181.6</v>
      </c>
      <c r="C494">
        <v>194.2</v>
      </c>
      <c r="D494">
        <v>177.15</v>
      </c>
      <c r="E494">
        <v>190.05</v>
      </c>
      <c r="F494">
        <v>186.88039488966299</v>
      </c>
      <c r="G494">
        <v>43050</v>
      </c>
      <c r="H494">
        <v>1539</v>
      </c>
      <c r="I494">
        <v>8045201</v>
      </c>
      <c r="J494">
        <v>20364</v>
      </c>
      <c r="K494">
        <v>47.3</v>
      </c>
      <c r="L494">
        <v>17.05</v>
      </c>
      <c r="M494">
        <v>8.4499999999999993</v>
      </c>
    </row>
    <row r="495" spans="1:13" x14ac:dyDescent="0.3">
      <c r="A495" s="1">
        <v>44923</v>
      </c>
      <c r="B495">
        <v>190.05</v>
      </c>
      <c r="C495">
        <v>192</v>
      </c>
      <c r="D495">
        <v>185.5</v>
      </c>
      <c r="E495">
        <v>187.5</v>
      </c>
      <c r="F495">
        <v>188.07538588754099</v>
      </c>
      <c r="G495">
        <v>14512</v>
      </c>
      <c r="H495">
        <v>559</v>
      </c>
      <c r="I495">
        <v>2729350</v>
      </c>
      <c r="J495">
        <v>9370</v>
      </c>
      <c r="K495">
        <v>64.569999999999993</v>
      </c>
      <c r="L495">
        <v>6.5</v>
      </c>
      <c r="M495">
        <v>-2.5499999999999998</v>
      </c>
    </row>
    <row r="496" spans="1:13" x14ac:dyDescent="0.3">
      <c r="A496" s="1">
        <v>44924</v>
      </c>
      <c r="B496">
        <v>191.95</v>
      </c>
      <c r="C496">
        <v>191.95</v>
      </c>
      <c r="D496">
        <v>183.05</v>
      </c>
      <c r="E496">
        <v>184.75</v>
      </c>
      <c r="F496">
        <v>186.28526645768</v>
      </c>
      <c r="G496">
        <v>5104</v>
      </c>
      <c r="H496">
        <v>397</v>
      </c>
      <c r="I496">
        <v>950800</v>
      </c>
      <c r="J496">
        <v>4461</v>
      </c>
      <c r="K496">
        <v>87.4</v>
      </c>
      <c r="L496">
        <v>8.9</v>
      </c>
      <c r="M496">
        <v>-7.2</v>
      </c>
    </row>
    <row r="497" spans="1:13" x14ac:dyDescent="0.3">
      <c r="A497" s="1">
        <v>44925</v>
      </c>
      <c r="B497">
        <v>187.95</v>
      </c>
      <c r="C497">
        <v>192.6</v>
      </c>
      <c r="D497">
        <v>184.95</v>
      </c>
      <c r="E497">
        <v>188.85</v>
      </c>
      <c r="F497">
        <v>189.11452491262199</v>
      </c>
      <c r="G497">
        <v>12303</v>
      </c>
      <c r="H497">
        <v>522</v>
      </c>
      <c r="I497">
        <v>2326676</v>
      </c>
      <c r="J497">
        <v>6450</v>
      </c>
      <c r="K497">
        <v>52.43</v>
      </c>
      <c r="L497">
        <v>7.65</v>
      </c>
      <c r="M497">
        <v>0.9</v>
      </c>
    </row>
    <row r="498" spans="1:13" x14ac:dyDescent="0.3">
      <c r="A498" s="1">
        <v>44928</v>
      </c>
      <c r="B498">
        <v>190.9</v>
      </c>
      <c r="C498">
        <v>214.2</v>
      </c>
      <c r="D498">
        <v>190.05</v>
      </c>
      <c r="E498">
        <v>210.45</v>
      </c>
      <c r="F498">
        <v>206.945993327525</v>
      </c>
      <c r="G498">
        <v>94118</v>
      </c>
      <c r="H498">
        <v>3681</v>
      </c>
      <c r="I498">
        <v>19477343</v>
      </c>
      <c r="J498">
        <v>47324</v>
      </c>
      <c r="K498">
        <v>50.28</v>
      </c>
      <c r="L498">
        <v>24.15</v>
      </c>
      <c r="M498">
        <v>19.55</v>
      </c>
    </row>
    <row r="499" spans="1:13" x14ac:dyDescent="0.3">
      <c r="A499" s="1">
        <v>44929</v>
      </c>
      <c r="B499">
        <v>215.45</v>
      </c>
      <c r="C499">
        <v>224.95</v>
      </c>
      <c r="D499">
        <v>214</v>
      </c>
      <c r="E499">
        <v>221.2</v>
      </c>
      <c r="F499">
        <v>220.21979102242699</v>
      </c>
      <c r="G499">
        <v>153605</v>
      </c>
      <c r="H499">
        <v>5141</v>
      </c>
      <c r="I499">
        <v>33826861</v>
      </c>
      <c r="J499">
        <v>42920</v>
      </c>
      <c r="K499">
        <v>27.94</v>
      </c>
      <c r="L499">
        <v>10.95</v>
      </c>
      <c r="M499">
        <v>5.75</v>
      </c>
    </row>
    <row r="500" spans="1:13" x14ac:dyDescent="0.3">
      <c r="A500" s="1">
        <v>44930</v>
      </c>
      <c r="B500">
        <v>225.55</v>
      </c>
      <c r="C500">
        <v>225.55</v>
      </c>
      <c r="D500">
        <v>214</v>
      </c>
      <c r="E500">
        <v>215.35</v>
      </c>
      <c r="F500">
        <v>219.21705679549899</v>
      </c>
      <c r="G500">
        <v>55110</v>
      </c>
      <c r="H500">
        <v>2073</v>
      </c>
      <c r="I500">
        <v>12081052</v>
      </c>
      <c r="J500">
        <v>26320</v>
      </c>
      <c r="K500">
        <v>47.76</v>
      </c>
      <c r="L500">
        <v>11.55</v>
      </c>
      <c r="M500">
        <v>-10.199999999999999</v>
      </c>
    </row>
    <row r="501" spans="1:13" x14ac:dyDescent="0.3">
      <c r="A501" s="1">
        <v>44931</v>
      </c>
      <c r="B501">
        <v>222.8</v>
      </c>
      <c r="C501">
        <v>223</v>
      </c>
      <c r="D501">
        <v>206.7</v>
      </c>
      <c r="E501">
        <v>210.75</v>
      </c>
      <c r="F501">
        <v>212.47529075099899</v>
      </c>
      <c r="G501">
        <v>27257</v>
      </c>
      <c r="H501">
        <v>1678</v>
      </c>
      <c r="I501">
        <v>5791439</v>
      </c>
      <c r="J501">
        <v>13511</v>
      </c>
      <c r="K501">
        <v>49.57</v>
      </c>
      <c r="L501">
        <v>16.3</v>
      </c>
      <c r="M501">
        <v>-12.05</v>
      </c>
    </row>
    <row r="502" spans="1:13" x14ac:dyDescent="0.3">
      <c r="A502" s="1">
        <v>44932</v>
      </c>
      <c r="B502">
        <v>207.35</v>
      </c>
      <c r="C502">
        <v>220</v>
      </c>
      <c r="D502">
        <v>207.35</v>
      </c>
      <c r="E502">
        <v>212.8</v>
      </c>
      <c r="F502">
        <v>213.23868173512801</v>
      </c>
      <c r="G502">
        <v>29554</v>
      </c>
      <c r="H502">
        <v>1439</v>
      </c>
      <c r="I502">
        <v>6302056</v>
      </c>
      <c r="J502">
        <v>17256</v>
      </c>
      <c r="K502">
        <v>58.39</v>
      </c>
      <c r="L502">
        <v>12.65</v>
      </c>
      <c r="M502">
        <v>5.45</v>
      </c>
    </row>
    <row r="503" spans="1:13" x14ac:dyDescent="0.3">
      <c r="A503" s="1">
        <v>44935</v>
      </c>
      <c r="B503">
        <v>221.8</v>
      </c>
      <c r="C503">
        <v>221.8</v>
      </c>
      <c r="D503">
        <v>205</v>
      </c>
      <c r="E503">
        <v>205.9</v>
      </c>
      <c r="F503">
        <v>209.135819147978</v>
      </c>
      <c r="G503">
        <v>11103</v>
      </c>
      <c r="H503">
        <v>950</v>
      </c>
      <c r="I503">
        <v>2322035</v>
      </c>
      <c r="J503">
        <v>6697</v>
      </c>
      <c r="K503">
        <v>60.32</v>
      </c>
      <c r="L503">
        <v>16.8</v>
      </c>
      <c r="M503">
        <v>-15.9</v>
      </c>
    </row>
    <row r="504" spans="1:13" x14ac:dyDescent="0.3">
      <c r="A504" s="1">
        <v>44936</v>
      </c>
      <c r="B504">
        <v>203.15</v>
      </c>
      <c r="C504">
        <v>207.55</v>
      </c>
      <c r="D504">
        <v>196.95</v>
      </c>
      <c r="E504">
        <v>203.7</v>
      </c>
      <c r="F504">
        <v>202.40136436250501</v>
      </c>
      <c r="G504">
        <v>23161</v>
      </c>
      <c r="H504">
        <v>1321</v>
      </c>
      <c r="I504">
        <v>4687818</v>
      </c>
      <c r="J504">
        <v>12530</v>
      </c>
      <c r="K504">
        <v>54.1</v>
      </c>
      <c r="L504">
        <v>10.6</v>
      </c>
      <c r="M504">
        <v>0.55000000000000004</v>
      </c>
    </row>
    <row r="505" spans="1:13" x14ac:dyDescent="0.3">
      <c r="A505" s="1">
        <v>44937</v>
      </c>
      <c r="B505">
        <v>200.35</v>
      </c>
      <c r="C505">
        <v>206.9</v>
      </c>
      <c r="D505">
        <v>198.65</v>
      </c>
      <c r="E505">
        <v>202.15</v>
      </c>
      <c r="F505">
        <v>202.60776021567901</v>
      </c>
      <c r="G505">
        <v>18917</v>
      </c>
      <c r="H505">
        <v>1140</v>
      </c>
      <c r="I505">
        <v>3832731</v>
      </c>
      <c r="J505">
        <v>11325</v>
      </c>
      <c r="K505">
        <v>59.87</v>
      </c>
      <c r="L505">
        <v>8.25</v>
      </c>
      <c r="M505">
        <v>1.8</v>
      </c>
    </row>
    <row r="506" spans="1:13" x14ac:dyDescent="0.3">
      <c r="A506" s="1">
        <v>44938</v>
      </c>
      <c r="B506">
        <v>198.05</v>
      </c>
      <c r="C506">
        <v>204.95</v>
      </c>
      <c r="D506">
        <v>198.05</v>
      </c>
      <c r="E506">
        <v>203.55</v>
      </c>
      <c r="F506">
        <v>203.21393369175601</v>
      </c>
      <c r="G506">
        <v>8928</v>
      </c>
      <c r="H506">
        <v>499</v>
      </c>
      <c r="I506">
        <v>1814294</v>
      </c>
      <c r="J506">
        <v>5117</v>
      </c>
      <c r="K506">
        <v>57.31</v>
      </c>
      <c r="L506">
        <v>6.9</v>
      </c>
      <c r="M506">
        <v>5.5</v>
      </c>
    </row>
    <row r="507" spans="1:13" x14ac:dyDescent="0.3">
      <c r="A507" s="1">
        <v>44939</v>
      </c>
      <c r="B507">
        <v>207</v>
      </c>
      <c r="C507">
        <v>207</v>
      </c>
      <c r="D507">
        <v>199.6</v>
      </c>
      <c r="E507">
        <v>203.5</v>
      </c>
      <c r="F507">
        <v>202.48936170212701</v>
      </c>
      <c r="G507">
        <v>6674</v>
      </c>
      <c r="H507">
        <v>552</v>
      </c>
      <c r="I507">
        <v>1351414</v>
      </c>
      <c r="J507">
        <v>3106</v>
      </c>
      <c r="K507">
        <v>46.54</v>
      </c>
      <c r="L507">
        <v>7.4</v>
      </c>
      <c r="M507">
        <v>-3.5</v>
      </c>
    </row>
    <row r="508" spans="1:13" x14ac:dyDescent="0.3">
      <c r="A508" s="1">
        <v>44942</v>
      </c>
      <c r="B508">
        <v>203</v>
      </c>
      <c r="C508">
        <v>205</v>
      </c>
      <c r="D508">
        <v>201.05</v>
      </c>
      <c r="E508">
        <v>201.9</v>
      </c>
      <c r="F508">
        <v>202.75980921526201</v>
      </c>
      <c r="G508">
        <v>11112</v>
      </c>
      <c r="H508">
        <v>475</v>
      </c>
      <c r="I508">
        <v>2253067</v>
      </c>
      <c r="J508">
        <v>9440</v>
      </c>
      <c r="K508">
        <v>84.95</v>
      </c>
      <c r="L508">
        <v>3.95</v>
      </c>
      <c r="M508">
        <v>-1.1000000000000001</v>
      </c>
    </row>
    <row r="509" spans="1:13" x14ac:dyDescent="0.3">
      <c r="A509" s="1">
        <v>44943</v>
      </c>
      <c r="B509">
        <v>203.65</v>
      </c>
      <c r="C509">
        <v>206.95</v>
      </c>
      <c r="D509">
        <v>201.5</v>
      </c>
      <c r="E509">
        <v>202.75</v>
      </c>
      <c r="F509">
        <v>203.34968523577601</v>
      </c>
      <c r="G509">
        <v>8419</v>
      </c>
      <c r="H509">
        <v>464</v>
      </c>
      <c r="I509">
        <v>1712001</v>
      </c>
      <c r="J509">
        <v>4964</v>
      </c>
      <c r="K509">
        <v>58.96</v>
      </c>
      <c r="L509">
        <v>5.45</v>
      </c>
      <c r="M509">
        <v>-0.9</v>
      </c>
    </row>
    <row r="510" spans="1:13" x14ac:dyDescent="0.3">
      <c r="A510" s="1">
        <v>44944</v>
      </c>
      <c r="B510">
        <v>210</v>
      </c>
      <c r="C510">
        <v>221.95</v>
      </c>
      <c r="D510">
        <v>202.25</v>
      </c>
      <c r="E510">
        <v>204.4</v>
      </c>
      <c r="F510">
        <v>213.276170366565</v>
      </c>
      <c r="G510">
        <v>52569</v>
      </c>
      <c r="H510">
        <v>2276</v>
      </c>
      <c r="I510">
        <v>11211715</v>
      </c>
      <c r="J510">
        <v>20577</v>
      </c>
      <c r="K510">
        <v>39.14</v>
      </c>
      <c r="L510">
        <v>19.7</v>
      </c>
      <c r="M510">
        <v>-5.6</v>
      </c>
    </row>
    <row r="511" spans="1:13" x14ac:dyDescent="0.3">
      <c r="A511" s="1">
        <v>44945</v>
      </c>
      <c r="B511">
        <v>204.4</v>
      </c>
      <c r="C511">
        <v>207.9</v>
      </c>
      <c r="D511">
        <v>200.35</v>
      </c>
      <c r="E511">
        <v>201.6</v>
      </c>
      <c r="F511">
        <v>203.274115352465</v>
      </c>
      <c r="G511">
        <v>17945</v>
      </c>
      <c r="H511">
        <v>1006</v>
      </c>
      <c r="I511">
        <v>3647754</v>
      </c>
      <c r="J511">
        <v>11606</v>
      </c>
      <c r="K511">
        <v>64.680000000000007</v>
      </c>
      <c r="L511">
        <v>7.55</v>
      </c>
      <c r="M511">
        <v>-2.8</v>
      </c>
    </row>
    <row r="512" spans="1:13" x14ac:dyDescent="0.3">
      <c r="A512" s="1">
        <v>44946</v>
      </c>
      <c r="B512">
        <v>201.35</v>
      </c>
      <c r="C512">
        <v>216.5</v>
      </c>
      <c r="D512">
        <v>201.35</v>
      </c>
      <c r="E512">
        <v>214.05</v>
      </c>
      <c r="F512">
        <v>211.84486238532099</v>
      </c>
      <c r="G512">
        <v>43600</v>
      </c>
      <c r="H512">
        <v>1726</v>
      </c>
      <c r="I512">
        <v>9236436</v>
      </c>
      <c r="J512">
        <v>22650</v>
      </c>
      <c r="K512">
        <v>51.95</v>
      </c>
      <c r="L512">
        <v>15.15</v>
      </c>
      <c r="M512">
        <v>12.7</v>
      </c>
    </row>
    <row r="513" spans="1:13" x14ac:dyDescent="0.3">
      <c r="A513" s="1">
        <v>44949</v>
      </c>
      <c r="B513">
        <v>217</v>
      </c>
      <c r="C513">
        <v>219.85</v>
      </c>
      <c r="D513">
        <v>204.55</v>
      </c>
      <c r="E513">
        <v>207.3</v>
      </c>
      <c r="F513">
        <v>212.727967421248</v>
      </c>
      <c r="G513">
        <v>41745</v>
      </c>
      <c r="H513">
        <v>1625</v>
      </c>
      <c r="I513">
        <v>8880329</v>
      </c>
      <c r="J513">
        <v>17853</v>
      </c>
      <c r="K513">
        <v>42.77</v>
      </c>
      <c r="L513">
        <v>15.3</v>
      </c>
      <c r="M513">
        <v>-9.6999999999999993</v>
      </c>
    </row>
    <row r="514" spans="1:13" x14ac:dyDescent="0.3">
      <c r="A514" s="1">
        <v>44950</v>
      </c>
      <c r="B514">
        <v>207.95</v>
      </c>
      <c r="C514">
        <v>210.75</v>
      </c>
      <c r="D514">
        <v>203.3</v>
      </c>
      <c r="E514">
        <v>204.4</v>
      </c>
      <c r="F514">
        <v>205.678656514224</v>
      </c>
      <c r="G514">
        <v>21407</v>
      </c>
      <c r="H514">
        <v>772</v>
      </c>
      <c r="I514">
        <v>4402963</v>
      </c>
      <c r="J514">
        <v>13063</v>
      </c>
      <c r="K514">
        <v>61.02</v>
      </c>
      <c r="L514">
        <v>7.45</v>
      </c>
      <c r="M514">
        <v>-3.55</v>
      </c>
    </row>
    <row r="515" spans="1:13" x14ac:dyDescent="0.3">
      <c r="A515" s="1">
        <v>44951</v>
      </c>
      <c r="B515">
        <v>205.45</v>
      </c>
      <c r="C515">
        <v>209</v>
      </c>
      <c r="D515">
        <v>199.5</v>
      </c>
      <c r="E515">
        <v>206.9</v>
      </c>
      <c r="F515">
        <v>203.52125489146701</v>
      </c>
      <c r="G515">
        <v>29899</v>
      </c>
      <c r="H515">
        <v>1210</v>
      </c>
      <c r="I515">
        <v>6085082</v>
      </c>
      <c r="J515">
        <v>16170</v>
      </c>
      <c r="K515">
        <v>54.08</v>
      </c>
      <c r="L515">
        <v>9.5</v>
      </c>
      <c r="M515">
        <v>1.45</v>
      </c>
    </row>
    <row r="516" spans="1:13" x14ac:dyDescent="0.3">
      <c r="A516" s="1">
        <v>44953</v>
      </c>
      <c r="B516">
        <v>210.7</v>
      </c>
      <c r="C516">
        <v>210.7</v>
      </c>
      <c r="D516">
        <v>198.95</v>
      </c>
      <c r="E516">
        <v>202.35</v>
      </c>
      <c r="F516">
        <v>201.76571187868501</v>
      </c>
      <c r="G516">
        <v>11870</v>
      </c>
      <c r="H516">
        <v>710</v>
      </c>
      <c r="I516">
        <v>2394959</v>
      </c>
      <c r="J516">
        <v>6457</v>
      </c>
      <c r="K516">
        <v>54.4</v>
      </c>
      <c r="L516">
        <v>11.75</v>
      </c>
      <c r="M516">
        <v>-8.35</v>
      </c>
    </row>
    <row r="517" spans="1:13" x14ac:dyDescent="0.3">
      <c r="A517" s="1">
        <v>44956</v>
      </c>
      <c r="B517">
        <v>201.3</v>
      </c>
      <c r="C517">
        <v>203.95</v>
      </c>
      <c r="D517">
        <v>196.25</v>
      </c>
      <c r="E517">
        <v>197.65</v>
      </c>
      <c r="F517">
        <v>200.49444501070201</v>
      </c>
      <c r="G517">
        <v>9811</v>
      </c>
      <c r="H517">
        <v>585</v>
      </c>
      <c r="I517">
        <v>1967051</v>
      </c>
      <c r="J517">
        <v>4985</v>
      </c>
      <c r="K517">
        <v>50.81</v>
      </c>
      <c r="L517">
        <v>7.7</v>
      </c>
      <c r="M517">
        <v>-3.65</v>
      </c>
    </row>
    <row r="518" spans="1:13" x14ac:dyDescent="0.3">
      <c r="A518" s="1">
        <v>44957</v>
      </c>
      <c r="B518">
        <v>208</v>
      </c>
      <c r="C518">
        <v>208</v>
      </c>
      <c r="D518">
        <v>197.05</v>
      </c>
      <c r="E518">
        <v>206.75</v>
      </c>
      <c r="F518">
        <v>202.69644636333399</v>
      </c>
      <c r="G518">
        <v>9033</v>
      </c>
      <c r="H518">
        <v>544</v>
      </c>
      <c r="I518">
        <v>1830957</v>
      </c>
      <c r="J518">
        <v>5471</v>
      </c>
      <c r="K518">
        <v>60.57</v>
      </c>
      <c r="L518">
        <v>10.95</v>
      </c>
      <c r="M518">
        <v>-1.25</v>
      </c>
    </row>
    <row r="519" spans="1:13" x14ac:dyDescent="0.3">
      <c r="A519" s="1">
        <v>44958</v>
      </c>
      <c r="B519">
        <v>210.5</v>
      </c>
      <c r="C519">
        <v>210.8</v>
      </c>
      <c r="D519">
        <v>189.95</v>
      </c>
      <c r="E519">
        <v>196.7</v>
      </c>
      <c r="F519">
        <v>203.24853623120501</v>
      </c>
      <c r="G519">
        <v>21349</v>
      </c>
      <c r="H519">
        <v>1055</v>
      </c>
      <c r="I519">
        <v>4339153</v>
      </c>
      <c r="J519">
        <v>13292</v>
      </c>
      <c r="K519">
        <v>62.26</v>
      </c>
      <c r="L519">
        <v>20.85</v>
      </c>
      <c r="M519">
        <v>-13.8</v>
      </c>
    </row>
    <row r="520" spans="1:13" x14ac:dyDescent="0.3">
      <c r="A520" s="1">
        <v>44959</v>
      </c>
      <c r="B520">
        <v>197.5</v>
      </c>
      <c r="C520">
        <v>215</v>
      </c>
      <c r="D520">
        <v>196.75</v>
      </c>
      <c r="E520">
        <v>212.3</v>
      </c>
      <c r="F520">
        <v>208.84407533044799</v>
      </c>
      <c r="G520">
        <v>17098</v>
      </c>
      <c r="H520">
        <v>864</v>
      </c>
      <c r="I520">
        <v>3570816</v>
      </c>
      <c r="J520">
        <v>9447</v>
      </c>
      <c r="K520">
        <v>55.25</v>
      </c>
      <c r="L520">
        <v>18.25</v>
      </c>
      <c r="M520">
        <v>14.8</v>
      </c>
    </row>
    <row r="521" spans="1:13" x14ac:dyDescent="0.3">
      <c r="A521" s="1">
        <v>44960</v>
      </c>
      <c r="B521">
        <v>217.8</v>
      </c>
      <c r="C521">
        <v>217.8</v>
      </c>
      <c r="D521">
        <v>205.25</v>
      </c>
      <c r="E521">
        <v>207.55</v>
      </c>
      <c r="F521">
        <v>208.784747847478</v>
      </c>
      <c r="G521">
        <v>14634</v>
      </c>
      <c r="H521">
        <v>840</v>
      </c>
      <c r="I521">
        <v>3055356</v>
      </c>
      <c r="J521">
        <v>8520</v>
      </c>
      <c r="K521">
        <v>58.22</v>
      </c>
      <c r="L521">
        <v>12.55</v>
      </c>
      <c r="M521">
        <v>-10.25</v>
      </c>
    </row>
    <row r="522" spans="1:13" x14ac:dyDescent="0.3">
      <c r="A522" s="1">
        <v>44963</v>
      </c>
      <c r="B522">
        <v>214.9</v>
      </c>
      <c r="C522">
        <v>214.9</v>
      </c>
      <c r="D522">
        <v>202</v>
      </c>
      <c r="E522">
        <v>203.5</v>
      </c>
      <c r="F522">
        <v>206.52869471413101</v>
      </c>
      <c r="G522">
        <v>18540</v>
      </c>
      <c r="H522">
        <v>770</v>
      </c>
      <c r="I522">
        <v>3829042</v>
      </c>
      <c r="J522">
        <v>12332</v>
      </c>
      <c r="K522">
        <v>66.52</v>
      </c>
      <c r="L522">
        <v>12.9</v>
      </c>
      <c r="M522">
        <v>-11.4</v>
      </c>
    </row>
    <row r="523" spans="1:13" x14ac:dyDescent="0.3">
      <c r="A523" s="1">
        <v>44964</v>
      </c>
      <c r="B523">
        <v>205.3</v>
      </c>
      <c r="C523">
        <v>208</v>
      </c>
      <c r="D523">
        <v>201</v>
      </c>
      <c r="E523">
        <v>201.6</v>
      </c>
      <c r="F523">
        <v>203.15185524507501</v>
      </c>
      <c r="G523">
        <v>13098</v>
      </c>
      <c r="H523">
        <v>606</v>
      </c>
      <c r="I523">
        <v>2660883</v>
      </c>
      <c r="J523">
        <v>5931</v>
      </c>
      <c r="K523">
        <v>45.28</v>
      </c>
      <c r="L523">
        <v>7</v>
      </c>
      <c r="M523">
        <v>-3.7</v>
      </c>
    </row>
    <row r="524" spans="1:13" x14ac:dyDescent="0.3">
      <c r="A524" s="1">
        <v>44965</v>
      </c>
      <c r="B524">
        <v>189.55</v>
      </c>
      <c r="C524">
        <v>189.55</v>
      </c>
      <c r="D524">
        <v>166.65</v>
      </c>
      <c r="E524">
        <v>179.95</v>
      </c>
      <c r="F524">
        <v>173.983382599664</v>
      </c>
      <c r="G524">
        <v>212789</v>
      </c>
      <c r="H524">
        <v>7218</v>
      </c>
      <c r="I524">
        <v>37021750</v>
      </c>
      <c r="J524">
        <v>119398</v>
      </c>
      <c r="K524">
        <v>56.11</v>
      </c>
      <c r="L524">
        <v>22.9</v>
      </c>
      <c r="M524">
        <v>-9.6</v>
      </c>
    </row>
    <row r="525" spans="1:13" x14ac:dyDescent="0.3">
      <c r="A525" s="1">
        <v>44966</v>
      </c>
      <c r="B525">
        <v>182.95</v>
      </c>
      <c r="C525">
        <v>184.75</v>
      </c>
      <c r="D525">
        <v>173.05</v>
      </c>
      <c r="E525">
        <v>178.9</v>
      </c>
      <c r="F525">
        <v>178.07613422818699</v>
      </c>
      <c r="G525">
        <v>37250</v>
      </c>
      <c r="H525">
        <v>1759</v>
      </c>
      <c r="I525">
        <v>6633336</v>
      </c>
      <c r="J525">
        <v>17132</v>
      </c>
      <c r="K525">
        <v>45.99</v>
      </c>
      <c r="L525">
        <v>11.7</v>
      </c>
      <c r="M525">
        <v>-4.05</v>
      </c>
    </row>
    <row r="526" spans="1:13" x14ac:dyDescent="0.3">
      <c r="A526" s="1">
        <v>44967</v>
      </c>
      <c r="B526">
        <v>177</v>
      </c>
      <c r="C526">
        <v>181.8</v>
      </c>
      <c r="D526">
        <v>177</v>
      </c>
      <c r="E526">
        <v>177.85</v>
      </c>
      <c r="F526">
        <v>178.692553191489</v>
      </c>
      <c r="G526">
        <v>15980</v>
      </c>
      <c r="H526">
        <v>796</v>
      </c>
      <c r="I526">
        <v>2855507</v>
      </c>
      <c r="J526">
        <v>11082</v>
      </c>
      <c r="K526">
        <v>69.349999999999994</v>
      </c>
      <c r="L526">
        <v>4.8</v>
      </c>
      <c r="M526">
        <v>0.85</v>
      </c>
    </row>
    <row r="527" spans="1:13" x14ac:dyDescent="0.3">
      <c r="A527" s="1">
        <v>44970</v>
      </c>
      <c r="B527">
        <v>182.2</v>
      </c>
      <c r="C527">
        <v>183</v>
      </c>
      <c r="D527">
        <v>160.9</v>
      </c>
      <c r="E527">
        <v>163.05000000000001</v>
      </c>
      <c r="F527">
        <v>167.845714698655</v>
      </c>
      <c r="G527">
        <v>41514</v>
      </c>
      <c r="H527">
        <v>2209</v>
      </c>
      <c r="I527">
        <v>6967947</v>
      </c>
      <c r="J527">
        <v>25724</v>
      </c>
      <c r="K527">
        <v>61.96</v>
      </c>
      <c r="L527">
        <v>22.1</v>
      </c>
      <c r="M527">
        <v>-19.149999999999999</v>
      </c>
    </row>
    <row r="528" spans="1:13" x14ac:dyDescent="0.3">
      <c r="A528" s="1">
        <v>44971</v>
      </c>
      <c r="B528">
        <v>166.6</v>
      </c>
      <c r="C528">
        <v>175.8</v>
      </c>
      <c r="D528">
        <v>161.35</v>
      </c>
      <c r="E528">
        <v>167.1</v>
      </c>
      <c r="F528">
        <v>169.63328006056199</v>
      </c>
      <c r="G528">
        <v>47554</v>
      </c>
      <c r="H528">
        <v>1972</v>
      </c>
      <c r="I528">
        <v>8066741</v>
      </c>
      <c r="J528">
        <v>17047</v>
      </c>
      <c r="K528">
        <v>35.85</v>
      </c>
      <c r="L528">
        <v>14.45</v>
      </c>
      <c r="M528">
        <v>0.5</v>
      </c>
    </row>
    <row r="529" spans="1:13" x14ac:dyDescent="0.3">
      <c r="A529" s="1">
        <v>44972</v>
      </c>
      <c r="B529">
        <v>168.2</v>
      </c>
      <c r="C529">
        <v>171.95</v>
      </c>
      <c r="D529">
        <v>166.1</v>
      </c>
      <c r="E529">
        <v>168.75</v>
      </c>
      <c r="F529">
        <v>169.745754880443</v>
      </c>
      <c r="G529">
        <v>17314</v>
      </c>
      <c r="H529">
        <v>786</v>
      </c>
      <c r="I529">
        <v>2938978</v>
      </c>
      <c r="J529">
        <v>9146</v>
      </c>
      <c r="K529">
        <v>52.82</v>
      </c>
      <c r="L529">
        <v>5.85</v>
      </c>
      <c r="M529">
        <v>0.55000000000000004</v>
      </c>
    </row>
    <row r="530" spans="1:13" x14ac:dyDescent="0.3">
      <c r="A530" s="1">
        <v>44973</v>
      </c>
      <c r="B530">
        <v>170.05</v>
      </c>
      <c r="C530">
        <v>172</v>
      </c>
      <c r="D530">
        <v>167.9</v>
      </c>
      <c r="E530">
        <v>170.05</v>
      </c>
      <c r="F530">
        <v>170.63423806409401</v>
      </c>
      <c r="G530">
        <v>6116</v>
      </c>
      <c r="H530">
        <v>439</v>
      </c>
      <c r="I530">
        <v>1043599</v>
      </c>
      <c r="J530">
        <v>3785</v>
      </c>
      <c r="K530">
        <v>61.89</v>
      </c>
      <c r="L530">
        <v>4.0999999999999996</v>
      </c>
      <c r="M530">
        <v>0</v>
      </c>
    </row>
    <row r="531" spans="1:13" x14ac:dyDescent="0.3">
      <c r="A531" s="1">
        <v>44974</v>
      </c>
      <c r="B531">
        <v>171.5</v>
      </c>
      <c r="C531">
        <v>173.9</v>
      </c>
      <c r="D531">
        <v>166.8</v>
      </c>
      <c r="E531">
        <v>171.85</v>
      </c>
      <c r="F531">
        <v>169.87489102005199</v>
      </c>
      <c r="G531">
        <v>11470</v>
      </c>
      <c r="H531">
        <v>687</v>
      </c>
      <c r="I531">
        <v>1948465</v>
      </c>
      <c r="J531">
        <v>5810</v>
      </c>
      <c r="K531">
        <v>50.65</v>
      </c>
      <c r="L531">
        <v>7.1</v>
      </c>
      <c r="M531">
        <v>0.35</v>
      </c>
    </row>
    <row r="532" spans="1:13" x14ac:dyDescent="0.3">
      <c r="A532" s="1">
        <v>44977</v>
      </c>
      <c r="B532">
        <v>172</v>
      </c>
      <c r="C532">
        <v>173.95</v>
      </c>
      <c r="D532">
        <v>170.1</v>
      </c>
      <c r="E532">
        <v>171.85</v>
      </c>
      <c r="F532">
        <v>172.73013033478099</v>
      </c>
      <c r="G532">
        <v>3913</v>
      </c>
      <c r="H532">
        <v>299</v>
      </c>
      <c r="I532">
        <v>675893</v>
      </c>
      <c r="J532">
        <v>2091</v>
      </c>
      <c r="K532">
        <v>53.44</v>
      </c>
      <c r="L532">
        <v>3.85</v>
      </c>
      <c r="M532">
        <v>-0.15</v>
      </c>
    </row>
    <row r="533" spans="1:13" x14ac:dyDescent="0.3">
      <c r="A533" s="1">
        <v>44978</v>
      </c>
      <c r="B533">
        <v>170</v>
      </c>
      <c r="C533">
        <v>173.5</v>
      </c>
      <c r="D533">
        <v>170</v>
      </c>
      <c r="E533">
        <v>172.25</v>
      </c>
      <c r="F533">
        <v>171.99832682654699</v>
      </c>
      <c r="G533">
        <v>7172</v>
      </c>
      <c r="H533">
        <v>475</v>
      </c>
      <c r="I533">
        <v>1233572</v>
      </c>
      <c r="J533">
        <v>5194</v>
      </c>
      <c r="K533">
        <v>72.42</v>
      </c>
      <c r="L533">
        <v>3.5</v>
      </c>
      <c r="M533">
        <v>2.25</v>
      </c>
    </row>
    <row r="534" spans="1:13" x14ac:dyDescent="0.3">
      <c r="A534" s="1">
        <v>44979</v>
      </c>
      <c r="B534">
        <v>172</v>
      </c>
      <c r="C534">
        <v>172.75</v>
      </c>
      <c r="D534">
        <v>169.55</v>
      </c>
      <c r="E534">
        <v>170.95</v>
      </c>
      <c r="F534">
        <v>170.577477477477</v>
      </c>
      <c r="G534">
        <v>3330</v>
      </c>
      <c r="H534">
        <v>180</v>
      </c>
      <c r="I534">
        <v>568023</v>
      </c>
      <c r="J534">
        <v>2945</v>
      </c>
      <c r="K534">
        <v>88.44</v>
      </c>
      <c r="L534">
        <v>3.2</v>
      </c>
      <c r="M534">
        <v>-1.05</v>
      </c>
    </row>
    <row r="535" spans="1:13" x14ac:dyDescent="0.3">
      <c r="A535" s="1">
        <v>44980</v>
      </c>
      <c r="B535">
        <v>171</v>
      </c>
      <c r="C535">
        <v>172.75</v>
      </c>
      <c r="D535">
        <v>169.4</v>
      </c>
      <c r="E535">
        <v>170.15</v>
      </c>
      <c r="F535">
        <v>171.004872456291</v>
      </c>
      <c r="G535">
        <v>6978</v>
      </c>
      <c r="H535">
        <v>338</v>
      </c>
      <c r="I535">
        <v>1193272</v>
      </c>
      <c r="J535">
        <v>4284</v>
      </c>
      <c r="K535">
        <v>61.39</v>
      </c>
      <c r="L535">
        <v>3.35</v>
      </c>
      <c r="M535">
        <v>-0.85</v>
      </c>
    </row>
    <row r="536" spans="1:13" x14ac:dyDescent="0.3">
      <c r="A536" s="1">
        <v>44981</v>
      </c>
      <c r="B536">
        <v>173.55</v>
      </c>
      <c r="C536">
        <v>173.55</v>
      </c>
      <c r="D536">
        <v>166</v>
      </c>
      <c r="E536">
        <v>167.8</v>
      </c>
      <c r="F536">
        <v>168.08070175438499</v>
      </c>
      <c r="G536">
        <v>5700</v>
      </c>
      <c r="H536">
        <v>291</v>
      </c>
      <c r="I536">
        <v>958060</v>
      </c>
      <c r="J536">
        <v>3477</v>
      </c>
      <c r="K536">
        <v>61</v>
      </c>
      <c r="L536">
        <v>7.55</v>
      </c>
      <c r="M536">
        <v>-5.75</v>
      </c>
    </row>
    <row r="537" spans="1:13" x14ac:dyDescent="0.3">
      <c r="A537" s="1">
        <v>44984</v>
      </c>
      <c r="B537">
        <v>166</v>
      </c>
      <c r="C537">
        <v>168</v>
      </c>
      <c r="D537">
        <v>163.19999999999999</v>
      </c>
      <c r="E537">
        <v>165.65</v>
      </c>
      <c r="F537">
        <v>165.75662129065299</v>
      </c>
      <c r="G537">
        <v>17557</v>
      </c>
      <c r="H537">
        <v>545</v>
      </c>
      <c r="I537">
        <v>2910189</v>
      </c>
      <c r="J537">
        <v>13394</v>
      </c>
      <c r="K537">
        <v>76.290000000000006</v>
      </c>
      <c r="L537">
        <v>4.8</v>
      </c>
      <c r="M537">
        <v>-0.35</v>
      </c>
    </row>
    <row r="538" spans="1:13" x14ac:dyDescent="0.3">
      <c r="A538" s="1">
        <v>44985</v>
      </c>
      <c r="B538">
        <v>162.05000000000001</v>
      </c>
      <c r="C538">
        <v>167.95</v>
      </c>
      <c r="D538">
        <v>161.05000000000001</v>
      </c>
      <c r="E538">
        <v>164.55</v>
      </c>
      <c r="F538">
        <v>163.382863896001</v>
      </c>
      <c r="G538">
        <v>25385</v>
      </c>
      <c r="H538">
        <v>710</v>
      </c>
      <c r="I538">
        <v>4147474</v>
      </c>
      <c r="J538">
        <v>22123</v>
      </c>
      <c r="K538">
        <v>87.15</v>
      </c>
      <c r="L538">
        <v>6.9</v>
      </c>
      <c r="M538">
        <v>2.5</v>
      </c>
    </row>
    <row r="539" spans="1:13" x14ac:dyDescent="0.3">
      <c r="A539" s="1">
        <v>44986</v>
      </c>
      <c r="B539">
        <v>160.1</v>
      </c>
      <c r="C539">
        <v>169.45</v>
      </c>
      <c r="D539">
        <v>160.1</v>
      </c>
      <c r="E539">
        <v>166.65</v>
      </c>
      <c r="F539">
        <v>166.34933649800399</v>
      </c>
      <c r="G539">
        <v>9269</v>
      </c>
      <c r="H539">
        <v>339</v>
      </c>
      <c r="I539">
        <v>1541892</v>
      </c>
      <c r="J539">
        <v>6321</v>
      </c>
      <c r="K539">
        <v>68.2</v>
      </c>
      <c r="L539">
        <v>9.35</v>
      </c>
      <c r="M539">
        <v>6.55</v>
      </c>
    </row>
    <row r="540" spans="1:13" x14ac:dyDescent="0.3">
      <c r="A540" s="1">
        <v>44987</v>
      </c>
      <c r="B540">
        <v>171</v>
      </c>
      <c r="C540">
        <v>179.05</v>
      </c>
      <c r="D540">
        <v>168.8</v>
      </c>
      <c r="E540">
        <v>169.05</v>
      </c>
      <c r="F540">
        <v>172.227440828402</v>
      </c>
      <c r="G540">
        <v>5408</v>
      </c>
      <c r="H540">
        <v>184</v>
      </c>
      <c r="I540">
        <v>931406</v>
      </c>
      <c r="J540">
        <v>4428</v>
      </c>
      <c r="K540">
        <v>81.88</v>
      </c>
      <c r="L540">
        <v>10.25</v>
      </c>
      <c r="M540">
        <v>-1.95</v>
      </c>
    </row>
    <row r="541" spans="1:13" x14ac:dyDescent="0.3">
      <c r="A541" s="1">
        <v>44988</v>
      </c>
      <c r="B541">
        <v>171</v>
      </c>
      <c r="C541">
        <v>171.7</v>
      </c>
      <c r="D541">
        <v>166.85</v>
      </c>
      <c r="E541">
        <v>169.8</v>
      </c>
      <c r="F541">
        <v>169.56248825408699</v>
      </c>
      <c r="G541">
        <v>5321</v>
      </c>
      <c r="H541">
        <v>351</v>
      </c>
      <c r="I541">
        <v>902242</v>
      </c>
      <c r="J541">
        <v>3685</v>
      </c>
      <c r="K541">
        <v>69.25</v>
      </c>
      <c r="L541">
        <v>4.8499999999999996</v>
      </c>
      <c r="M541">
        <v>-1.2</v>
      </c>
    </row>
    <row r="542" spans="1:13" x14ac:dyDescent="0.3">
      <c r="A542" s="1">
        <v>44991</v>
      </c>
      <c r="B542">
        <v>174</v>
      </c>
      <c r="C542">
        <v>179</v>
      </c>
      <c r="D542">
        <v>169.25</v>
      </c>
      <c r="E542">
        <v>175.95</v>
      </c>
      <c r="F542">
        <v>173.74798689777501</v>
      </c>
      <c r="G542">
        <v>14654</v>
      </c>
      <c r="H542">
        <v>725</v>
      </c>
      <c r="I542">
        <v>2546103</v>
      </c>
      <c r="J542">
        <v>9516</v>
      </c>
      <c r="K542">
        <v>64.94</v>
      </c>
      <c r="L542">
        <v>9.75</v>
      </c>
      <c r="M542">
        <v>1.95</v>
      </c>
    </row>
    <row r="543" spans="1:13" x14ac:dyDescent="0.3">
      <c r="A543" s="1">
        <v>44993</v>
      </c>
      <c r="B543">
        <v>179.95</v>
      </c>
      <c r="C543">
        <v>179.95</v>
      </c>
      <c r="D543">
        <v>170.9</v>
      </c>
      <c r="E543">
        <v>173.95</v>
      </c>
      <c r="F543">
        <v>174.59204024795599</v>
      </c>
      <c r="G543">
        <v>11131</v>
      </c>
      <c r="H543">
        <v>238</v>
      </c>
      <c r="I543">
        <v>1943384</v>
      </c>
      <c r="J543">
        <v>4515</v>
      </c>
      <c r="K543">
        <v>40.56</v>
      </c>
      <c r="L543">
        <v>9.0500000000000007</v>
      </c>
      <c r="M543">
        <v>-6</v>
      </c>
    </row>
    <row r="544" spans="1:13" x14ac:dyDescent="0.3">
      <c r="A544" s="1">
        <v>44994</v>
      </c>
      <c r="B544">
        <v>175</v>
      </c>
      <c r="C544">
        <v>177.4</v>
      </c>
      <c r="D544">
        <v>170.3</v>
      </c>
      <c r="E544">
        <v>171.15</v>
      </c>
      <c r="F544">
        <v>172.553135888501</v>
      </c>
      <c r="G544">
        <v>6888</v>
      </c>
      <c r="H544">
        <v>394</v>
      </c>
      <c r="I544">
        <v>1188546</v>
      </c>
      <c r="J544">
        <v>5123</v>
      </c>
      <c r="K544">
        <v>74.38</v>
      </c>
      <c r="L544">
        <v>7.1</v>
      </c>
      <c r="M544">
        <v>-3.85</v>
      </c>
    </row>
    <row r="545" spans="1:13" x14ac:dyDescent="0.3">
      <c r="A545" s="1">
        <v>44995</v>
      </c>
      <c r="B545">
        <v>168.85</v>
      </c>
      <c r="C545">
        <v>174.5</v>
      </c>
      <c r="D545">
        <v>168.85</v>
      </c>
      <c r="E545">
        <v>171.45</v>
      </c>
      <c r="F545">
        <v>170.65429447852699</v>
      </c>
      <c r="G545">
        <v>3260</v>
      </c>
      <c r="H545">
        <v>145</v>
      </c>
      <c r="I545">
        <v>556333</v>
      </c>
      <c r="J545">
        <v>1630</v>
      </c>
      <c r="K545">
        <v>50</v>
      </c>
      <c r="L545">
        <v>5.65</v>
      </c>
      <c r="M545">
        <v>2.6</v>
      </c>
    </row>
    <row r="546" spans="1:13" x14ac:dyDescent="0.3">
      <c r="A546" s="1">
        <v>44998</v>
      </c>
      <c r="B546">
        <v>170.1</v>
      </c>
      <c r="C546">
        <v>174.05</v>
      </c>
      <c r="D546">
        <v>168.5</v>
      </c>
      <c r="E546">
        <v>168.95</v>
      </c>
      <c r="F546">
        <v>170.61627906976699</v>
      </c>
      <c r="G546">
        <v>3784</v>
      </c>
      <c r="H546">
        <v>256</v>
      </c>
      <c r="I546">
        <v>645612</v>
      </c>
      <c r="J546">
        <v>2742</v>
      </c>
      <c r="K546">
        <v>72.459999999999994</v>
      </c>
      <c r="L546">
        <v>5.55</v>
      </c>
      <c r="M546">
        <v>-1.1499999999999999</v>
      </c>
    </row>
    <row r="547" spans="1:13" x14ac:dyDescent="0.3">
      <c r="A547" s="1">
        <v>44999</v>
      </c>
      <c r="B547">
        <v>171.4</v>
      </c>
      <c r="C547">
        <v>173</v>
      </c>
      <c r="D547">
        <v>168.8</v>
      </c>
      <c r="E547">
        <v>171.3</v>
      </c>
      <c r="F547">
        <v>170.42860028277099</v>
      </c>
      <c r="G547">
        <v>4951</v>
      </c>
      <c r="H547">
        <v>221</v>
      </c>
      <c r="I547">
        <v>843792</v>
      </c>
      <c r="J547">
        <v>2788</v>
      </c>
      <c r="K547">
        <v>56.31</v>
      </c>
      <c r="L547">
        <v>4.2</v>
      </c>
      <c r="M547">
        <v>-0.1</v>
      </c>
    </row>
    <row r="548" spans="1:13" x14ac:dyDescent="0.3">
      <c r="A548" s="1">
        <v>45000</v>
      </c>
      <c r="B548">
        <v>171.7</v>
      </c>
      <c r="C548">
        <v>173.9</v>
      </c>
      <c r="D548">
        <v>168.6</v>
      </c>
      <c r="E548">
        <v>169.75</v>
      </c>
      <c r="F548">
        <v>170.934273422562</v>
      </c>
      <c r="G548">
        <v>4184</v>
      </c>
      <c r="H548">
        <v>289</v>
      </c>
      <c r="I548">
        <v>715189</v>
      </c>
      <c r="J548">
        <v>3037</v>
      </c>
      <c r="K548">
        <v>72.59</v>
      </c>
      <c r="L548">
        <v>5.3</v>
      </c>
      <c r="M548">
        <v>-1.95</v>
      </c>
    </row>
    <row r="549" spans="1:13" x14ac:dyDescent="0.3">
      <c r="A549" s="1">
        <v>45001</v>
      </c>
      <c r="B549">
        <v>171.3</v>
      </c>
      <c r="C549">
        <v>171.3</v>
      </c>
      <c r="D549">
        <v>165</v>
      </c>
      <c r="E549">
        <v>166.7</v>
      </c>
      <c r="F549">
        <v>168.12218813905901</v>
      </c>
      <c r="G549">
        <v>1956</v>
      </c>
      <c r="H549">
        <v>128</v>
      </c>
      <c r="I549">
        <v>328847</v>
      </c>
      <c r="J549">
        <v>1698</v>
      </c>
      <c r="K549">
        <v>86.81</v>
      </c>
      <c r="L549">
        <v>6.3</v>
      </c>
      <c r="M549">
        <v>-4.5999999999999996</v>
      </c>
    </row>
    <row r="550" spans="1:13" x14ac:dyDescent="0.3">
      <c r="A550" s="1">
        <v>45002</v>
      </c>
      <c r="B550">
        <v>167.75</v>
      </c>
      <c r="C550">
        <v>171.5</v>
      </c>
      <c r="D550">
        <v>163.85</v>
      </c>
      <c r="E550">
        <v>168.15</v>
      </c>
      <c r="F550">
        <v>167.36178694157999</v>
      </c>
      <c r="G550">
        <v>7275</v>
      </c>
      <c r="H550">
        <v>402</v>
      </c>
      <c r="I550">
        <v>1217557</v>
      </c>
      <c r="J550">
        <v>3438</v>
      </c>
      <c r="K550">
        <v>47.26</v>
      </c>
      <c r="L550">
        <v>7.65</v>
      </c>
      <c r="M550">
        <v>0.4</v>
      </c>
    </row>
    <row r="551" spans="1:13" x14ac:dyDescent="0.3">
      <c r="A551" s="1">
        <v>45005</v>
      </c>
      <c r="B551">
        <v>164.05</v>
      </c>
      <c r="C551">
        <v>173</v>
      </c>
      <c r="D551">
        <v>163.44999999999999</v>
      </c>
      <c r="E551">
        <v>168.4</v>
      </c>
      <c r="F551">
        <v>165.63003838771499</v>
      </c>
      <c r="G551">
        <v>4168</v>
      </c>
      <c r="H551">
        <v>379</v>
      </c>
      <c r="I551">
        <v>690346</v>
      </c>
      <c r="J551">
        <v>2816</v>
      </c>
      <c r="K551">
        <v>67.56</v>
      </c>
      <c r="L551">
        <v>9.5500000000000007</v>
      </c>
      <c r="M551">
        <v>4.3499999999999996</v>
      </c>
    </row>
    <row r="552" spans="1:13" x14ac:dyDescent="0.3">
      <c r="A552" s="1">
        <v>45006</v>
      </c>
      <c r="B552">
        <v>172</v>
      </c>
      <c r="C552">
        <v>176.05</v>
      </c>
      <c r="D552">
        <v>168</v>
      </c>
      <c r="E552">
        <v>168.55</v>
      </c>
      <c r="F552">
        <v>171.83726786276301</v>
      </c>
      <c r="G552">
        <v>3177</v>
      </c>
      <c r="H552">
        <v>183</v>
      </c>
      <c r="I552">
        <v>545927</v>
      </c>
      <c r="J552">
        <v>2087</v>
      </c>
      <c r="K552">
        <v>65.69</v>
      </c>
      <c r="L552">
        <v>8.0500000000000007</v>
      </c>
      <c r="M552">
        <v>-3.45</v>
      </c>
    </row>
    <row r="553" spans="1:13" x14ac:dyDescent="0.3">
      <c r="A553" s="1">
        <v>45007</v>
      </c>
      <c r="B553">
        <v>174.95</v>
      </c>
      <c r="C553">
        <v>174.95</v>
      </c>
      <c r="D553">
        <v>167.9</v>
      </c>
      <c r="E553">
        <v>169.05</v>
      </c>
      <c r="F553">
        <v>170.27209851551899</v>
      </c>
      <c r="G553">
        <v>5928</v>
      </c>
      <c r="H553">
        <v>208</v>
      </c>
      <c r="I553">
        <v>1009373</v>
      </c>
      <c r="J553">
        <v>5143</v>
      </c>
      <c r="K553">
        <v>86.76</v>
      </c>
      <c r="L553">
        <v>7.05</v>
      </c>
      <c r="M553">
        <v>-5.9</v>
      </c>
    </row>
    <row r="554" spans="1:13" x14ac:dyDescent="0.3">
      <c r="A554" s="1">
        <v>45008</v>
      </c>
      <c r="B554">
        <v>169.55</v>
      </c>
      <c r="C554">
        <v>171</v>
      </c>
      <c r="D554">
        <v>165.05</v>
      </c>
      <c r="E554">
        <v>166.8</v>
      </c>
      <c r="F554">
        <v>168.43206326383799</v>
      </c>
      <c r="G554">
        <v>2782</v>
      </c>
      <c r="H554">
        <v>254</v>
      </c>
      <c r="I554">
        <v>468578</v>
      </c>
      <c r="J554">
        <v>1993</v>
      </c>
      <c r="K554">
        <v>71.64</v>
      </c>
      <c r="L554">
        <v>5.95</v>
      </c>
      <c r="M554">
        <v>-2.75</v>
      </c>
    </row>
    <row r="555" spans="1:13" x14ac:dyDescent="0.3">
      <c r="A555" s="1">
        <v>45009</v>
      </c>
      <c r="B555">
        <v>165.05</v>
      </c>
      <c r="C555">
        <v>168.7</v>
      </c>
      <c r="D555">
        <v>163.1</v>
      </c>
      <c r="E555">
        <v>165.05</v>
      </c>
      <c r="F555">
        <v>165.51343354243099</v>
      </c>
      <c r="G555">
        <v>8449</v>
      </c>
      <c r="H555">
        <v>485</v>
      </c>
      <c r="I555">
        <v>1398423</v>
      </c>
      <c r="J555">
        <v>6544</v>
      </c>
      <c r="K555">
        <v>77.45</v>
      </c>
      <c r="L555">
        <v>5.6</v>
      </c>
      <c r="M555">
        <v>0</v>
      </c>
    </row>
    <row r="556" spans="1:13" x14ac:dyDescent="0.3">
      <c r="A556" s="1">
        <v>45012</v>
      </c>
      <c r="B556">
        <v>172.5</v>
      </c>
      <c r="C556">
        <v>172.5</v>
      </c>
      <c r="D556">
        <v>161</v>
      </c>
      <c r="E556">
        <v>161.9</v>
      </c>
      <c r="F556">
        <v>162.95134266697201</v>
      </c>
      <c r="G556">
        <v>4357</v>
      </c>
      <c r="H556">
        <v>333</v>
      </c>
      <c r="I556">
        <v>709979</v>
      </c>
      <c r="J556">
        <v>2908</v>
      </c>
      <c r="K556">
        <v>66.739999999999995</v>
      </c>
      <c r="L556">
        <v>11.5</v>
      </c>
      <c r="M556">
        <v>-10.6</v>
      </c>
    </row>
    <row r="557" spans="1:13" x14ac:dyDescent="0.3">
      <c r="A557" s="1">
        <v>45013</v>
      </c>
      <c r="B557">
        <v>163.6</v>
      </c>
      <c r="C557">
        <v>163.95</v>
      </c>
      <c r="D557">
        <v>155</v>
      </c>
      <c r="E557">
        <v>158.1</v>
      </c>
      <c r="F557">
        <v>159.48287769784099</v>
      </c>
      <c r="G557">
        <v>6950</v>
      </c>
      <c r="H557">
        <v>343</v>
      </c>
      <c r="I557">
        <v>1108406</v>
      </c>
      <c r="J557">
        <v>4314</v>
      </c>
      <c r="K557">
        <v>62.07</v>
      </c>
      <c r="L557">
        <v>8.9499999999999993</v>
      </c>
      <c r="M557">
        <v>-5.5</v>
      </c>
    </row>
    <row r="558" spans="1:13" x14ac:dyDescent="0.3">
      <c r="A558" s="1">
        <v>45014</v>
      </c>
      <c r="B558">
        <v>162</v>
      </c>
      <c r="C558">
        <v>166.95</v>
      </c>
      <c r="D558">
        <v>159.5</v>
      </c>
      <c r="E558">
        <v>165.8</v>
      </c>
      <c r="F558">
        <v>164.28255230849001</v>
      </c>
      <c r="G558">
        <v>5783</v>
      </c>
      <c r="H558">
        <v>392</v>
      </c>
      <c r="I558">
        <v>950046</v>
      </c>
      <c r="J558">
        <v>3927</v>
      </c>
      <c r="K558">
        <v>67.91</v>
      </c>
      <c r="L558">
        <v>7.45</v>
      </c>
      <c r="M558">
        <v>3.8</v>
      </c>
    </row>
    <row r="559" spans="1:13" x14ac:dyDescent="0.3">
      <c r="A559" s="1">
        <v>45016</v>
      </c>
      <c r="B559">
        <v>167.05</v>
      </c>
      <c r="C559">
        <v>169.85</v>
      </c>
      <c r="D559">
        <v>166.95</v>
      </c>
      <c r="E559">
        <v>167.5</v>
      </c>
      <c r="F559">
        <v>167.90024630541799</v>
      </c>
      <c r="G559">
        <v>1624</v>
      </c>
      <c r="H559">
        <v>117</v>
      </c>
      <c r="I559">
        <v>272670</v>
      </c>
      <c r="J559">
        <v>1090</v>
      </c>
      <c r="K559">
        <v>67.12</v>
      </c>
      <c r="L559">
        <v>2.9</v>
      </c>
      <c r="M559">
        <v>0.45</v>
      </c>
    </row>
    <row r="560" spans="1:13" x14ac:dyDescent="0.3">
      <c r="A560" s="1">
        <v>45019</v>
      </c>
      <c r="B560">
        <v>168.85</v>
      </c>
      <c r="C560">
        <v>174</v>
      </c>
      <c r="D560">
        <v>167</v>
      </c>
      <c r="E560">
        <v>168.85</v>
      </c>
      <c r="F560">
        <v>170.10263396911799</v>
      </c>
      <c r="G560">
        <v>8808</v>
      </c>
      <c r="H560">
        <v>402</v>
      </c>
      <c r="I560">
        <v>1498264</v>
      </c>
      <c r="J560">
        <v>5778</v>
      </c>
      <c r="K560">
        <v>65.599999999999994</v>
      </c>
      <c r="L560">
        <v>7</v>
      </c>
      <c r="M560">
        <v>0</v>
      </c>
    </row>
    <row r="561" spans="1:13" x14ac:dyDescent="0.3">
      <c r="A561" s="1">
        <v>45021</v>
      </c>
      <c r="B561">
        <v>172.7</v>
      </c>
      <c r="C561">
        <v>174</v>
      </c>
      <c r="D561">
        <v>170</v>
      </c>
      <c r="E561">
        <v>171.65</v>
      </c>
      <c r="F561">
        <v>171.96300174519999</v>
      </c>
      <c r="G561">
        <v>5730</v>
      </c>
      <c r="H561">
        <v>322</v>
      </c>
      <c r="I561">
        <v>985348</v>
      </c>
      <c r="J561">
        <v>3872</v>
      </c>
      <c r="K561">
        <v>67.569999999999993</v>
      </c>
      <c r="L561">
        <v>4</v>
      </c>
      <c r="M561">
        <v>-1.05</v>
      </c>
    </row>
    <row r="562" spans="1:13" x14ac:dyDescent="0.3">
      <c r="A562" s="1">
        <v>45022</v>
      </c>
      <c r="B562">
        <v>171.6</v>
      </c>
      <c r="C562">
        <v>174.15</v>
      </c>
      <c r="D562">
        <v>169.6</v>
      </c>
      <c r="E562">
        <v>171.55</v>
      </c>
      <c r="F562">
        <v>171.79308257674001</v>
      </c>
      <c r="G562">
        <v>11565</v>
      </c>
      <c r="H562">
        <v>546</v>
      </c>
      <c r="I562">
        <v>1986787</v>
      </c>
      <c r="J562">
        <v>7434</v>
      </c>
      <c r="K562">
        <v>64.28</v>
      </c>
      <c r="L562">
        <v>4.55</v>
      </c>
      <c r="M562">
        <v>-0.05</v>
      </c>
    </row>
    <row r="563" spans="1:13" x14ac:dyDescent="0.3">
      <c r="A563" s="1">
        <v>45026</v>
      </c>
      <c r="B563">
        <v>173.95</v>
      </c>
      <c r="C563">
        <v>175</v>
      </c>
      <c r="D563">
        <v>170.1</v>
      </c>
      <c r="E563">
        <v>170.9</v>
      </c>
      <c r="F563">
        <v>173.17619256979501</v>
      </c>
      <c r="G563">
        <v>9098</v>
      </c>
      <c r="H563">
        <v>516</v>
      </c>
      <c r="I563">
        <v>1575557</v>
      </c>
      <c r="J563">
        <v>6460</v>
      </c>
      <c r="K563">
        <v>71</v>
      </c>
      <c r="L563">
        <v>4.9000000000000004</v>
      </c>
      <c r="M563">
        <v>-3.05</v>
      </c>
    </row>
    <row r="564" spans="1:13" x14ac:dyDescent="0.3">
      <c r="A564" s="1">
        <v>45027</v>
      </c>
      <c r="B564">
        <v>174</v>
      </c>
      <c r="C564">
        <v>177.4</v>
      </c>
      <c r="D564">
        <v>171.95</v>
      </c>
      <c r="E564">
        <v>174.75</v>
      </c>
      <c r="F564">
        <v>174.631000813669</v>
      </c>
      <c r="G564">
        <v>7374</v>
      </c>
      <c r="H564">
        <v>261</v>
      </c>
      <c r="I564">
        <v>1287729</v>
      </c>
      <c r="J564">
        <v>6448</v>
      </c>
      <c r="K564">
        <v>87.44</v>
      </c>
      <c r="L564">
        <v>5.45</v>
      </c>
      <c r="M564">
        <v>0.75</v>
      </c>
    </row>
    <row r="565" spans="1:13" x14ac:dyDescent="0.3">
      <c r="A565" s="1">
        <v>45028</v>
      </c>
      <c r="B565">
        <v>175.5</v>
      </c>
      <c r="C565">
        <v>177</v>
      </c>
      <c r="D565">
        <v>170</v>
      </c>
      <c r="E565">
        <v>174.15</v>
      </c>
      <c r="F565">
        <v>175.259956942949</v>
      </c>
      <c r="G565">
        <v>11148</v>
      </c>
      <c r="H565">
        <v>470</v>
      </c>
      <c r="I565">
        <v>1953798</v>
      </c>
      <c r="J565">
        <v>5688</v>
      </c>
      <c r="K565">
        <v>51.02</v>
      </c>
      <c r="L565">
        <v>7</v>
      </c>
      <c r="M565">
        <v>-1.35</v>
      </c>
    </row>
    <row r="566" spans="1:13" x14ac:dyDescent="0.3">
      <c r="A566" s="1">
        <v>45029</v>
      </c>
      <c r="B566">
        <v>172.1</v>
      </c>
      <c r="C566">
        <v>178.85</v>
      </c>
      <c r="D566">
        <v>172.1</v>
      </c>
      <c r="E566">
        <v>175.05</v>
      </c>
      <c r="F566">
        <v>176.01563367252501</v>
      </c>
      <c r="G566">
        <v>10810</v>
      </c>
      <c r="H566">
        <v>449</v>
      </c>
      <c r="I566">
        <v>1902729</v>
      </c>
      <c r="J566">
        <v>7229</v>
      </c>
      <c r="K566">
        <v>66.87</v>
      </c>
      <c r="L566">
        <v>6.75</v>
      </c>
      <c r="M566">
        <v>2.95</v>
      </c>
    </row>
    <row r="567" spans="1:13" x14ac:dyDescent="0.3">
      <c r="A567" s="1">
        <v>45033</v>
      </c>
      <c r="B567">
        <v>179.1</v>
      </c>
      <c r="C567">
        <v>184</v>
      </c>
      <c r="D567">
        <v>176.85</v>
      </c>
      <c r="E567">
        <v>179.9</v>
      </c>
      <c r="F567">
        <v>180.190250215703</v>
      </c>
      <c r="G567">
        <v>11590</v>
      </c>
      <c r="H567">
        <v>675</v>
      </c>
      <c r="I567">
        <v>2088405</v>
      </c>
      <c r="J567">
        <v>7041</v>
      </c>
      <c r="K567">
        <v>60.75</v>
      </c>
      <c r="L567">
        <v>7.15</v>
      </c>
      <c r="M567">
        <v>0.8</v>
      </c>
    </row>
    <row r="568" spans="1:13" x14ac:dyDescent="0.3">
      <c r="A568" s="1">
        <v>45034</v>
      </c>
      <c r="B568">
        <v>187.9</v>
      </c>
      <c r="C568">
        <v>187.9</v>
      </c>
      <c r="D568">
        <v>179.55</v>
      </c>
      <c r="E568">
        <v>181.05</v>
      </c>
      <c r="F568">
        <v>183.51862952114899</v>
      </c>
      <c r="G568">
        <v>14681</v>
      </c>
      <c r="H568">
        <v>684</v>
      </c>
      <c r="I568">
        <v>2694237</v>
      </c>
      <c r="J568">
        <v>9019</v>
      </c>
      <c r="K568">
        <v>61.43</v>
      </c>
      <c r="L568">
        <v>8.35</v>
      </c>
      <c r="M568">
        <v>-6.85</v>
      </c>
    </row>
    <row r="569" spans="1:13" x14ac:dyDescent="0.3">
      <c r="A569" s="1">
        <v>45035</v>
      </c>
      <c r="B569">
        <v>184.4</v>
      </c>
      <c r="C569">
        <v>186.6</v>
      </c>
      <c r="D569">
        <v>179.4</v>
      </c>
      <c r="E569">
        <v>182.3</v>
      </c>
      <c r="F569">
        <v>183.292047226553</v>
      </c>
      <c r="G569">
        <v>8978</v>
      </c>
      <c r="H569">
        <v>501</v>
      </c>
      <c r="I569">
        <v>1645596</v>
      </c>
      <c r="J569">
        <v>6119</v>
      </c>
      <c r="K569">
        <v>68.16</v>
      </c>
      <c r="L569">
        <v>7.2</v>
      </c>
      <c r="M569">
        <v>-2.1</v>
      </c>
    </row>
    <row r="570" spans="1:13" x14ac:dyDescent="0.3">
      <c r="A570" s="1">
        <v>45036</v>
      </c>
      <c r="B570">
        <v>182.05</v>
      </c>
      <c r="C570">
        <v>185</v>
      </c>
      <c r="D570">
        <v>179.25</v>
      </c>
      <c r="E570">
        <v>183.15</v>
      </c>
      <c r="F570">
        <v>182.749539352461</v>
      </c>
      <c r="G570">
        <v>7598</v>
      </c>
      <c r="H570">
        <v>353</v>
      </c>
      <c r="I570">
        <v>1388531</v>
      </c>
      <c r="J570">
        <v>4990</v>
      </c>
      <c r="K570">
        <v>65.680000000000007</v>
      </c>
      <c r="L570">
        <v>5.75</v>
      </c>
      <c r="M570">
        <v>1.1000000000000001</v>
      </c>
    </row>
    <row r="571" spans="1:13" x14ac:dyDescent="0.3">
      <c r="A571" s="1">
        <v>45037</v>
      </c>
      <c r="B571">
        <v>181.5</v>
      </c>
      <c r="C571">
        <v>186</v>
      </c>
      <c r="D571">
        <v>179.1</v>
      </c>
      <c r="E571">
        <v>183.45</v>
      </c>
      <c r="F571">
        <v>182.596722846441</v>
      </c>
      <c r="G571">
        <v>10680</v>
      </c>
      <c r="H571">
        <v>521</v>
      </c>
      <c r="I571">
        <v>1950133</v>
      </c>
      <c r="J571">
        <v>7016</v>
      </c>
      <c r="K571">
        <v>65.69</v>
      </c>
      <c r="L571">
        <v>6.9</v>
      </c>
      <c r="M571">
        <v>1.95</v>
      </c>
    </row>
    <row r="572" spans="1:13" x14ac:dyDescent="0.3">
      <c r="A572" s="1">
        <v>45040</v>
      </c>
      <c r="B572">
        <v>186.95</v>
      </c>
      <c r="C572">
        <v>186.95</v>
      </c>
      <c r="D572">
        <v>180</v>
      </c>
      <c r="E572">
        <v>182.2</v>
      </c>
      <c r="F572">
        <v>182.857946261195</v>
      </c>
      <c r="G572">
        <v>4801</v>
      </c>
      <c r="H572">
        <v>345</v>
      </c>
      <c r="I572">
        <v>877901</v>
      </c>
      <c r="J572">
        <v>3327</v>
      </c>
      <c r="K572">
        <v>69.3</v>
      </c>
      <c r="L572">
        <v>6.95</v>
      </c>
      <c r="M572">
        <v>-4.75</v>
      </c>
    </row>
    <row r="573" spans="1:13" x14ac:dyDescent="0.3">
      <c r="A573" s="1">
        <v>45041</v>
      </c>
      <c r="B573">
        <v>182.2</v>
      </c>
      <c r="C573">
        <v>184.75</v>
      </c>
      <c r="D573">
        <v>180</v>
      </c>
      <c r="E573">
        <v>180.85</v>
      </c>
      <c r="F573">
        <v>181.49289956106301</v>
      </c>
      <c r="G573">
        <v>7746</v>
      </c>
      <c r="H573">
        <v>497</v>
      </c>
      <c r="I573">
        <v>1405844</v>
      </c>
      <c r="J573">
        <v>6021</v>
      </c>
      <c r="K573">
        <v>77.73</v>
      </c>
      <c r="L573">
        <v>4.75</v>
      </c>
      <c r="M573">
        <v>-1.35</v>
      </c>
    </row>
    <row r="574" spans="1:13" x14ac:dyDescent="0.3">
      <c r="A574" s="1">
        <v>45042</v>
      </c>
      <c r="B574">
        <v>183.95</v>
      </c>
      <c r="C574">
        <v>184.5</v>
      </c>
      <c r="D574">
        <v>180</v>
      </c>
      <c r="E574">
        <v>180.6</v>
      </c>
      <c r="F574">
        <v>181.526592797783</v>
      </c>
      <c r="G574">
        <v>3610</v>
      </c>
      <c r="H574">
        <v>287</v>
      </c>
      <c r="I574">
        <v>655311</v>
      </c>
      <c r="J574">
        <v>2249</v>
      </c>
      <c r="K574">
        <v>62.3</v>
      </c>
      <c r="L574">
        <v>4.5</v>
      </c>
      <c r="M574">
        <v>-3.35</v>
      </c>
    </row>
    <row r="575" spans="1:13" x14ac:dyDescent="0.3">
      <c r="A575" s="1">
        <v>45043</v>
      </c>
      <c r="B575">
        <v>182.05</v>
      </c>
      <c r="C575">
        <v>183.5</v>
      </c>
      <c r="D575">
        <v>179.35</v>
      </c>
      <c r="E575">
        <v>180.6</v>
      </c>
      <c r="F575">
        <v>181.69718645684301</v>
      </c>
      <c r="G575">
        <v>10485</v>
      </c>
      <c r="H575">
        <v>394</v>
      </c>
      <c r="I575">
        <v>1905095</v>
      </c>
      <c r="J575">
        <v>6519</v>
      </c>
      <c r="K575">
        <v>62.17</v>
      </c>
      <c r="L575">
        <v>4.1500000000000004</v>
      </c>
      <c r="M575">
        <v>-1.45</v>
      </c>
    </row>
    <row r="576" spans="1:13" x14ac:dyDescent="0.3">
      <c r="A576" s="1">
        <v>45044</v>
      </c>
      <c r="B576">
        <v>181.9</v>
      </c>
      <c r="C576">
        <v>184.75</v>
      </c>
      <c r="D576">
        <v>180.15</v>
      </c>
      <c r="E576">
        <v>180.5</v>
      </c>
      <c r="F576">
        <v>182.236926975351</v>
      </c>
      <c r="G576">
        <v>8682</v>
      </c>
      <c r="H576">
        <v>351</v>
      </c>
      <c r="I576">
        <v>1582181</v>
      </c>
      <c r="J576">
        <v>5642</v>
      </c>
      <c r="K576">
        <v>64.98</v>
      </c>
      <c r="L576">
        <v>4.5999999999999996</v>
      </c>
      <c r="M576">
        <v>-1.4</v>
      </c>
    </row>
    <row r="577" spans="1:13" x14ac:dyDescent="0.3">
      <c r="A577" s="1">
        <v>45048</v>
      </c>
      <c r="B577">
        <v>182.65</v>
      </c>
      <c r="C577">
        <v>185.7</v>
      </c>
      <c r="D577">
        <v>182</v>
      </c>
      <c r="E577">
        <v>184.85</v>
      </c>
      <c r="F577">
        <v>184.28353216635</v>
      </c>
      <c r="G577">
        <v>8969</v>
      </c>
      <c r="H577">
        <v>373</v>
      </c>
      <c r="I577">
        <v>1652839</v>
      </c>
      <c r="J577">
        <v>7943</v>
      </c>
      <c r="K577">
        <v>88.56</v>
      </c>
      <c r="L577">
        <v>3.7</v>
      </c>
      <c r="M577">
        <v>2.2000000000000002</v>
      </c>
    </row>
    <row r="578" spans="1:13" x14ac:dyDescent="0.3">
      <c r="A578" s="1">
        <v>45049</v>
      </c>
      <c r="B578">
        <v>189.8</v>
      </c>
      <c r="C578">
        <v>190.5</v>
      </c>
      <c r="D578">
        <v>184.5</v>
      </c>
      <c r="E578">
        <v>185.25</v>
      </c>
      <c r="F578">
        <v>188.153937947494</v>
      </c>
      <c r="G578">
        <v>15922</v>
      </c>
      <c r="H578">
        <v>632</v>
      </c>
      <c r="I578">
        <v>2995787</v>
      </c>
      <c r="J578">
        <v>9947</v>
      </c>
      <c r="K578">
        <v>62.47</v>
      </c>
      <c r="L578">
        <v>6</v>
      </c>
      <c r="M578">
        <v>-4.55</v>
      </c>
    </row>
    <row r="579" spans="1:13" x14ac:dyDescent="0.3">
      <c r="A579" s="1">
        <v>45050</v>
      </c>
      <c r="B579">
        <v>188</v>
      </c>
      <c r="C579">
        <v>191.45</v>
      </c>
      <c r="D579">
        <v>183.2</v>
      </c>
      <c r="E579">
        <v>190.65</v>
      </c>
      <c r="F579">
        <v>188.614129760575</v>
      </c>
      <c r="G579">
        <v>16122</v>
      </c>
      <c r="H579">
        <v>600</v>
      </c>
      <c r="I579">
        <v>3040837</v>
      </c>
      <c r="J579">
        <v>12521</v>
      </c>
      <c r="K579">
        <v>77.66</v>
      </c>
      <c r="L579">
        <v>8.25</v>
      </c>
      <c r="M579">
        <v>2.65</v>
      </c>
    </row>
    <row r="580" spans="1:13" x14ac:dyDescent="0.3">
      <c r="A580" s="1">
        <v>45051</v>
      </c>
      <c r="B580">
        <v>194.4</v>
      </c>
      <c r="C580">
        <v>194.4</v>
      </c>
      <c r="D580">
        <v>185</v>
      </c>
      <c r="E580">
        <v>187.25</v>
      </c>
      <c r="F580">
        <v>189.195572322049</v>
      </c>
      <c r="G580">
        <v>10073</v>
      </c>
      <c r="H580">
        <v>456</v>
      </c>
      <c r="I580">
        <v>1905767</v>
      </c>
      <c r="J580">
        <v>6804</v>
      </c>
      <c r="K580">
        <v>67.55</v>
      </c>
      <c r="L580">
        <v>9.4</v>
      </c>
      <c r="M580">
        <v>-7.15</v>
      </c>
    </row>
    <row r="581" spans="1:13" x14ac:dyDescent="0.3">
      <c r="A581" s="1">
        <v>45054</v>
      </c>
      <c r="B581">
        <v>188</v>
      </c>
      <c r="C581">
        <v>194.3</v>
      </c>
      <c r="D581">
        <v>184.9</v>
      </c>
      <c r="E581">
        <v>186.95</v>
      </c>
      <c r="F581">
        <v>189.10269823788499</v>
      </c>
      <c r="G581">
        <v>10896</v>
      </c>
      <c r="H581">
        <v>531</v>
      </c>
      <c r="I581">
        <v>2060463</v>
      </c>
      <c r="J581">
        <v>8862</v>
      </c>
      <c r="K581">
        <v>81.33</v>
      </c>
      <c r="L581">
        <v>9.4</v>
      </c>
      <c r="M581">
        <v>-1.05</v>
      </c>
    </row>
    <row r="582" spans="1:13" x14ac:dyDescent="0.3">
      <c r="A582" s="1">
        <v>45055</v>
      </c>
      <c r="B582">
        <v>187</v>
      </c>
      <c r="C582">
        <v>190</v>
      </c>
      <c r="D582">
        <v>185</v>
      </c>
      <c r="E582">
        <v>187.55</v>
      </c>
      <c r="F582">
        <v>188.321829345754</v>
      </c>
      <c r="G582">
        <v>4723</v>
      </c>
      <c r="H582">
        <v>260</v>
      </c>
      <c r="I582">
        <v>889444</v>
      </c>
      <c r="J582">
        <v>3121</v>
      </c>
      <c r="K582">
        <v>66.08</v>
      </c>
      <c r="L582">
        <v>5</v>
      </c>
      <c r="M582">
        <v>0.55000000000000004</v>
      </c>
    </row>
    <row r="583" spans="1:13" x14ac:dyDescent="0.3">
      <c r="A583" s="1">
        <v>45056</v>
      </c>
      <c r="B583">
        <v>183.9</v>
      </c>
      <c r="C583">
        <v>194</v>
      </c>
      <c r="D583">
        <v>183.9</v>
      </c>
      <c r="E583">
        <v>190.3</v>
      </c>
      <c r="F583">
        <v>190.56190867955499</v>
      </c>
      <c r="G583">
        <v>4862</v>
      </c>
      <c r="H583">
        <v>268</v>
      </c>
      <c r="I583">
        <v>926512</v>
      </c>
      <c r="J583">
        <v>1973</v>
      </c>
      <c r="K583">
        <v>40.58</v>
      </c>
      <c r="L583">
        <v>10.1</v>
      </c>
      <c r="M583">
        <v>6.4</v>
      </c>
    </row>
    <row r="584" spans="1:13" x14ac:dyDescent="0.3">
      <c r="A584" s="1">
        <v>45057</v>
      </c>
      <c r="B584">
        <v>192.2</v>
      </c>
      <c r="C584">
        <v>194.9</v>
      </c>
      <c r="D584">
        <v>190.15</v>
      </c>
      <c r="E584">
        <v>190.7</v>
      </c>
      <c r="F584">
        <v>193.16936595451401</v>
      </c>
      <c r="G584">
        <v>5804</v>
      </c>
      <c r="H584">
        <v>413</v>
      </c>
      <c r="I584">
        <v>1121155</v>
      </c>
      <c r="J584">
        <v>3534</v>
      </c>
      <c r="K584">
        <v>60.89</v>
      </c>
      <c r="L584">
        <v>4.75</v>
      </c>
      <c r="M584">
        <v>-1.5</v>
      </c>
    </row>
    <row r="585" spans="1:13" x14ac:dyDescent="0.3">
      <c r="A585" s="1">
        <v>45058</v>
      </c>
      <c r="B585">
        <v>191.05</v>
      </c>
      <c r="C585">
        <v>193</v>
      </c>
      <c r="D585">
        <v>188.55</v>
      </c>
      <c r="E585">
        <v>189.85</v>
      </c>
      <c r="F585">
        <v>189.934435797665</v>
      </c>
      <c r="G585">
        <v>5140</v>
      </c>
      <c r="H585">
        <v>288</v>
      </c>
      <c r="I585">
        <v>976263</v>
      </c>
      <c r="J585">
        <v>3800</v>
      </c>
      <c r="K585">
        <v>73.930000000000007</v>
      </c>
      <c r="L585">
        <v>4.45</v>
      </c>
      <c r="M585">
        <v>-1.2</v>
      </c>
    </row>
    <row r="586" spans="1:13" x14ac:dyDescent="0.3">
      <c r="A586" s="1">
        <v>45061</v>
      </c>
      <c r="B586">
        <v>192.95</v>
      </c>
      <c r="C586">
        <v>192.95</v>
      </c>
      <c r="D586">
        <v>185.7</v>
      </c>
      <c r="E586">
        <v>191.7</v>
      </c>
      <c r="F586">
        <v>188.86295272454601</v>
      </c>
      <c r="G586">
        <v>21343</v>
      </c>
      <c r="H586">
        <v>628</v>
      </c>
      <c r="I586">
        <v>4030902</v>
      </c>
      <c r="J586">
        <v>14015</v>
      </c>
      <c r="K586">
        <v>65.67</v>
      </c>
      <c r="L586">
        <v>7.25</v>
      </c>
      <c r="M586">
        <v>-1.25</v>
      </c>
    </row>
    <row r="587" spans="1:13" x14ac:dyDescent="0.3">
      <c r="A587" s="1">
        <v>45062</v>
      </c>
      <c r="B587">
        <v>189.85</v>
      </c>
      <c r="C587">
        <v>194.6</v>
      </c>
      <c r="D587">
        <v>189.25</v>
      </c>
      <c r="E587">
        <v>192.45</v>
      </c>
      <c r="F587">
        <v>192.82000782574599</v>
      </c>
      <c r="G587">
        <v>7667</v>
      </c>
      <c r="H587">
        <v>411</v>
      </c>
      <c r="I587">
        <v>1478351</v>
      </c>
      <c r="J587">
        <v>5129</v>
      </c>
      <c r="K587">
        <v>66.900000000000006</v>
      </c>
      <c r="L587">
        <v>5.35</v>
      </c>
      <c r="M587">
        <v>2.6</v>
      </c>
    </row>
    <row r="588" spans="1:13" x14ac:dyDescent="0.3">
      <c r="A588" s="1">
        <v>45063</v>
      </c>
      <c r="B588">
        <v>192.25</v>
      </c>
      <c r="C588">
        <v>195.4</v>
      </c>
      <c r="D588">
        <v>190.85</v>
      </c>
      <c r="E588">
        <v>192.1</v>
      </c>
      <c r="F588">
        <v>192.88940350877101</v>
      </c>
      <c r="G588">
        <v>7125</v>
      </c>
      <c r="H588">
        <v>353</v>
      </c>
      <c r="I588">
        <v>1374337</v>
      </c>
      <c r="J588">
        <v>4583</v>
      </c>
      <c r="K588">
        <v>64.319999999999993</v>
      </c>
      <c r="L588">
        <v>4.55</v>
      </c>
      <c r="M588">
        <v>-0.15</v>
      </c>
    </row>
    <row r="589" spans="1:13" x14ac:dyDescent="0.3">
      <c r="A589" s="1">
        <v>45064</v>
      </c>
      <c r="B589">
        <v>196</v>
      </c>
      <c r="C589">
        <v>199.1</v>
      </c>
      <c r="D589">
        <v>191.05</v>
      </c>
      <c r="E589">
        <v>193.2</v>
      </c>
      <c r="F589">
        <v>194.71568381430299</v>
      </c>
      <c r="G589">
        <v>11955</v>
      </c>
      <c r="H589">
        <v>628</v>
      </c>
      <c r="I589">
        <v>2327826</v>
      </c>
      <c r="J589">
        <v>7589</v>
      </c>
      <c r="K589">
        <v>63.48</v>
      </c>
      <c r="L589">
        <v>8.0500000000000007</v>
      </c>
      <c r="M589">
        <v>-2.8</v>
      </c>
    </row>
    <row r="590" spans="1:13" x14ac:dyDescent="0.3">
      <c r="A590" s="1">
        <v>45065</v>
      </c>
      <c r="B590">
        <v>191.05</v>
      </c>
      <c r="C590">
        <v>193.85</v>
      </c>
      <c r="D590">
        <v>188</v>
      </c>
      <c r="E590">
        <v>189</v>
      </c>
      <c r="F590">
        <v>190.119542128864</v>
      </c>
      <c r="G590">
        <v>8474</v>
      </c>
      <c r="H590">
        <v>547</v>
      </c>
      <c r="I590">
        <v>1611073</v>
      </c>
      <c r="J590">
        <v>5726</v>
      </c>
      <c r="K590">
        <v>67.569999999999993</v>
      </c>
      <c r="L590">
        <v>5.85</v>
      </c>
      <c r="M590">
        <v>-2.0499999999999998</v>
      </c>
    </row>
    <row r="591" spans="1:13" x14ac:dyDescent="0.3">
      <c r="A591" s="1">
        <v>45068</v>
      </c>
      <c r="B591">
        <v>194.95</v>
      </c>
      <c r="C591">
        <v>194.95</v>
      </c>
      <c r="D591">
        <v>188.75</v>
      </c>
      <c r="E591">
        <v>190.45</v>
      </c>
      <c r="F591">
        <v>190.807134323263</v>
      </c>
      <c r="G591">
        <v>5859</v>
      </c>
      <c r="H591">
        <v>367</v>
      </c>
      <c r="I591">
        <v>1117939</v>
      </c>
      <c r="J591">
        <v>4425</v>
      </c>
      <c r="K591">
        <v>75.52</v>
      </c>
      <c r="L591">
        <v>6.2</v>
      </c>
      <c r="M591">
        <v>-4.5</v>
      </c>
    </row>
    <row r="592" spans="1:13" x14ac:dyDescent="0.3">
      <c r="A592" s="1">
        <v>45069</v>
      </c>
      <c r="B592">
        <v>190.1</v>
      </c>
      <c r="C592">
        <v>194.35</v>
      </c>
      <c r="D592">
        <v>188.5</v>
      </c>
      <c r="E592">
        <v>189.1</v>
      </c>
      <c r="F592">
        <v>192.457773928107</v>
      </c>
      <c r="G592">
        <v>6927</v>
      </c>
      <c r="H592">
        <v>280</v>
      </c>
      <c r="I592">
        <v>1333155</v>
      </c>
      <c r="J592">
        <v>3780</v>
      </c>
      <c r="K592">
        <v>54.57</v>
      </c>
      <c r="L592">
        <v>5.85</v>
      </c>
      <c r="M592">
        <v>-1</v>
      </c>
    </row>
    <row r="593" spans="1:13" x14ac:dyDescent="0.3">
      <c r="A593" s="1">
        <v>45070</v>
      </c>
      <c r="B593">
        <v>190</v>
      </c>
      <c r="C593">
        <v>225</v>
      </c>
      <c r="D593">
        <v>189.95</v>
      </c>
      <c r="E593">
        <v>214.35</v>
      </c>
      <c r="F593">
        <v>213.795140015876</v>
      </c>
      <c r="G593">
        <v>255721</v>
      </c>
      <c r="H593">
        <v>6843</v>
      </c>
      <c r="I593">
        <v>54671907</v>
      </c>
      <c r="J593">
        <v>95594</v>
      </c>
      <c r="K593">
        <v>37.380000000000003</v>
      </c>
      <c r="L593">
        <v>35.049999999999997</v>
      </c>
      <c r="M593">
        <v>24.35</v>
      </c>
    </row>
    <row r="594" spans="1:13" x14ac:dyDescent="0.3">
      <c r="A594" s="1">
        <v>45071</v>
      </c>
      <c r="B594">
        <v>219</v>
      </c>
      <c r="C594">
        <v>232</v>
      </c>
      <c r="D594">
        <v>218</v>
      </c>
      <c r="E594">
        <v>223.35</v>
      </c>
      <c r="F594">
        <v>224.548577238767</v>
      </c>
      <c r="G594">
        <v>203583</v>
      </c>
      <c r="H594">
        <v>4879</v>
      </c>
      <c r="I594">
        <v>45714273</v>
      </c>
      <c r="J594">
        <v>61619</v>
      </c>
      <c r="K594">
        <v>30.27</v>
      </c>
      <c r="L594">
        <v>14</v>
      </c>
      <c r="M594">
        <v>4.3499999999999996</v>
      </c>
    </row>
    <row r="595" spans="1:13" x14ac:dyDescent="0.3">
      <c r="A595" s="1">
        <v>45072</v>
      </c>
      <c r="B595">
        <v>225</v>
      </c>
      <c r="C595">
        <v>230.35</v>
      </c>
      <c r="D595">
        <v>223</v>
      </c>
      <c r="E595">
        <v>228.6</v>
      </c>
      <c r="F595">
        <v>227.28420386104901</v>
      </c>
      <c r="G595">
        <v>67909</v>
      </c>
      <c r="H595">
        <v>1582</v>
      </c>
      <c r="I595">
        <v>15434643</v>
      </c>
      <c r="J595">
        <v>42531</v>
      </c>
      <c r="K595">
        <v>62.63</v>
      </c>
      <c r="L595">
        <v>7.35</v>
      </c>
      <c r="M595">
        <v>3.6</v>
      </c>
    </row>
    <row r="596" spans="1:13" x14ac:dyDescent="0.3">
      <c r="A596" s="1">
        <v>45075</v>
      </c>
      <c r="B596">
        <v>231.95</v>
      </c>
      <c r="C596">
        <v>239.95</v>
      </c>
      <c r="D596">
        <v>230.8</v>
      </c>
      <c r="E596">
        <v>236.9</v>
      </c>
      <c r="F596">
        <v>236.51080603290299</v>
      </c>
      <c r="G596">
        <v>62789</v>
      </c>
      <c r="H596">
        <v>1426</v>
      </c>
      <c r="I596">
        <v>14850277</v>
      </c>
      <c r="J596">
        <v>19968</v>
      </c>
      <c r="K596">
        <v>31.8</v>
      </c>
      <c r="L596">
        <v>9.15</v>
      </c>
      <c r="M596">
        <v>4.95</v>
      </c>
    </row>
    <row r="597" spans="1:13" x14ac:dyDescent="0.3">
      <c r="A597" s="1">
        <v>45076</v>
      </c>
      <c r="B597">
        <v>238.1</v>
      </c>
      <c r="C597">
        <v>245.95</v>
      </c>
      <c r="D597">
        <v>236.35</v>
      </c>
      <c r="E597">
        <v>243.5</v>
      </c>
      <c r="F597">
        <v>241.44951140065101</v>
      </c>
      <c r="G597">
        <v>50041</v>
      </c>
      <c r="H597">
        <v>1321</v>
      </c>
      <c r="I597">
        <v>12082375</v>
      </c>
      <c r="J597">
        <v>31227</v>
      </c>
      <c r="K597">
        <v>62.4</v>
      </c>
      <c r="L597">
        <v>9.6</v>
      </c>
      <c r="M597">
        <v>5.4</v>
      </c>
    </row>
    <row r="598" spans="1:13" x14ac:dyDescent="0.3">
      <c r="A598" s="1">
        <v>45077</v>
      </c>
      <c r="B598">
        <v>243.5</v>
      </c>
      <c r="C598">
        <v>253.4</v>
      </c>
      <c r="D598">
        <v>240</v>
      </c>
      <c r="E598">
        <v>248.25</v>
      </c>
      <c r="F598">
        <v>247.47361840460101</v>
      </c>
      <c r="G598">
        <v>55986</v>
      </c>
      <c r="H598">
        <v>2470</v>
      </c>
      <c r="I598">
        <v>13855058</v>
      </c>
      <c r="J598">
        <v>33484</v>
      </c>
      <c r="K598">
        <v>59.81</v>
      </c>
      <c r="L598">
        <v>13.4</v>
      </c>
      <c r="M598">
        <v>4.75</v>
      </c>
    </row>
    <row r="599" spans="1:13" x14ac:dyDescent="0.3">
      <c r="A599" s="1">
        <v>45078</v>
      </c>
      <c r="B599">
        <v>253.95</v>
      </c>
      <c r="C599">
        <v>253.95</v>
      </c>
      <c r="D599">
        <v>231.05</v>
      </c>
      <c r="E599">
        <v>238.05</v>
      </c>
      <c r="F599">
        <v>236.712594449016</v>
      </c>
      <c r="G599">
        <v>53468</v>
      </c>
      <c r="H599">
        <v>2707</v>
      </c>
      <c r="I599">
        <v>12656549</v>
      </c>
      <c r="J599">
        <v>32851</v>
      </c>
      <c r="K599">
        <v>61.44</v>
      </c>
      <c r="L599">
        <v>22.9</v>
      </c>
      <c r="M599">
        <v>-15.9</v>
      </c>
    </row>
    <row r="600" spans="1:13" x14ac:dyDescent="0.3">
      <c r="A600" s="1">
        <v>45079</v>
      </c>
      <c r="B600">
        <v>240.25</v>
      </c>
      <c r="C600">
        <v>244</v>
      </c>
      <c r="D600">
        <v>233.15</v>
      </c>
      <c r="E600">
        <v>234.65</v>
      </c>
      <c r="F600">
        <v>237.49737373737301</v>
      </c>
      <c r="G600">
        <v>24750</v>
      </c>
      <c r="H600">
        <v>1535</v>
      </c>
      <c r="I600">
        <v>5878060</v>
      </c>
      <c r="J600">
        <v>16417</v>
      </c>
      <c r="K600">
        <v>66.33</v>
      </c>
      <c r="L600">
        <v>10.85</v>
      </c>
      <c r="M600">
        <v>-5.6</v>
      </c>
    </row>
    <row r="601" spans="1:13" x14ac:dyDescent="0.3">
      <c r="A601" s="1">
        <v>45082</v>
      </c>
      <c r="B601">
        <v>234</v>
      </c>
      <c r="C601">
        <v>245.65</v>
      </c>
      <c r="D601">
        <v>234</v>
      </c>
      <c r="E601">
        <v>238.1</v>
      </c>
      <c r="F601">
        <v>241.258478331856</v>
      </c>
      <c r="G601">
        <v>21437</v>
      </c>
      <c r="H601">
        <v>1589</v>
      </c>
      <c r="I601">
        <v>5171858</v>
      </c>
      <c r="J601">
        <v>15141</v>
      </c>
      <c r="K601">
        <v>70.63</v>
      </c>
      <c r="L601">
        <v>11.65</v>
      </c>
      <c r="M601">
        <v>4.0999999999999996</v>
      </c>
    </row>
    <row r="602" spans="1:13" x14ac:dyDescent="0.3">
      <c r="A602" s="1">
        <v>45083</v>
      </c>
      <c r="B602">
        <v>238.1</v>
      </c>
      <c r="C602">
        <v>244</v>
      </c>
      <c r="D602">
        <v>236.3</v>
      </c>
      <c r="E602">
        <v>239.5</v>
      </c>
      <c r="F602">
        <v>239.660767639623</v>
      </c>
      <c r="G602">
        <v>4351</v>
      </c>
      <c r="H602">
        <v>442</v>
      </c>
      <c r="I602">
        <v>1042764</v>
      </c>
      <c r="J602">
        <v>2998</v>
      </c>
      <c r="K602">
        <v>68.900000000000006</v>
      </c>
      <c r="L602">
        <v>7.7</v>
      </c>
      <c r="M602">
        <v>1.4</v>
      </c>
    </row>
    <row r="603" spans="1:13" x14ac:dyDescent="0.3">
      <c r="A603" s="1">
        <v>45084</v>
      </c>
      <c r="B603">
        <v>243.8</v>
      </c>
      <c r="C603">
        <v>243.8</v>
      </c>
      <c r="D603">
        <v>234.4</v>
      </c>
      <c r="E603">
        <v>235.2</v>
      </c>
      <c r="F603">
        <v>237.95314022045599</v>
      </c>
      <c r="G603">
        <v>19505</v>
      </c>
      <c r="H603">
        <v>1113</v>
      </c>
      <c r="I603">
        <v>4641276</v>
      </c>
      <c r="J603">
        <v>13705</v>
      </c>
      <c r="K603">
        <v>70.260000000000005</v>
      </c>
      <c r="L603">
        <v>9.4</v>
      </c>
      <c r="M603">
        <v>-8.6</v>
      </c>
    </row>
    <row r="604" spans="1:13" x14ac:dyDescent="0.3">
      <c r="A604" s="1">
        <v>45085</v>
      </c>
      <c r="B604">
        <v>231.05</v>
      </c>
      <c r="C604">
        <v>237.6</v>
      </c>
      <c r="D604">
        <v>222.5</v>
      </c>
      <c r="E604">
        <v>225.65</v>
      </c>
      <c r="F604">
        <v>228.95072969938801</v>
      </c>
      <c r="G604">
        <v>24051</v>
      </c>
      <c r="H604">
        <v>1852</v>
      </c>
      <c r="I604">
        <v>5506494</v>
      </c>
      <c r="J604">
        <v>15765</v>
      </c>
      <c r="K604">
        <v>65.55</v>
      </c>
      <c r="L604">
        <v>15.1</v>
      </c>
      <c r="M604">
        <v>-5.4</v>
      </c>
    </row>
    <row r="605" spans="1:13" x14ac:dyDescent="0.3">
      <c r="A605" s="1">
        <v>45086</v>
      </c>
      <c r="B605">
        <v>229.95</v>
      </c>
      <c r="C605">
        <v>270.75</v>
      </c>
      <c r="D605">
        <v>225.3</v>
      </c>
      <c r="E605">
        <v>258.39999999999998</v>
      </c>
      <c r="F605">
        <v>260.50302931336898</v>
      </c>
      <c r="G605">
        <v>238833</v>
      </c>
      <c r="H605">
        <v>7911</v>
      </c>
      <c r="I605">
        <v>62216720</v>
      </c>
      <c r="J605">
        <v>87634</v>
      </c>
      <c r="K605">
        <v>36.69</v>
      </c>
      <c r="L605">
        <v>45.45</v>
      </c>
      <c r="M605">
        <v>28.45</v>
      </c>
    </row>
    <row r="606" spans="1:13" x14ac:dyDescent="0.3">
      <c r="A606" s="1">
        <v>45089</v>
      </c>
      <c r="B606">
        <v>262.45</v>
      </c>
      <c r="C606">
        <v>269.8</v>
      </c>
      <c r="D606">
        <v>256</v>
      </c>
      <c r="E606">
        <v>260.3</v>
      </c>
      <c r="F606">
        <v>262.91818838985398</v>
      </c>
      <c r="G606">
        <v>63634</v>
      </c>
      <c r="H606">
        <v>3485</v>
      </c>
      <c r="I606">
        <v>16730536</v>
      </c>
      <c r="J606">
        <v>41785</v>
      </c>
      <c r="K606">
        <v>65.66</v>
      </c>
      <c r="L606">
        <v>13.8</v>
      </c>
      <c r="M606">
        <v>-2.15</v>
      </c>
    </row>
    <row r="607" spans="1:13" x14ac:dyDescent="0.3">
      <c r="A607" s="1">
        <v>45090</v>
      </c>
      <c r="B607">
        <v>264.7</v>
      </c>
      <c r="C607">
        <v>279.60000000000002</v>
      </c>
      <c r="D607">
        <v>261.75</v>
      </c>
      <c r="E607">
        <v>266</v>
      </c>
      <c r="F607">
        <v>271.00179929663801</v>
      </c>
      <c r="G607">
        <v>61135</v>
      </c>
      <c r="H607">
        <v>2650</v>
      </c>
      <c r="I607">
        <v>16567695</v>
      </c>
      <c r="J607">
        <v>21241</v>
      </c>
      <c r="K607">
        <v>34.74</v>
      </c>
      <c r="L607">
        <v>17.850000000000001</v>
      </c>
      <c r="M607">
        <v>1.3</v>
      </c>
    </row>
    <row r="608" spans="1:13" x14ac:dyDescent="0.3">
      <c r="A608" s="1">
        <v>45091</v>
      </c>
      <c r="B608">
        <v>270.05</v>
      </c>
      <c r="C608">
        <v>288</v>
      </c>
      <c r="D608">
        <v>270.05</v>
      </c>
      <c r="E608">
        <v>286.2</v>
      </c>
      <c r="F608">
        <v>281.33637508440802</v>
      </c>
      <c r="G608">
        <v>54793</v>
      </c>
      <c r="H608">
        <v>2424</v>
      </c>
      <c r="I608">
        <v>15415264</v>
      </c>
      <c r="J608">
        <v>20839</v>
      </c>
      <c r="K608">
        <v>38.03</v>
      </c>
      <c r="L608">
        <v>17.95</v>
      </c>
      <c r="M608">
        <v>16.149999999999999</v>
      </c>
    </row>
    <row r="609" spans="1:13" x14ac:dyDescent="0.3">
      <c r="A609" s="1">
        <v>45092</v>
      </c>
      <c r="B609">
        <v>287.10000000000002</v>
      </c>
      <c r="C609">
        <v>293.5</v>
      </c>
      <c r="D609">
        <v>278.25</v>
      </c>
      <c r="E609">
        <v>281.60000000000002</v>
      </c>
      <c r="F609">
        <v>285.78129807340099</v>
      </c>
      <c r="G609">
        <v>54604</v>
      </c>
      <c r="H609">
        <v>2600</v>
      </c>
      <c r="I609">
        <v>15604802</v>
      </c>
      <c r="J609">
        <v>31935</v>
      </c>
      <c r="K609">
        <v>58.48</v>
      </c>
      <c r="L609">
        <v>15.25</v>
      </c>
      <c r="M609">
        <v>-5.5</v>
      </c>
    </row>
    <row r="610" spans="1:13" x14ac:dyDescent="0.3">
      <c r="A610" s="1">
        <v>45093</v>
      </c>
      <c r="B610">
        <v>282</v>
      </c>
      <c r="C610">
        <v>298.89999999999998</v>
      </c>
      <c r="D610">
        <v>282</v>
      </c>
      <c r="E610">
        <v>296.05</v>
      </c>
      <c r="F610">
        <v>294.32946032988701</v>
      </c>
      <c r="G610">
        <v>56201</v>
      </c>
      <c r="H610">
        <v>2404</v>
      </c>
      <c r="I610">
        <v>16541610</v>
      </c>
      <c r="J610">
        <v>24742</v>
      </c>
      <c r="K610">
        <v>44.02</v>
      </c>
      <c r="L610">
        <v>16.899999999999999</v>
      </c>
      <c r="M610">
        <v>14.05</v>
      </c>
    </row>
    <row r="611" spans="1:13" x14ac:dyDescent="0.3">
      <c r="A611" s="1">
        <v>45096</v>
      </c>
      <c r="B611">
        <v>301.85000000000002</v>
      </c>
      <c r="C611">
        <v>351.55</v>
      </c>
      <c r="D611">
        <v>299.2</v>
      </c>
      <c r="E611">
        <v>333.65</v>
      </c>
      <c r="F611">
        <v>324.88250126305297</v>
      </c>
      <c r="G611">
        <v>215747</v>
      </c>
      <c r="H611">
        <v>7632</v>
      </c>
      <c r="I611">
        <v>70092425</v>
      </c>
      <c r="J611">
        <v>64714</v>
      </c>
      <c r="K611">
        <v>30</v>
      </c>
      <c r="L611">
        <v>52.35</v>
      </c>
      <c r="M611">
        <v>31.8</v>
      </c>
    </row>
    <row r="612" spans="1:13" x14ac:dyDescent="0.3">
      <c r="A612" s="1">
        <v>45097</v>
      </c>
      <c r="B612">
        <v>337.3</v>
      </c>
      <c r="C612">
        <v>337.3</v>
      </c>
      <c r="D612">
        <v>318</v>
      </c>
      <c r="E612">
        <v>325</v>
      </c>
      <c r="F612">
        <v>328.20644426733401</v>
      </c>
      <c r="G612">
        <v>87830</v>
      </c>
      <c r="H612">
        <v>3863</v>
      </c>
      <c r="I612">
        <v>28826372</v>
      </c>
      <c r="J612">
        <v>33139</v>
      </c>
      <c r="K612">
        <v>37.729999999999997</v>
      </c>
      <c r="L612">
        <v>19.3</v>
      </c>
      <c r="M612">
        <v>-12.3</v>
      </c>
    </row>
    <row r="613" spans="1:13" x14ac:dyDescent="0.3">
      <c r="A613" s="1">
        <v>45098</v>
      </c>
      <c r="B613">
        <v>321.05</v>
      </c>
      <c r="C613">
        <v>332.85</v>
      </c>
      <c r="D613">
        <v>311.64999999999998</v>
      </c>
      <c r="E613">
        <v>315.64999999999998</v>
      </c>
      <c r="F613">
        <v>320.49964526974901</v>
      </c>
      <c r="G613">
        <v>32419</v>
      </c>
      <c r="H613">
        <v>1763</v>
      </c>
      <c r="I613">
        <v>10390278</v>
      </c>
      <c r="J613">
        <v>23054</v>
      </c>
      <c r="K613">
        <v>71.11</v>
      </c>
      <c r="L613">
        <v>21.2</v>
      </c>
      <c r="M613">
        <v>-5.4</v>
      </c>
    </row>
    <row r="614" spans="1:13" x14ac:dyDescent="0.3">
      <c r="A614" s="1">
        <v>45099</v>
      </c>
      <c r="B614">
        <v>312</v>
      </c>
      <c r="C614">
        <v>330</v>
      </c>
      <c r="D614">
        <v>312</v>
      </c>
      <c r="E614">
        <v>322.8</v>
      </c>
      <c r="F614">
        <v>324.25824335383697</v>
      </c>
      <c r="G614">
        <v>37879</v>
      </c>
      <c r="H614">
        <v>2193</v>
      </c>
      <c r="I614">
        <v>12282578</v>
      </c>
      <c r="J614">
        <v>20877</v>
      </c>
      <c r="K614">
        <v>55.11</v>
      </c>
      <c r="L614">
        <v>18</v>
      </c>
      <c r="M614">
        <v>10.8</v>
      </c>
    </row>
    <row r="615" spans="1:13" x14ac:dyDescent="0.3">
      <c r="A615" s="1">
        <v>45100</v>
      </c>
      <c r="B615">
        <v>327.85</v>
      </c>
      <c r="C615">
        <v>328</v>
      </c>
      <c r="D615">
        <v>311.60000000000002</v>
      </c>
      <c r="E615">
        <v>314.3</v>
      </c>
      <c r="F615">
        <v>320.27213359920199</v>
      </c>
      <c r="G615">
        <v>20060</v>
      </c>
      <c r="H615">
        <v>1071</v>
      </c>
      <c r="I615">
        <v>6424659</v>
      </c>
      <c r="J615">
        <v>13616</v>
      </c>
      <c r="K615">
        <v>67.88</v>
      </c>
      <c r="L615">
        <v>16.399999999999999</v>
      </c>
      <c r="M615">
        <v>-13.55</v>
      </c>
    </row>
    <row r="616" spans="1:13" x14ac:dyDescent="0.3">
      <c r="A616" s="1">
        <v>45103</v>
      </c>
      <c r="B616">
        <v>310.05</v>
      </c>
      <c r="C616">
        <v>326.39999999999998</v>
      </c>
      <c r="D616">
        <v>310.05</v>
      </c>
      <c r="E616">
        <v>317.7</v>
      </c>
      <c r="F616">
        <v>319.09479791523199</v>
      </c>
      <c r="G616">
        <v>10169</v>
      </c>
      <c r="H616">
        <v>822</v>
      </c>
      <c r="I616">
        <v>3244875</v>
      </c>
      <c r="J616">
        <v>6217</v>
      </c>
      <c r="K616">
        <v>61.14</v>
      </c>
      <c r="L616">
        <v>16.350000000000001</v>
      </c>
      <c r="M616">
        <v>7.65</v>
      </c>
    </row>
    <row r="617" spans="1:13" x14ac:dyDescent="0.3">
      <c r="A617" s="1">
        <v>45104</v>
      </c>
      <c r="B617">
        <v>319.85000000000002</v>
      </c>
      <c r="C617">
        <v>322.39999999999998</v>
      </c>
      <c r="D617">
        <v>313.89999999999998</v>
      </c>
      <c r="E617">
        <v>315.14999999999998</v>
      </c>
      <c r="F617">
        <v>316.60848687883799</v>
      </c>
      <c r="G617">
        <v>8955</v>
      </c>
      <c r="H617">
        <v>514</v>
      </c>
      <c r="I617">
        <v>2835229</v>
      </c>
      <c r="J617">
        <v>6155</v>
      </c>
      <c r="K617">
        <v>68.73</v>
      </c>
      <c r="L617">
        <v>8.5</v>
      </c>
      <c r="M617">
        <v>-4.7</v>
      </c>
    </row>
    <row r="618" spans="1:13" x14ac:dyDescent="0.3">
      <c r="A618" s="1">
        <v>45105</v>
      </c>
      <c r="B618">
        <v>317.95</v>
      </c>
      <c r="C618">
        <v>350</v>
      </c>
      <c r="D618">
        <v>317.95</v>
      </c>
      <c r="E618">
        <v>335.95</v>
      </c>
      <c r="F618">
        <v>340.26203418691398</v>
      </c>
      <c r="G618">
        <v>45807</v>
      </c>
      <c r="H618">
        <v>1954</v>
      </c>
      <c r="I618">
        <v>15586383</v>
      </c>
      <c r="J618">
        <v>19336</v>
      </c>
      <c r="K618">
        <v>42.21</v>
      </c>
      <c r="L618">
        <v>32.049999999999997</v>
      </c>
      <c r="M618">
        <v>18</v>
      </c>
    </row>
    <row r="619" spans="1:13" x14ac:dyDescent="0.3">
      <c r="A619" s="1">
        <v>45107</v>
      </c>
      <c r="B619">
        <v>344.2</v>
      </c>
      <c r="C619">
        <v>368.5</v>
      </c>
      <c r="D619">
        <v>344.2</v>
      </c>
      <c r="E619">
        <v>357.65</v>
      </c>
      <c r="F619">
        <v>361.39091594640001</v>
      </c>
      <c r="G619">
        <v>86195</v>
      </c>
      <c r="H619">
        <v>4660</v>
      </c>
      <c r="I619">
        <v>31150090</v>
      </c>
      <c r="J619">
        <v>39806</v>
      </c>
      <c r="K619">
        <v>46.18</v>
      </c>
      <c r="L619">
        <v>24.3</v>
      </c>
      <c r="M619">
        <v>13.45</v>
      </c>
    </row>
    <row r="620" spans="1:13" x14ac:dyDescent="0.3">
      <c r="A620" s="1">
        <v>45110</v>
      </c>
      <c r="B620">
        <v>376.95</v>
      </c>
      <c r="C620">
        <v>376.95</v>
      </c>
      <c r="D620">
        <v>345</v>
      </c>
      <c r="E620">
        <v>357.85</v>
      </c>
      <c r="F620">
        <v>355.73538053908902</v>
      </c>
      <c r="G620">
        <v>58877</v>
      </c>
      <c r="H620">
        <v>2990</v>
      </c>
      <c r="I620">
        <v>20944632</v>
      </c>
      <c r="J620">
        <v>29610</v>
      </c>
      <c r="K620">
        <v>50.29</v>
      </c>
      <c r="L620">
        <v>31.95</v>
      </c>
      <c r="M620">
        <v>-19.100000000000001</v>
      </c>
    </row>
    <row r="621" spans="1:13" x14ac:dyDescent="0.3">
      <c r="A621" s="1">
        <v>45111</v>
      </c>
      <c r="B621">
        <v>358.65</v>
      </c>
      <c r="C621">
        <v>363.15</v>
      </c>
      <c r="D621">
        <v>352.05</v>
      </c>
      <c r="E621">
        <v>358.5</v>
      </c>
      <c r="F621">
        <v>357.520608553908</v>
      </c>
      <c r="G621">
        <v>12883</v>
      </c>
      <c r="H621">
        <v>941</v>
      </c>
      <c r="I621">
        <v>4605938</v>
      </c>
      <c r="J621">
        <v>7015</v>
      </c>
      <c r="K621">
        <v>54.45</v>
      </c>
      <c r="L621">
        <v>11.1</v>
      </c>
      <c r="M621">
        <v>-0.15</v>
      </c>
    </row>
    <row r="622" spans="1:13" x14ac:dyDescent="0.3">
      <c r="A622" s="1">
        <v>45112</v>
      </c>
      <c r="B622">
        <v>354.6</v>
      </c>
      <c r="C622">
        <v>364.05</v>
      </c>
      <c r="D622">
        <v>354.6</v>
      </c>
      <c r="E622">
        <v>359.2</v>
      </c>
      <c r="F622">
        <v>359.41134416232899</v>
      </c>
      <c r="G622">
        <v>19023</v>
      </c>
      <c r="H622">
        <v>1109</v>
      </c>
      <c r="I622">
        <v>6837082</v>
      </c>
      <c r="J622">
        <v>12473</v>
      </c>
      <c r="K622">
        <v>65.569999999999993</v>
      </c>
      <c r="L622">
        <v>9.4499999999999993</v>
      </c>
      <c r="M622">
        <v>4.5999999999999996</v>
      </c>
    </row>
    <row r="623" spans="1:13" x14ac:dyDescent="0.3">
      <c r="A623" s="1">
        <v>45113</v>
      </c>
      <c r="B623">
        <v>357.75</v>
      </c>
      <c r="C623">
        <v>364.55</v>
      </c>
      <c r="D623">
        <v>352.15</v>
      </c>
      <c r="E623">
        <v>355.95</v>
      </c>
      <c r="F623">
        <v>358.79204325994499</v>
      </c>
      <c r="G623">
        <v>12945</v>
      </c>
      <c r="H623">
        <v>831</v>
      </c>
      <c r="I623">
        <v>4644563</v>
      </c>
      <c r="J623">
        <v>6584</v>
      </c>
      <c r="K623">
        <v>50.86</v>
      </c>
      <c r="L623">
        <v>12.4</v>
      </c>
      <c r="M623">
        <v>-1.8</v>
      </c>
    </row>
    <row r="624" spans="1:13" x14ac:dyDescent="0.3">
      <c r="A624" s="1">
        <v>45114</v>
      </c>
      <c r="B624">
        <v>351.15</v>
      </c>
      <c r="C624">
        <v>356.85</v>
      </c>
      <c r="D624">
        <v>342.3</v>
      </c>
      <c r="E624">
        <v>345.1</v>
      </c>
      <c r="F624">
        <v>348.84563094796601</v>
      </c>
      <c r="G624">
        <v>16182</v>
      </c>
      <c r="H624">
        <v>1148</v>
      </c>
      <c r="I624">
        <v>5645020</v>
      </c>
      <c r="J624">
        <v>9641</v>
      </c>
      <c r="K624">
        <v>59.58</v>
      </c>
      <c r="L624">
        <v>14.55</v>
      </c>
      <c r="M624">
        <v>-6.05</v>
      </c>
    </row>
    <row r="625" spans="1:13" x14ac:dyDescent="0.3">
      <c r="A625" s="1">
        <v>45117</v>
      </c>
      <c r="B625">
        <v>352</v>
      </c>
      <c r="C625">
        <v>358.45</v>
      </c>
      <c r="D625">
        <v>347.5</v>
      </c>
      <c r="E625">
        <v>353</v>
      </c>
      <c r="F625">
        <v>352.64345843563598</v>
      </c>
      <c r="G625">
        <v>5702</v>
      </c>
      <c r="H625">
        <v>501</v>
      </c>
      <c r="I625">
        <v>2010773</v>
      </c>
      <c r="J625">
        <v>3234</v>
      </c>
      <c r="K625">
        <v>56.72</v>
      </c>
      <c r="L625">
        <v>10.95</v>
      </c>
      <c r="M625">
        <v>1</v>
      </c>
    </row>
    <row r="626" spans="1:13" x14ac:dyDescent="0.3">
      <c r="A626" s="1">
        <v>45118</v>
      </c>
      <c r="B626">
        <v>355.65</v>
      </c>
      <c r="C626">
        <v>375</v>
      </c>
      <c r="D626">
        <v>355.65</v>
      </c>
      <c r="E626">
        <v>360.1</v>
      </c>
      <c r="F626">
        <v>366.53852361124501</v>
      </c>
      <c r="G626">
        <v>30981</v>
      </c>
      <c r="H626">
        <v>2020</v>
      </c>
      <c r="I626">
        <v>11355730</v>
      </c>
      <c r="J626">
        <v>15699</v>
      </c>
      <c r="K626">
        <v>50.67</v>
      </c>
      <c r="L626">
        <v>19.350000000000001</v>
      </c>
      <c r="M626">
        <v>4.45</v>
      </c>
    </row>
    <row r="627" spans="1:13" x14ac:dyDescent="0.3">
      <c r="A627" s="1">
        <v>45119</v>
      </c>
      <c r="B627">
        <v>363</v>
      </c>
      <c r="C627">
        <v>370.95</v>
      </c>
      <c r="D627">
        <v>357.3</v>
      </c>
      <c r="E627">
        <v>366.25</v>
      </c>
      <c r="F627">
        <v>363.017402054012</v>
      </c>
      <c r="G627">
        <v>21032</v>
      </c>
      <c r="H627">
        <v>1207</v>
      </c>
      <c r="I627">
        <v>7634982</v>
      </c>
      <c r="J627">
        <v>10136</v>
      </c>
      <c r="K627">
        <v>48.19</v>
      </c>
      <c r="L627">
        <v>13.65</v>
      </c>
      <c r="M627">
        <v>3.25</v>
      </c>
    </row>
    <row r="628" spans="1:13" x14ac:dyDescent="0.3">
      <c r="A628" s="1">
        <v>45120</v>
      </c>
      <c r="B628">
        <v>373.95</v>
      </c>
      <c r="C628">
        <v>383.45</v>
      </c>
      <c r="D628">
        <v>365</v>
      </c>
      <c r="E628">
        <v>367.4</v>
      </c>
      <c r="F628">
        <v>375.25763261994098</v>
      </c>
      <c r="G628">
        <v>19718</v>
      </c>
      <c r="H628">
        <v>1289</v>
      </c>
      <c r="I628">
        <v>7399330</v>
      </c>
      <c r="J628">
        <v>8520</v>
      </c>
      <c r="K628">
        <v>43.21</v>
      </c>
      <c r="L628">
        <v>18.45</v>
      </c>
      <c r="M628">
        <v>-6.55</v>
      </c>
    </row>
    <row r="629" spans="1:13" x14ac:dyDescent="0.3">
      <c r="A629" s="1">
        <v>45121</v>
      </c>
      <c r="B629">
        <v>379</v>
      </c>
      <c r="C629">
        <v>379</v>
      </c>
      <c r="D629">
        <v>365</v>
      </c>
      <c r="E629">
        <v>367.75</v>
      </c>
      <c r="F629">
        <v>369.06626038781098</v>
      </c>
      <c r="G629">
        <v>9025</v>
      </c>
      <c r="H629">
        <v>620</v>
      </c>
      <c r="I629">
        <v>3330823</v>
      </c>
      <c r="J629">
        <v>5807</v>
      </c>
      <c r="K629">
        <v>64.34</v>
      </c>
      <c r="L629">
        <v>14</v>
      </c>
      <c r="M629">
        <v>-11.25</v>
      </c>
    </row>
    <row r="630" spans="1:13" x14ac:dyDescent="0.3">
      <c r="A630" s="1">
        <v>45124</v>
      </c>
      <c r="B630">
        <v>346.6</v>
      </c>
      <c r="C630">
        <v>375</v>
      </c>
      <c r="D630">
        <v>346.6</v>
      </c>
      <c r="E630">
        <v>366.75</v>
      </c>
      <c r="F630">
        <v>366.18232890704797</v>
      </c>
      <c r="G630">
        <v>17622</v>
      </c>
      <c r="H630">
        <v>1276</v>
      </c>
      <c r="I630">
        <v>6452865</v>
      </c>
      <c r="J630">
        <v>9892</v>
      </c>
      <c r="K630">
        <v>56.13</v>
      </c>
      <c r="L630">
        <v>28.4</v>
      </c>
      <c r="M630">
        <v>20.149999999999999</v>
      </c>
    </row>
    <row r="631" spans="1:13" x14ac:dyDescent="0.3">
      <c r="A631" s="1">
        <v>45125</v>
      </c>
      <c r="B631">
        <v>364.05</v>
      </c>
      <c r="C631">
        <v>370.15</v>
      </c>
      <c r="D631">
        <v>361.2</v>
      </c>
      <c r="E631">
        <v>363.55</v>
      </c>
      <c r="F631">
        <v>364.52929739284099</v>
      </c>
      <c r="G631">
        <v>11315</v>
      </c>
      <c r="H631">
        <v>807</v>
      </c>
      <c r="I631">
        <v>4124649</v>
      </c>
      <c r="J631">
        <v>7678</v>
      </c>
      <c r="K631">
        <v>67.86</v>
      </c>
      <c r="L631">
        <v>8.9499999999999993</v>
      </c>
      <c r="M631">
        <v>-0.5</v>
      </c>
    </row>
    <row r="632" spans="1:13" x14ac:dyDescent="0.3">
      <c r="A632" s="1">
        <v>45126</v>
      </c>
      <c r="B632">
        <v>366.1</v>
      </c>
      <c r="C632">
        <v>385.35</v>
      </c>
      <c r="D632">
        <v>360.25</v>
      </c>
      <c r="E632">
        <v>376.05</v>
      </c>
      <c r="F632">
        <v>376.143249835456</v>
      </c>
      <c r="G632">
        <v>25829</v>
      </c>
      <c r="H632">
        <v>1497</v>
      </c>
      <c r="I632">
        <v>9715404</v>
      </c>
      <c r="J632">
        <v>12250</v>
      </c>
      <c r="K632">
        <v>47.43</v>
      </c>
      <c r="L632">
        <v>25.1</v>
      </c>
      <c r="M632">
        <v>9.9499999999999993</v>
      </c>
    </row>
    <row r="633" spans="1:13" x14ac:dyDescent="0.3">
      <c r="A633" s="1">
        <v>45127</v>
      </c>
      <c r="B633">
        <v>379.95</v>
      </c>
      <c r="C633">
        <v>393.85</v>
      </c>
      <c r="D633">
        <v>379.35</v>
      </c>
      <c r="E633">
        <v>391.2</v>
      </c>
      <c r="F633">
        <v>387.15746877015999</v>
      </c>
      <c r="G633">
        <v>17051</v>
      </c>
      <c r="H633">
        <v>1038</v>
      </c>
      <c r="I633">
        <v>6601422</v>
      </c>
      <c r="J633">
        <v>10423</v>
      </c>
      <c r="K633">
        <v>61.13</v>
      </c>
      <c r="L633">
        <v>14.5</v>
      </c>
      <c r="M633">
        <v>11.25</v>
      </c>
    </row>
    <row r="634" spans="1:13" x14ac:dyDescent="0.3">
      <c r="A634" s="1">
        <v>45128</v>
      </c>
      <c r="B634">
        <v>382.55</v>
      </c>
      <c r="C634">
        <v>449.55</v>
      </c>
      <c r="D634">
        <v>382.55</v>
      </c>
      <c r="E634">
        <v>419.2</v>
      </c>
      <c r="F634">
        <v>421.64572148628099</v>
      </c>
      <c r="G634">
        <v>94437</v>
      </c>
      <c r="H634">
        <v>5566</v>
      </c>
      <c r="I634">
        <v>39818957</v>
      </c>
      <c r="J634">
        <v>39558</v>
      </c>
      <c r="K634">
        <v>41.89</v>
      </c>
      <c r="L634">
        <v>67</v>
      </c>
      <c r="M634">
        <v>36.65</v>
      </c>
    </row>
    <row r="635" spans="1:13" x14ac:dyDescent="0.3">
      <c r="A635" s="1">
        <v>45131</v>
      </c>
      <c r="B635">
        <v>436.6</v>
      </c>
      <c r="C635">
        <v>445.15</v>
      </c>
      <c r="D635">
        <v>428</v>
      </c>
      <c r="E635">
        <v>443.2</v>
      </c>
      <c r="F635">
        <v>438.74675061410397</v>
      </c>
      <c r="G635">
        <v>41931</v>
      </c>
      <c r="H635">
        <v>2590</v>
      </c>
      <c r="I635">
        <v>18397090</v>
      </c>
      <c r="J635">
        <v>20839</v>
      </c>
      <c r="K635">
        <v>49.7</v>
      </c>
      <c r="L635">
        <v>17.149999999999999</v>
      </c>
      <c r="M635">
        <v>6.6</v>
      </c>
    </row>
    <row r="636" spans="1:13" x14ac:dyDescent="0.3">
      <c r="A636" s="1">
        <v>45132</v>
      </c>
      <c r="B636">
        <v>449.9</v>
      </c>
      <c r="C636">
        <v>453.35</v>
      </c>
      <c r="D636">
        <v>431</v>
      </c>
      <c r="E636">
        <v>434.3</v>
      </c>
      <c r="F636">
        <v>438.239348224379</v>
      </c>
      <c r="G636">
        <v>51306</v>
      </c>
      <c r="H636">
        <v>3480</v>
      </c>
      <c r="I636">
        <v>22484308</v>
      </c>
      <c r="J636">
        <v>32802</v>
      </c>
      <c r="K636">
        <v>63.93</v>
      </c>
      <c r="L636">
        <v>22.35</v>
      </c>
      <c r="M636">
        <v>-15.6</v>
      </c>
    </row>
    <row r="637" spans="1:13" x14ac:dyDescent="0.3">
      <c r="A637" s="1">
        <v>45133</v>
      </c>
      <c r="B637">
        <v>438</v>
      </c>
      <c r="C637">
        <v>440.45</v>
      </c>
      <c r="D637">
        <v>434</v>
      </c>
      <c r="E637">
        <v>436.6</v>
      </c>
      <c r="F637">
        <v>437.49521232306398</v>
      </c>
      <c r="G637">
        <v>14412</v>
      </c>
      <c r="H637">
        <v>1077</v>
      </c>
      <c r="I637">
        <v>6305181</v>
      </c>
      <c r="J637">
        <v>8099</v>
      </c>
      <c r="K637">
        <v>56.2</v>
      </c>
      <c r="L637">
        <v>6.45</v>
      </c>
      <c r="M637">
        <v>-1.4</v>
      </c>
    </row>
    <row r="638" spans="1:13" x14ac:dyDescent="0.3">
      <c r="A638" s="1">
        <v>45134</v>
      </c>
      <c r="B638">
        <v>448.95</v>
      </c>
      <c r="C638">
        <v>452.3</v>
      </c>
      <c r="D638">
        <v>432.9</v>
      </c>
      <c r="E638">
        <v>435.15</v>
      </c>
      <c r="F638">
        <v>441.03544254405898</v>
      </c>
      <c r="G638">
        <v>15377</v>
      </c>
      <c r="H638">
        <v>1168</v>
      </c>
      <c r="I638">
        <v>6781802</v>
      </c>
      <c r="J638">
        <v>9339</v>
      </c>
      <c r="K638">
        <v>60.73</v>
      </c>
      <c r="L638">
        <v>19.399999999999999</v>
      </c>
      <c r="M638">
        <v>-13.8</v>
      </c>
    </row>
    <row r="639" spans="1:13" x14ac:dyDescent="0.3">
      <c r="A639" s="1">
        <v>45135</v>
      </c>
      <c r="B639">
        <v>438.2</v>
      </c>
      <c r="C639">
        <v>474.45</v>
      </c>
      <c r="D639">
        <v>438.2</v>
      </c>
      <c r="E639">
        <v>464.1</v>
      </c>
      <c r="F639">
        <v>462.76427031382701</v>
      </c>
      <c r="G639">
        <v>45917</v>
      </c>
      <c r="H639">
        <v>2933</v>
      </c>
      <c r="I639">
        <v>21248747</v>
      </c>
      <c r="J639">
        <v>23339</v>
      </c>
      <c r="K639">
        <v>50.83</v>
      </c>
      <c r="L639">
        <v>36.25</v>
      </c>
      <c r="M639">
        <v>25.9</v>
      </c>
    </row>
    <row r="640" spans="1:13" x14ac:dyDescent="0.3">
      <c r="A640" s="1">
        <v>45138</v>
      </c>
      <c r="B640">
        <v>468.95</v>
      </c>
      <c r="C640">
        <v>481.65</v>
      </c>
      <c r="D640">
        <v>410</v>
      </c>
      <c r="E640">
        <v>419.25</v>
      </c>
      <c r="F640">
        <v>435.21051114428298</v>
      </c>
      <c r="G640">
        <v>97135</v>
      </c>
      <c r="H640">
        <v>5069</v>
      </c>
      <c r="I640">
        <v>42274173</v>
      </c>
      <c r="J640">
        <v>41655</v>
      </c>
      <c r="K640">
        <v>42.88</v>
      </c>
      <c r="L640">
        <v>71.650000000000006</v>
      </c>
      <c r="M640">
        <v>-49.7</v>
      </c>
    </row>
    <row r="641" spans="1:13" x14ac:dyDescent="0.3">
      <c r="A641" s="1">
        <v>45139</v>
      </c>
      <c r="B641">
        <v>459.6</v>
      </c>
      <c r="C641">
        <v>495.75</v>
      </c>
      <c r="D641">
        <v>439.5</v>
      </c>
      <c r="E641">
        <v>485.55</v>
      </c>
      <c r="F641">
        <v>464.95551453911202</v>
      </c>
      <c r="G641">
        <v>191793</v>
      </c>
      <c r="H641">
        <v>8876</v>
      </c>
      <c r="I641">
        <v>89175213</v>
      </c>
      <c r="J641">
        <v>67168</v>
      </c>
      <c r="K641">
        <v>35.020000000000003</v>
      </c>
      <c r="L641">
        <v>56.25</v>
      </c>
      <c r="M641">
        <v>25.95</v>
      </c>
    </row>
    <row r="642" spans="1:13" x14ac:dyDescent="0.3">
      <c r="A642" s="1">
        <v>45140</v>
      </c>
      <c r="B642">
        <v>494.4</v>
      </c>
      <c r="C642">
        <v>544.15</v>
      </c>
      <c r="D642">
        <v>480.05</v>
      </c>
      <c r="E642">
        <v>529.29999999999995</v>
      </c>
      <c r="F642">
        <v>521.96793913489</v>
      </c>
      <c r="G642">
        <v>142479</v>
      </c>
      <c r="H642">
        <v>8086</v>
      </c>
      <c r="I642">
        <v>74369470</v>
      </c>
      <c r="J642">
        <v>38901</v>
      </c>
      <c r="K642">
        <v>27.3</v>
      </c>
      <c r="L642">
        <v>64.099999999999994</v>
      </c>
      <c r="M642">
        <v>34.9</v>
      </c>
    </row>
    <row r="643" spans="1:13" x14ac:dyDescent="0.3">
      <c r="A643" s="1">
        <v>45141</v>
      </c>
      <c r="B643">
        <v>539.45000000000005</v>
      </c>
      <c r="C643">
        <v>578</v>
      </c>
      <c r="D643">
        <v>537</v>
      </c>
      <c r="E643">
        <v>572.04999999999995</v>
      </c>
      <c r="F643">
        <v>557.61818286553603</v>
      </c>
      <c r="G643">
        <v>138878</v>
      </c>
      <c r="H643">
        <v>7705</v>
      </c>
      <c r="I643">
        <v>77440898</v>
      </c>
      <c r="J643">
        <v>47416</v>
      </c>
      <c r="K643">
        <v>34.14</v>
      </c>
      <c r="L643">
        <v>41</v>
      </c>
      <c r="M643">
        <v>32.6</v>
      </c>
    </row>
    <row r="644" spans="1:13" x14ac:dyDescent="0.3">
      <c r="A644" s="1">
        <v>45142</v>
      </c>
      <c r="B644">
        <v>588</v>
      </c>
      <c r="C644">
        <v>605</v>
      </c>
      <c r="D644">
        <v>579.9</v>
      </c>
      <c r="E644">
        <v>599.6</v>
      </c>
      <c r="F644">
        <v>591.68541968162003</v>
      </c>
      <c r="G644">
        <v>49752</v>
      </c>
      <c r="H644">
        <v>2945</v>
      </c>
      <c r="I644">
        <v>29437533</v>
      </c>
      <c r="J644">
        <v>16719</v>
      </c>
      <c r="K644">
        <v>33.6</v>
      </c>
      <c r="L644">
        <v>25.1</v>
      </c>
      <c r="M644">
        <v>11.6</v>
      </c>
    </row>
    <row r="645" spans="1:13" x14ac:dyDescent="0.3">
      <c r="A645" s="1">
        <v>45145</v>
      </c>
      <c r="B645">
        <v>602.1</v>
      </c>
      <c r="C645">
        <v>615.65</v>
      </c>
      <c r="D645">
        <v>539.65</v>
      </c>
      <c r="E645">
        <v>587</v>
      </c>
      <c r="F645">
        <v>571.426011549603</v>
      </c>
      <c r="G645">
        <v>156369</v>
      </c>
      <c r="H645">
        <v>9230</v>
      </c>
      <c r="I645">
        <v>89353314</v>
      </c>
      <c r="J645">
        <v>75892</v>
      </c>
      <c r="K645">
        <v>48.53</v>
      </c>
      <c r="L645">
        <v>76</v>
      </c>
      <c r="M645">
        <v>-15.1</v>
      </c>
    </row>
    <row r="646" spans="1:13" x14ac:dyDescent="0.3">
      <c r="A646" s="1">
        <v>45146</v>
      </c>
      <c r="B646">
        <v>600</v>
      </c>
      <c r="C646">
        <v>600</v>
      </c>
      <c r="D646">
        <v>551.65</v>
      </c>
      <c r="E646">
        <v>573</v>
      </c>
      <c r="F646">
        <v>580.24365731094395</v>
      </c>
      <c r="G646">
        <v>40795</v>
      </c>
      <c r="H646">
        <v>2632</v>
      </c>
      <c r="I646">
        <v>23671040</v>
      </c>
      <c r="J646">
        <v>20972</v>
      </c>
      <c r="K646">
        <v>51.41</v>
      </c>
      <c r="L646">
        <v>48.35</v>
      </c>
      <c r="M646">
        <v>-27</v>
      </c>
    </row>
    <row r="647" spans="1:13" x14ac:dyDescent="0.3">
      <c r="A647" s="1">
        <v>45147</v>
      </c>
      <c r="B647">
        <v>559.95000000000005</v>
      </c>
      <c r="C647">
        <v>572.65</v>
      </c>
      <c r="D647">
        <v>522.6</v>
      </c>
      <c r="E647">
        <v>527.9</v>
      </c>
      <c r="F647">
        <v>541.13841545510502</v>
      </c>
      <c r="G647">
        <v>95813</v>
      </c>
      <c r="H647">
        <v>5941</v>
      </c>
      <c r="I647">
        <v>51848095</v>
      </c>
      <c r="J647">
        <v>56323</v>
      </c>
      <c r="K647">
        <v>58.78</v>
      </c>
      <c r="L647">
        <v>50.05</v>
      </c>
      <c r="M647">
        <v>-32.049999999999997</v>
      </c>
    </row>
    <row r="648" spans="1:13" x14ac:dyDescent="0.3">
      <c r="A648" s="1">
        <v>45148</v>
      </c>
      <c r="B648">
        <v>510</v>
      </c>
      <c r="C648">
        <v>515.70000000000005</v>
      </c>
      <c r="D648">
        <v>501.55</v>
      </c>
      <c r="E648">
        <v>501.55</v>
      </c>
      <c r="F648">
        <v>503.48750000000001</v>
      </c>
      <c r="G648">
        <v>34400</v>
      </c>
      <c r="H648">
        <v>1435</v>
      </c>
      <c r="I648">
        <v>17319970</v>
      </c>
      <c r="J648">
        <v>34400</v>
      </c>
      <c r="K648">
        <v>100</v>
      </c>
      <c r="L648">
        <v>14.15</v>
      </c>
      <c r="M648">
        <v>-8.4499999999999993</v>
      </c>
    </row>
    <row r="649" spans="1:13" x14ac:dyDescent="0.3">
      <c r="A649" s="1">
        <v>45149</v>
      </c>
      <c r="B649">
        <v>476.5</v>
      </c>
      <c r="C649">
        <v>478</v>
      </c>
      <c r="D649">
        <v>476.5</v>
      </c>
      <c r="E649">
        <v>476.5</v>
      </c>
      <c r="F649">
        <v>476.50412560165</v>
      </c>
      <c r="G649">
        <v>8726</v>
      </c>
      <c r="H649">
        <v>627</v>
      </c>
      <c r="I649">
        <v>4157975</v>
      </c>
      <c r="J649">
        <v>8726</v>
      </c>
      <c r="K649">
        <v>100</v>
      </c>
      <c r="L649">
        <v>1.5</v>
      </c>
      <c r="M649">
        <v>0</v>
      </c>
    </row>
    <row r="650" spans="1:13" x14ac:dyDescent="0.3">
      <c r="A650" s="1">
        <v>45152</v>
      </c>
      <c r="B650">
        <v>452.7</v>
      </c>
      <c r="C650">
        <v>500.3</v>
      </c>
      <c r="D650">
        <v>452.7</v>
      </c>
      <c r="E650">
        <v>500.3</v>
      </c>
      <c r="F650">
        <v>470.67349446947901</v>
      </c>
      <c r="G650">
        <v>53702</v>
      </c>
      <c r="H650">
        <v>1413</v>
      </c>
      <c r="I650">
        <v>25276108</v>
      </c>
      <c r="J650">
        <v>53702</v>
      </c>
      <c r="K650">
        <v>100</v>
      </c>
      <c r="L650">
        <v>47.6</v>
      </c>
      <c r="M650">
        <v>47.6</v>
      </c>
    </row>
    <row r="651" spans="1:13" x14ac:dyDescent="0.3">
      <c r="A651" s="1">
        <v>45154</v>
      </c>
      <c r="B651">
        <v>525.29999999999995</v>
      </c>
      <c r="C651">
        <v>525.29999999999995</v>
      </c>
      <c r="D651">
        <v>493</v>
      </c>
      <c r="E651">
        <v>502.75</v>
      </c>
      <c r="F651">
        <v>508.392011778474</v>
      </c>
      <c r="G651">
        <v>26489</v>
      </c>
      <c r="H651">
        <v>1204</v>
      </c>
      <c r="I651">
        <v>13466796</v>
      </c>
      <c r="J651">
        <v>26489</v>
      </c>
      <c r="K651">
        <v>100</v>
      </c>
      <c r="L651">
        <v>32.299999999999997</v>
      </c>
      <c r="M651">
        <v>-22.55</v>
      </c>
    </row>
    <row r="652" spans="1:13" x14ac:dyDescent="0.3">
      <c r="A652" s="1">
        <v>45155</v>
      </c>
      <c r="B652">
        <v>490</v>
      </c>
      <c r="C652">
        <v>509</v>
      </c>
      <c r="D652">
        <v>490</v>
      </c>
      <c r="E652">
        <v>495.35</v>
      </c>
      <c r="F652">
        <v>497.18746475469197</v>
      </c>
      <c r="G652">
        <v>12413</v>
      </c>
      <c r="H652">
        <v>793</v>
      </c>
      <c r="I652">
        <v>6171588</v>
      </c>
      <c r="J652">
        <v>12413</v>
      </c>
      <c r="K652">
        <v>100</v>
      </c>
      <c r="L652">
        <v>19</v>
      </c>
      <c r="M652">
        <v>5.35</v>
      </c>
    </row>
    <row r="653" spans="1:13" x14ac:dyDescent="0.3">
      <c r="A653" s="1">
        <v>45156</v>
      </c>
      <c r="B653">
        <v>495.35</v>
      </c>
      <c r="C653">
        <v>503</v>
      </c>
      <c r="D653">
        <v>470.6</v>
      </c>
      <c r="E653">
        <v>476.25</v>
      </c>
      <c r="F653">
        <v>476.23368780359698</v>
      </c>
      <c r="G653">
        <v>22851</v>
      </c>
      <c r="H653">
        <v>1557</v>
      </c>
      <c r="I653">
        <v>10882416</v>
      </c>
      <c r="J653">
        <v>22851</v>
      </c>
      <c r="K653">
        <v>100</v>
      </c>
      <c r="L653">
        <v>32.4</v>
      </c>
      <c r="M653">
        <v>-19.100000000000001</v>
      </c>
    </row>
    <row r="654" spans="1:13" x14ac:dyDescent="0.3">
      <c r="A654" s="1">
        <v>45159</v>
      </c>
      <c r="B654">
        <v>476.25</v>
      </c>
      <c r="C654">
        <v>488.95</v>
      </c>
      <c r="D654">
        <v>454</v>
      </c>
      <c r="E654">
        <v>460.5</v>
      </c>
      <c r="F654">
        <v>465.777716001334</v>
      </c>
      <c r="G654">
        <v>8993</v>
      </c>
      <c r="H654">
        <v>500</v>
      </c>
      <c r="I654">
        <v>4188739</v>
      </c>
      <c r="J654">
        <v>8993</v>
      </c>
      <c r="K654">
        <v>100</v>
      </c>
      <c r="L654">
        <v>34.950000000000003</v>
      </c>
      <c r="M654">
        <v>-15.75</v>
      </c>
    </row>
    <row r="655" spans="1:13" x14ac:dyDescent="0.3">
      <c r="A655" s="1">
        <v>45160</v>
      </c>
      <c r="B655">
        <v>454.05</v>
      </c>
      <c r="C655">
        <v>483.5</v>
      </c>
      <c r="D655">
        <v>445.2</v>
      </c>
      <c r="E655">
        <v>483</v>
      </c>
      <c r="F655">
        <v>464.49473501000699</v>
      </c>
      <c r="G655">
        <v>11491</v>
      </c>
      <c r="H655">
        <v>498</v>
      </c>
      <c r="I655">
        <v>5337509</v>
      </c>
      <c r="J655">
        <v>11491</v>
      </c>
      <c r="K655">
        <v>100</v>
      </c>
      <c r="L655">
        <v>38.299999999999997</v>
      </c>
      <c r="M655">
        <v>28.95</v>
      </c>
    </row>
    <row r="656" spans="1:13" x14ac:dyDescent="0.3">
      <c r="A656" s="1">
        <v>45161</v>
      </c>
      <c r="B656">
        <v>483.95</v>
      </c>
      <c r="C656">
        <v>490</v>
      </c>
      <c r="D656">
        <v>476</v>
      </c>
      <c r="E656">
        <v>483.05</v>
      </c>
      <c r="F656">
        <v>485.62409320729802</v>
      </c>
      <c r="G656">
        <v>4549</v>
      </c>
      <c r="H656">
        <v>213</v>
      </c>
      <c r="I656">
        <v>2209104</v>
      </c>
      <c r="J656">
        <v>4549</v>
      </c>
      <c r="K656">
        <v>100</v>
      </c>
      <c r="L656">
        <v>14</v>
      </c>
      <c r="M656">
        <v>-0.9</v>
      </c>
    </row>
    <row r="657" spans="1:13" x14ac:dyDescent="0.3">
      <c r="A657" s="1">
        <v>45162</v>
      </c>
      <c r="B657">
        <v>483</v>
      </c>
      <c r="C657">
        <v>489.5</v>
      </c>
      <c r="D657">
        <v>469</v>
      </c>
      <c r="E657">
        <v>477</v>
      </c>
      <c r="F657">
        <v>478.19202212840202</v>
      </c>
      <c r="G657">
        <v>6869</v>
      </c>
      <c r="H657">
        <v>321</v>
      </c>
      <c r="I657">
        <v>3284701</v>
      </c>
      <c r="J657">
        <v>6869</v>
      </c>
      <c r="K657">
        <v>100</v>
      </c>
      <c r="L657">
        <v>20.5</v>
      </c>
      <c r="M657">
        <v>-6</v>
      </c>
    </row>
    <row r="658" spans="1:13" x14ac:dyDescent="0.3">
      <c r="A658" s="1">
        <v>45163</v>
      </c>
      <c r="B658">
        <v>472</v>
      </c>
      <c r="C658">
        <v>477.7</v>
      </c>
      <c r="D658">
        <v>462</v>
      </c>
      <c r="E658">
        <v>465.65</v>
      </c>
      <c r="F658">
        <v>466.354949238578</v>
      </c>
      <c r="G658">
        <v>7880</v>
      </c>
      <c r="H658">
        <v>747</v>
      </c>
      <c r="I658">
        <v>3674877</v>
      </c>
      <c r="J658">
        <v>7880</v>
      </c>
      <c r="K658">
        <v>100</v>
      </c>
      <c r="L658">
        <v>15.7</v>
      </c>
      <c r="M658">
        <v>-6.35</v>
      </c>
    </row>
    <row r="659" spans="1:13" x14ac:dyDescent="0.3">
      <c r="A659" s="1">
        <v>45166</v>
      </c>
      <c r="B659">
        <v>455.05</v>
      </c>
      <c r="C659">
        <v>465</v>
      </c>
      <c r="D659">
        <v>452</v>
      </c>
      <c r="E659">
        <v>454.45</v>
      </c>
      <c r="F659">
        <v>455.35085595711502</v>
      </c>
      <c r="G659">
        <v>11566</v>
      </c>
      <c r="H659">
        <v>979</v>
      </c>
      <c r="I659">
        <v>5266588</v>
      </c>
      <c r="J659">
        <v>11566</v>
      </c>
      <c r="K659">
        <v>100</v>
      </c>
      <c r="L659">
        <v>13</v>
      </c>
      <c r="M659">
        <v>-0.6</v>
      </c>
    </row>
    <row r="660" spans="1:13" x14ac:dyDescent="0.3">
      <c r="A660" s="1">
        <v>45167</v>
      </c>
      <c r="B660">
        <v>450.55</v>
      </c>
      <c r="C660">
        <v>477.15</v>
      </c>
      <c r="D660">
        <v>450.55</v>
      </c>
      <c r="E660">
        <v>476.3</v>
      </c>
      <c r="F660">
        <v>471.97803670859901</v>
      </c>
      <c r="G660">
        <v>9698</v>
      </c>
      <c r="H660">
        <v>534</v>
      </c>
      <c r="I660">
        <v>4577243</v>
      </c>
      <c r="J660">
        <v>9698</v>
      </c>
      <c r="K660">
        <v>100</v>
      </c>
      <c r="L660">
        <v>26.6</v>
      </c>
      <c r="M660">
        <v>25.75</v>
      </c>
    </row>
    <row r="661" spans="1:13" x14ac:dyDescent="0.3">
      <c r="A661" s="1">
        <v>45168</v>
      </c>
      <c r="B661">
        <v>480.05</v>
      </c>
      <c r="C661">
        <v>490</v>
      </c>
      <c r="D661">
        <v>465</v>
      </c>
      <c r="E661">
        <v>475.45</v>
      </c>
      <c r="F661">
        <v>475.76648841354699</v>
      </c>
      <c r="G661">
        <v>13464</v>
      </c>
      <c r="H661">
        <v>553</v>
      </c>
      <c r="I661">
        <v>6405720</v>
      </c>
      <c r="J661">
        <v>13464</v>
      </c>
      <c r="K661">
        <v>100</v>
      </c>
      <c r="L661">
        <v>25</v>
      </c>
      <c r="M661">
        <v>-4.5999999999999996</v>
      </c>
    </row>
    <row r="662" spans="1:13" x14ac:dyDescent="0.3">
      <c r="A662" s="1">
        <v>45169</v>
      </c>
      <c r="B662">
        <v>475</v>
      </c>
      <c r="C662">
        <v>475</v>
      </c>
      <c r="D662">
        <v>466</v>
      </c>
      <c r="E662">
        <v>468.8</v>
      </c>
      <c r="F662">
        <v>468.00695220360001</v>
      </c>
      <c r="G662">
        <v>8055</v>
      </c>
      <c r="H662">
        <v>456</v>
      </c>
      <c r="I662">
        <v>3769796</v>
      </c>
      <c r="J662">
        <v>8055</v>
      </c>
      <c r="K662">
        <v>100</v>
      </c>
      <c r="L662">
        <v>9</v>
      </c>
      <c r="M662">
        <v>-6.2</v>
      </c>
    </row>
    <row r="663" spans="1:13" x14ac:dyDescent="0.3">
      <c r="A663" s="1">
        <v>45170</v>
      </c>
      <c r="B663">
        <v>461.25</v>
      </c>
      <c r="C663">
        <v>478.9</v>
      </c>
      <c r="D663">
        <v>461.25</v>
      </c>
      <c r="E663">
        <v>470.7</v>
      </c>
      <c r="F663">
        <v>471.75867890682701</v>
      </c>
      <c r="G663">
        <v>9477</v>
      </c>
      <c r="H663">
        <v>459</v>
      </c>
      <c r="I663">
        <v>4470857</v>
      </c>
      <c r="J663">
        <v>9477</v>
      </c>
      <c r="K663">
        <v>100</v>
      </c>
      <c r="L663">
        <v>17.649999999999999</v>
      </c>
      <c r="M663">
        <v>9.4499999999999993</v>
      </c>
    </row>
    <row r="664" spans="1:13" x14ac:dyDescent="0.3">
      <c r="A664" s="1">
        <v>45173</v>
      </c>
      <c r="B664">
        <v>473.95</v>
      </c>
      <c r="C664">
        <v>480</v>
      </c>
      <c r="D664">
        <v>463.9</v>
      </c>
      <c r="E664">
        <v>465.3</v>
      </c>
      <c r="F664">
        <v>472.926229508196</v>
      </c>
      <c r="G664">
        <v>5490</v>
      </c>
      <c r="H664">
        <v>299</v>
      </c>
      <c r="I664">
        <v>2596365</v>
      </c>
      <c r="J664">
        <v>5490</v>
      </c>
      <c r="K664">
        <v>100</v>
      </c>
      <c r="L664">
        <v>16.100000000000001</v>
      </c>
      <c r="M664">
        <v>-8.65</v>
      </c>
    </row>
    <row r="665" spans="1:13" x14ac:dyDescent="0.3">
      <c r="A665" s="1">
        <v>45174</v>
      </c>
      <c r="B665">
        <v>472.8</v>
      </c>
      <c r="C665">
        <v>473.85</v>
      </c>
      <c r="D665">
        <v>463.1</v>
      </c>
      <c r="E665">
        <v>465.8</v>
      </c>
      <c r="F665">
        <v>466.86226622662201</v>
      </c>
      <c r="G665">
        <v>4545</v>
      </c>
      <c r="H665">
        <v>182</v>
      </c>
      <c r="I665">
        <v>2121889</v>
      </c>
      <c r="J665">
        <v>4545</v>
      </c>
      <c r="K665">
        <v>100</v>
      </c>
      <c r="L665">
        <v>10.75</v>
      </c>
      <c r="M665">
        <v>-7</v>
      </c>
    </row>
    <row r="666" spans="1:13" x14ac:dyDescent="0.3">
      <c r="A666" s="1">
        <v>45175</v>
      </c>
      <c r="B666">
        <v>472.55</v>
      </c>
      <c r="C666">
        <v>472.55</v>
      </c>
      <c r="D666">
        <v>460</v>
      </c>
      <c r="E666">
        <v>463.85</v>
      </c>
      <c r="F666">
        <v>463.46634901727202</v>
      </c>
      <c r="G666">
        <v>5037</v>
      </c>
      <c r="H666">
        <v>454</v>
      </c>
      <c r="I666">
        <v>2334480</v>
      </c>
      <c r="J666">
        <v>5037</v>
      </c>
      <c r="K666">
        <v>100</v>
      </c>
      <c r="L666">
        <v>12.55</v>
      </c>
      <c r="M666">
        <v>-8.6999999999999993</v>
      </c>
    </row>
    <row r="667" spans="1:13" x14ac:dyDescent="0.3">
      <c r="A667" s="1">
        <v>45176</v>
      </c>
      <c r="B667">
        <v>464.35</v>
      </c>
      <c r="C667">
        <v>475</v>
      </c>
      <c r="D667">
        <v>454.5</v>
      </c>
      <c r="E667">
        <v>462.4</v>
      </c>
      <c r="F667">
        <v>461.25637378268902</v>
      </c>
      <c r="G667">
        <v>9139</v>
      </c>
      <c r="H667">
        <v>694</v>
      </c>
      <c r="I667">
        <v>4215422</v>
      </c>
      <c r="J667">
        <v>9139</v>
      </c>
      <c r="K667">
        <v>100</v>
      </c>
      <c r="L667">
        <v>20.5</v>
      </c>
      <c r="M667">
        <v>-1.95</v>
      </c>
    </row>
    <row r="668" spans="1:13" x14ac:dyDescent="0.3">
      <c r="A668" s="1">
        <v>45177</v>
      </c>
      <c r="B668">
        <v>463.95</v>
      </c>
      <c r="C668">
        <v>475</v>
      </c>
      <c r="D668">
        <v>462.4</v>
      </c>
      <c r="E668">
        <v>471.3</v>
      </c>
      <c r="F668">
        <v>468.29482841952603</v>
      </c>
      <c r="G668">
        <v>2069</v>
      </c>
      <c r="H668">
        <v>138</v>
      </c>
      <c r="I668">
        <v>968902</v>
      </c>
      <c r="J668">
        <v>2069</v>
      </c>
      <c r="K668">
        <v>100</v>
      </c>
      <c r="L668">
        <v>12.6</v>
      </c>
      <c r="M668">
        <v>7.35</v>
      </c>
    </row>
    <row r="669" spans="1:13" x14ac:dyDescent="0.3">
      <c r="A669" s="1">
        <v>45180</v>
      </c>
      <c r="B669">
        <v>482</v>
      </c>
      <c r="C669">
        <v>494.85</v>
      </c>
      <c r="D669">
        <v>480.05</v>
      </c>
      <c r="E669">
        <v>494.85</v>
      </c>
      <c r="F669">
        <v>488.14552753732198</v>
      </c>
      <c r="G669">
        <v>7971</v>
      </c>
      <c r="H669">
        <v>251</v>
      </c>
      <c r="I669">
        <v>3891008</v>
      </c>
      <c r="J669">
        <v>7971</v>
      </c>
      <c r="K669">
        <v>100</v>
      </c>
      <c r="L669">
        <v>14.8</v>
      </c>
      <c r="M669">
        <v>12.85</v>
      </c>
    </row>
    <row r="670" spans="1:13" x14ac:dyDescent="0.3">
      <c r="A670" s="1">
        <v>45181</v>
      </c>
      <c r="B670">
        <v>518.79999999999995</v>
      </c>
      <c r="C670">
        <v>519.54999999999995</v>
      </c>
      <c r="D670">
        <v>480</v>
      </c>
      <c r="E670">
        <v>494.1</v>
      </c>
      <c r="F670">
        <v>502.32468939612801</v>
      </c>
      <c r="G670">
        <v>13844</v>
      </c>
      <c r="H670">
        <v>427</v>
      </c>
      <c r="I670">
        <v>6954183</v>
      </c>
      <c r="J670">
        <v>13844</v>
      </c>
      <c r="K670">
        <v>100</v>
      </c>
      <c r="L670">
        <v>39.549999999999997</v>
      </c>
      <c r="M670">
        <v>-24.7</v>
      </c>
    </row>
    <row r="671" spans="1:13" x14ac:dyDescent="0.3">
      <c r="A671" s="1">
        <v>45182</v>
      </c>
      <c r="B671">
        <v>492.95</v>
      </c>
      <c r="C671">
        <v>495</v>
      </c>
      <c r="D671">
        <v>471.2</v>
      </c>
      <c r="E671">
        <v>486.3</v>
      </c>
      <c r="F671">
        <v>483.08532423208101</v>
      </c>
      <c r="G671">
        <v>10548</v>
      </c>
      <c r="H671">
        <v>536</v>
      </c>
      <c r="I671">
        <v>5095584</v>
      </c>
      <c r="J671">
        <v>10548</v>
      </c>
      <c r="K671">
        <v>100</v>
      </c>
      <c r="L671">
        <v>23.8</v>
      </c>
      <c r="M671">
        <v>-6.65</v>
      </c>
    </row>
    <row r="672" spans="1:13" x14ac:dyDescent="0.3">
      <c r="A672" s="1">
        <v>45183</v>
      </c>
      <c r="B672">
        <v>480.05</v>
      </c>
      <c r="C672">
        <v>498.9</v>
      </c>
      <c r="D672">
        <v>480.05</v>
      </c>
      <c r="E672">
        <v>489.25</v>
      </c>
      <c r="F672">
        <v>494.50825978728199</v>
      </c>
      <c r="G672">
        <v>4419</v>
      </c>
      <c r="H672">
        <v>142</v>
      </c>
      <c r="I672">
        <v>2185232</v>
      </c>
      <c r="J672">
        <v>4419</v>
      </c>
      <c r="K672">
        <v>100</v>
      </c>
      <c r="L672">
        <v>18.850000000000001</v>
      </c>
      <c r="M672">
        <v>9.1999999999999993</v>
      </c>
    </row>
    <row r="673" spans="1:13" x14ac:dyDescent="0.3">
      <c r="A673" s="1">
        <v>45184</v>
      </c>
      <c r="B673">
        <v>489</v>
      </c>
      <c r="C673">
        <v>500</v>
      </c>
      <c r="D673">
        <v>483.1</v>
      </c>
      <c r="E673">
        <v>489.9</v>
      </c>
      <c r="F673">
        <v>489.875727128503</v>
      </c>
      <c r="G673">
        <v>1891</v>
      </c>
      <c r="H673">
        <v>96</v>
      </c>
      <c r="I673">
        <v>926355</v>
      </c>
      <c r="J673">
        <v>1891</v>
      </c>
      <c r="K673">
        <v>100</v>
      </c>
      <c r="L673">
        <v>16.899999999999999</v>
      </c>
      <c r="M673">
        <v>0.9</v>
      </c>
    </row>
    <row r="674" spans="1:13" x14ac:dyDescent="0.3">
      <c r="A674" s="1">
        <v>45187</v>
      </c>
      <c r="B674">
        <v>490</v>
      </c>
      <c r="C674">
        <v>494.7</v>
      </c>
      <c r="D674">
        <v>475</v>
      </c>
      <c r="E674">
        <v>483.6</v>
      </c>
      <c r="F674">
        <v>486.86074049366198</v>
      </c>
      <c r="G674">
        <v>5996</v>
      </c>
      <c r="H674">
        <v>334</v>
      </c>
      <c r="I674">
        <v>2919217</v>
      </c>
      <c r="J674">
        <v>5996</v>
      </c>
      <c r="K674">
        <v>100</v>
      </c>
      <c r="L674">
        <v>19.7</v>
      </c>
      <c r="M674">
        <v>-6.4</v>
      </c>
    </row>
    <row r="675" spans="1:13" x14ac:dyDescent="0.3">
      <c r="A675" s="1">
        <v>45189</v>
      </c>
      <c r="B675">
        <v>470.55</v>
      </c>
      <c r="C675">
        <v>490.95</v>
      </c>
      <c r="D675">
        <v>470.55</v>
      </c>
      <c r="E675">
        <v>477.75</v>
      </c>
      <c r="F675">
        <v>478.53058890794699</v>
      </c>
      <c r="G675">
        <v>1749</v>
      </c>
      <c r="H675">
        <v>131</v>
      </c>
      <c r="I675">
        <v>836950</v>
      </c>
      <c r="J675">
        <v>1749</v>
      </c>
      <c r="K675">
        <v>100</v>
      </c>
      <c r="L675">
        <v>20.399999999999999</v>
      </c>
      <c r="M675">
        <v>7.2</v>
      </c>
    </row>
    <row r="676" spans="1:13" x14ac:dyDescent="0.3">
      <c r="A676" s="1">
        <v>45190</v>
      </c>
      <c r="B676">
        <v>472.05</v>
      </c>
      <c r="C676">
        <v>487.9</v>
      </c>
      <c r="D676">
        <v>460</v>
      </c>
      <c r="E676">
        <v>480.5</v>
      </c>
      <c r="F676">
        <v>470.95566962202503</v>
      </c>
      <c r="G676">
        <v>6429</v>
      </c>
      <c r="H676">
        <v>150</v>
      </c>
      <c r="I676">
        <v>3027774</v>
      </c>
      <c r="J676">
        <v>6429</v>
      </c>
      <c r="K676">
        <v>100</v>
      </c>
      <c r="L676">
        <v>27.9</v>
      </c>
      <c r="M676">
        <v>8.4499999999999993</v>
      </c>
    </row>
    <row r="677" spans="1:13" x14ac:dyDescent="0.3">
      <c r="A677" s="1">
        <v>45191</v>
      </c>
      <c r="B677">
        <v>476.8</v>
      </c>
      <c r="C677">
        <v>476.8</v>
      </c>
      <c r="D677">
        <v>466</v>
      </c>
      <c r="E677">
        <v>469.9</v>
      </c>
      <c r="F677">
        <v>468.679502369668</v>
      </c>
      <c r="G677">
        <v>5064</v>
      </c>
      <c r="H677">
        <v>456</v>
      </c>
      <c r="I677">
        <v>2373393</v>
      </c>
      <c r="J677">
        <v>5064</v>
      </c>
      <c r="K677">
        <v>100</v>
      </c>
      <c r="L677">
        <v>10.8</v>
      </c>
      <c r="M677">
        <v>-6.9</v>
      </c>
    </row>
    <row r="678" spans="1:13" x14ac:dyDescent="0.3">
      <c r="A678" s="1">
        <v>45194</v>
      </c>
      <c r="B678">
        <v>462.05</v>
      </c>
      <c r="C678">
        <v>475.6</v>
      </c>
      <c r="D678">
        <v>459</v>
      </c>
      <c r="E678">
        <v>465.4</v>
      </c>
      <c r="F678">
        <v>465.61285347043702</v>
      </c>
      <c r="G678">
        <v>5835</v>
      </c>
      <c r="H678">
        <v>365</v>
      </c>
      <c r="I678">
        <v>2716851</v>
      </c>
      <c r="J678">
        <v>5835</v>
      </c>
      <c r="K678">
        <v>100</v>
      </c>
      <c r="L678">
        <v>16.600000000000001</v>
      </c>
      <c r="M678">
        <v>3.35</v>
      </c>
    </row>
    <row r="679" spans="1:13" x14ac:dyDescent="0.3">
      <c r="A679" s="1">
        <v>45195</v>
      </c>
      <c r="B679">
        <v>468.85</v>
      </c>
      <c r="C679">
        <v>468.85</v>
      </c>
      <c r="D679">
        <v>451</v>
      </c>
      <c r="E679">
        <v>456.4</v>
      </c>
      <c r="F679">
        <v>457.81891610213597</v>
      </c>
      <c r="G679">
        <v>7676</v>
      </c>
      <c r="H679">
        <v>725</v>
      </c>
      <c r="I679">
        <v>3514218</v>
      </c>
      <c r="J679">
        <v>7676</v>
      </c>
      <c r="K679">
        <v>100</v>
      </c>
      <c r="L679">
        <v>17.850000000000001</v>
      </c>
      <c r="M679">
        <v>-12.45</v>
      </c>
    </row>
    <row r="680" spans="1:13" x14ac:dyDescent="0.3">
      <c r="A680" s="1">
        <v>45196</v>
      </c>
      <c r="B680">
        <v>449.55</v>
      </c>
      <c r="C680">
        <v>460</v>
      </c>
      <c r="D680">
        <v>449.55</v>
      </c>
      <c r="E680">
        <v>458.55</v>
      </c>
      <c r="F680">
        <v>456.92463363572898</v>
      </c>
      <c r="G680">
        <v>4299</v>
      </c>
      <c r="H680">
        <v>329</v>
      </c>
      <c r="I680">
        <v>1964319</v>
      </c>
      <c r="J680">
        <v>4299</v>
      </c>
      <c r="K680">
        <v>100</v>
      </c>
      <c r="L680">
        <v>10.45</v>
      </c>
      <c r="M680">
        <v>9</v>
      </c>
    </row>
    <row r="681" spans="1:13" x14ac:dyDescent="0.3">
      <c r="A681" s="1">
        <v>45197</v>
      </c>
      <c r="B681">
        <v>460</v>
      </c>
      <c r="C681">
        <v>460</v>
      </c>
      <c r="D681">
        <v>445.25</v>
      </c>
      <c r="E681">
        <v>450.3</v>
      </c>
      <c r="F681">
        <v>452.788215675375</v>
      </c>
      <c r="G681">
        <v>7196</v>
      </c>
      <c r="H681">
        <v>645</v>
      </c>
      <c r="I681">
        <v>3258264</v>
      </c>
      <c r="J681">
        <v>7196</v>
      </c>
      <c r="K681">
        <v>100</v>
      </c>
      <c r="L681">
        <v>14.75</v>
      </c>
      <c r="M681">
        <v>-9.6999999999999993</v>
      </c>
    </row>
    <row r="682" spans="1:13" x14ac:dyDescent="0.3">
      <c r="A682" s="1">
        <v>45198</v>
      </c>
      <c r="B682">
        <v>465.85</v>
      </c>
      <c r="C682">
        <v>465.85</v>
      </c>
      <c r="D682">
        <v>447</v>
      </c>
      <c r="E682">
        <v>452.2</v>
      </c>
      <c r="F682">
        <v>453.104619028819</v>
      </c>
      <c r="G682">
        <v>2533</v>
      </c>
      <c r="H682">
        <v>111</v>
      </c>
      <c r="I682">
        <v>1147714</v>
      </c>
      <c r="J682">
        <v>2533</v>
      </c>
      <c r="K682">
        <v>100</v>
      </c>
      <c r="L682">
        <v>18.850000000000001</v>
      </c>
      <c r="M682">
        <v>-13.65</v>
      </c>
    </row>
    <row r="683" spans="1:13" x14ac:dyDescent="0.3">
      <c r="A683" s="1">
        <v>45202</v>
      </c>
      <c r="B683">
        <v>450</v>
      </c>
      <c r="C683">
        <v>459.95</v>
      </c>
      <c r="D683">
        <v>449</v>
      </c>
      <c r="E683">
        <v>454.4</v>
      </c>
      <c r="F683">
        <v>453.01193887297001</v>
      </c>
      <c r="G683">
        <v>4188</v>
      </c>
      <c r="H683">
        <v>180</v>
      </c>
      <c r="I683">
        <v>1897214</v>
      </c>
      <c r="J683">
        <v>4188</v>
      </c>
      <c r="K683">
        <v>100</v>
      </c>
      <c r="L683">
        <v>10.95</v>
      </c>
      <c r="M683">
        <v>4.4000000000000004</v>
      </c>
    </row>
    <row r="684" spans="1:13" x14ac:dyDescent="0.3">
      <c r="A684" s="1">
        <v>45203</v>
      </c>
      <c r="B684">
        <v>454.3</v>
      </c>
      <c r="C684">
        <v>457.8</v>
      </c>
      <c r="D684">
        <v>441.6</v>
      </c>
      <c r="E684">
        <v>448</v>
      </c>
      <c r="F684">
        <v>448.02091313800599</v>
      </c>
      <c r="G684">
        <v>9659</v>
      </c>
      <c r="H684">
        <v>576</v>
      </c>
      <c r="I684">
        <v>4327434</v>
      </c>
      <c r="J684">
        <v>9659</v>
      </c>
      <c r="K684">
        <v>100</v>
      </c>
      <c r="L684">
        <v>16.2</v>
      </c>
      <c r="M684">
        <v>-6.3</v>
      </c>
    </row>
    <row r="685" spans="1:13" x14ac:dyDescent="0.3">
      <c r="A685" s="1">
        <v>45204</v>
      </c>
      <c r="B685">
        <v>446.9</v>
      </c>
      <c r="C685">
        <v>455</v>
      </c>
      <c r="D685">
        <v>440</v>
      </c>
      <c r="E685">
        <v>447.05</v>
      </c>
      <c r="F685">
        <v>445.42823529411697</v>
      </c>
      <c r="G685">
        <v>6375</v>
      </c>
      <c r="H685">
        <v>602</v>
      </c>
      <c r="I685">
        <v>2839605</v>
      </c>
      <c r="J685">
        <v>6375</v>
      </c>
      <c r="K685">
        <v>100</v>
      </c>
      <c r="L685">
        <v>15</v>
      </c>
      <c r="M685">
        <v>0.15</v>
      </c>
    </row>
    <row r="686" spans="1:13" x14ac:dyDescent="0.3">
      <c r="A686" s="1">
        <v>45205</v>
      </c>
      <c r="B686">
        <v>446.9</v>
      </c>
      <c r="C686">
        <v>447</v>
      </c>
      <c r="D686">
        <v>441.05</v>
      </c>
      <c r="E686">
        <v>444.25</v>
      </c>
      <c r="F686">
        <v>443.84480913307101</v>
      </c>
      <c r="G686">
        <v>5606</v>
      </c>
      <c r="H686">
        <v>398</v>
      </c>
      <c r="I686">
        <v>2488194</v>
      </c>
      <c r="J686">
        <v>5606</v>
      </c>
      <c r="K686">
        <v>100</v>
      </c>
      <c r="L686">
        <v>5.95</v>
      </c>
      <c r="M686">
        <v>-2.65</v>
      </c>
    </row>
    <row r="687" spans="1:13" x14ac:dyDescent="0.3">
      <c r="A687" s="1">
        <v>45208</v>
      </c>
      <c r="B687">
        <v>432</v>
      </c>
      <c r="C687">
        <v>440</v>
      </c>
      <c r="D687">
        <v>423</v>
      </c>
      <c r="E687">
        <v>425.35</v>
      </c>
      <c r="F687">
        <v>427.95824915824898</v>
      </c>
      <c r="G687">
        <v>5940</v>
      </c>
      <c r="H687">
        <v>378</v>
      </c>
      <c r="I687">
        <v>2542072</v>
      </c>
      <c r="J687">
        <v>5940</v>
      </c>
      <c r="K687">
        <v>100</v>
      </c>
      <c r="L687">
        <v>17</v>
      </c>
      <c r="M687">
        <v>-6.65</v>
      </c>
    </row>
    <row r="688" spans="1:13" x14ac:dyDescent="0.3">
      <c r="A688" s="1">
        <v>45209</v>
      </c>
      <c r="B688">
        <v>412.3</v>
      </c>
      <c r="C688">
        <v>445</v>
      </c>
      <c r="D688">
        <v>412.3</v>
      </c>
      <c r="E688">
        <v>435.4</v>
      </c>
      <c r="F688">
        <v>434.34097380409997</v>
      </c>
      <c r="G688">
        <v>7024</v>
      </c>
      <c r="H688">
        <v>525</v>
      </c>
      <c r="I688">
        <v>3050811</v>
      </c>
      <c r="J688">
        <v>7024</v>
      </c>
      <c r="K688">
        <v>100</v>
      </c>
      <c r="L688">
        <v>32.700000000000003</v>
      </c>
      <c r="M688">
        <v>23.1</v>
      </c>
    </row>
    <row r="689" spans="1:13" x14ac:dyDescent="0.3">
      <c r="A689" s="1">
        <v>45210</v>
      </c>
      <c r="B689">
        <v>436.75</v>
      </c>
      <c r="C689">
        <v>457.15</v>
      </c>
      <c r="D689">
        <v>436</v>
      </c>
      <c r="E689">
        <v>457.15</v>
      </c>
      <c r="F689">
        <v>452.45269429130298</v>
      </c>
      <c r="G689">
        <v>11246</v>
      </c>
      <c r="H689">
        <v>422</v>
      </c>
      <c r="I689">
        <v>5088283</v>
      </c>
      <c r="J689">
        <v>11246</v>
      </c>
      <c r="K689">
        <v>100</v>
      </c>
      <c r="L689">
        <v>21.15</v>
      </c>
      <c r="M689">
        <v>20.399999999999999</v>
      </c>
    </row>
    <row r="690" spans="1:13" x14ac:dyDescent="0.3">
      <c r="A690" s="1">
        <v>45211</v>
      </c>
      <c r="B690">
        <v>479</v>
      </c>
      <c r="C690">
        <v>480</v>
      </c>
      <c r="D690">
        <v>475.45</v>
      </c>
      <c r="E690">
        <v>480</v>
      </c>
      <c r="F690">
        <v>479.12648411227701</v>
      </c>
      <c r="G690">
        <v>14571</v>
      </c>
      <c r="H690">
        <v>438</v>
      </c>
      <c r="I690">
        <v>6981352</v>
      </c>
      <c r="J690">
        <v>14571</v>
      </c>
      <c r="K690">
        <v>100</v>
      </c>
      <c r="L690">
        <v>4.55</v>
      </c>
      <c r="M690">
        <v>1</v>
      </c>
    </row>
    <row r="691" spans="1:13" x14ac:dyDescent="0.3">
      <c r="A691" s="1">
        <v>45212</v>
      </c>
      <c r="B691">
        <v>493</v>
      </c>
      <c r="C691">
        <v>497</v>
      </c>
      <c r="D691">
        <v>483</v>
      </c>
      <c r="E691">
        <v>485.35</v>
      </c>
      <c r="F691">
        <v>488.53617257404397</v>
      </c>
      <c r="G691">
        <v>14417</v>
      </c>
      <c r="H691">
        <v>707</v>
      </c>
      <c r="I691">
        <v>7043226</v>
      </c>
      <c r="J691">
        <v>14417</v>
      </c>
      <c r="K691">
        <v>100</v>
      </c>
      <c r="L691">
        <v>14</v>
      </c>
      <c r="M691">
        <v>-7.65</v>
      </c>
    </row>
    <row r="692" spans="1:13" x14ac:dyDescent="0.3">
      <c r="A692" s="1">
        <v>45215</v>
      </c>
      <c r="B692">
        <v>499.5</v>
      </c>
      <c r="C692">
        <v>499.5</v>
      </c>
      <c r="D692">
        <v>465</v>
      </c>
      <c r="E692">
        <v>477.4</v>
      </c>
      <c r="F692">
        <v>478.23728398088002</v>
      </c>
      <c r="G692">
        <v>8159</v>
      </c>
      <c r="H692">
        <v>488</v>
      </c>
      <c r="I692">
        <v>3901938</v>
      </c>
      <c r="J692">
        <v>8159</v>
      </c>
      <c r="K692">
        <v>100</v>
      </c>
      <c r="L692">
        <v>34.5</v>
      </c>
      <c r="M692">
        <v>-22.1</v>
      </c>
    </row>
    <row r="693" spans="1:13" x14ac:dyDescent="0.3">
      <c r="A693" s="1">
        <v>45216</v>
      </c>
      <c r="B693">
        <v>477.5</v>
      </c>
      <c r="C693">
        <v>490</v>
      </c>
      <c r="D693">
        <v>477</v>
      </c>
      <c r="E693">
        <v>478.75</v>
      </c>
      <c r="F693">
        <v>481.06719278466699</v>
      </c>
      <c r="G693">
        <v>4435</v>
      </c>
      <c r="H693">
        <v>354</v>
      </c>
      <c r="I693">
        <v>2133533</v>
      </c>
      <c r="J693">
        <v>4435</v>
      </c>
      <c r="K693">
        <v>100</v>
      </c>
      <c r="L693">
        <v>13</v>
      </c>
      <c r="M693">
        <v>1.25</v>
      </c>
    </row>
    <row r="694" spans="1:13" x14ac:dyDescent="0.3">
      <c r="A694" s="1">
        <v>45217</v>
      </c>
      <c r="B694">
        <v>476</v>
      </c>
      <c r="C694">
        <v>478.75</v>
      </c>
      <c r="D694">
        <v>462.2</v>
      </c>
      <c r="E694">
        <v>467.85</v>
      </c>
      <c r="F694">
        <v>469.25522204669102</v>
      </c>
      <c r="G694">
        <v>5697</v>
      </c>
      <c r="H694">
        <v>612</v>
      </c>
      <c r="I694">
        <v>2673347</v>
      </c>
      <c r="J694">
        <v>5697</v>
      </c>
      <c r="K694">
        <v>100</v>
      </c>
      <c r="L694">
        <v>16.55</v>
      </c>
      <c r="M694">
        <v>-8.15</v>
      </c>
    </row>
    <row r="695" spans="1:13" x14ac:dyDescent="0.3">
      <c r="A695" s="1">
        <v>45218</v>
      </c>
      <c r="B695">
        <v>467.7</v>
      </c>
      <c r="C695">
        <v>477.75</v>
      </c>
      <c r="D695">
        <v>461</v>
      </c>
      <c r="E695">
        <v>469.45</v>
      </c>
      <c r="F695">
        <v>466.296391311783</v>
      </c>
      <c r="G695">
        <v>5847</v>
      </c>
      <c r="H695">
        <v>303</v>
      </c>
      <c r="I695">
        <v>2726435</v>
      </c>
      <c r="J695">
        <v>5847</v>
      </c>
      <c r="K695">
        <v>100</v>
      </c>
      <c r="L695">
        <v>16.75</v>
      </c>
      <c r="M695">
        <v>1.75</v>
      </c>
    </row>
    <row r="696" spans="1:13" x14ac:dyDescent="0.3">
      <c r="A696" s="1">
        <v>45219</v>
      </c>
      <c r="B696">
        <v>469.95</v>
      </c>
      <c r="C696">
        <v>472.95</v>
      </c>
      <c r="D696">
        <v>461.1</v>
      </c>
      <c r="E696">
        <v>462.7</v>
      </c>
      <c r="F696">
        <v>464.69060995184498</v>
      </c>
      <c r="G696">
        <v>2492</v>
      </c>
      <c r="H696">
        <v>98</v>
      </c>
      <c r="I696">
        <v>1158009</v>
      </c>
      <c r="J696">
        <v>2492</v>
      </c>
      <c r="K696">
        <v>100</v>
      </c>
      <c r="L696">
        <v>11.85</v>
      </c>
      <c r="M696">
        <v>-7.25</v>
      </c>
    </row>
    <row r="697" spans="1:13" x14ac:dyDescent="0.3">
      <c r="A697" s="1">
        <v>45222</v>
      </c>
      <c r="B697">
        <v>466</v>
      </c>
      <c r="C697">
        <v>467</v>
      </c>
      <c r="D697">
        <v>440</v>
      </c>
      <c r="E697">
        <v>452.95</v>
      </c>
      <c r="F697">
        <v>457.01875862068903</v>
      </c>
      <c r="G697">
        <v>3625</v>
      </c>
      <c r="H697">
        <v>192</v>
      </c>
      <c r="I697">
        <v>1656693</v>
      </c>
      <c r="J697">
        <v>3625</v>
      </c>
      <c r="K697">
        <v>100</v>
      </c>
      <c r="L697">
        <v>27</v>
      </c>
      <c r="M697">
        <v>-13.05</v>
      </c>
    </row>
    <row r="698" spans="1:13" x14ac:dyDescent="0.3">
      <c r="A698" s="1">
        <v>45224</v>
      </c>
      <c r="B698">
        <v>435.05</v>
      </c>
      <c r="C698">
        <v>454.95</v>
      </c>
      <c r="D698">
        <v>435</v>
      </c>
      <c r="E698">
        <v>436.5</v>
      </c>
      <c r="F698">
        <v>441.361532625189</v>
      </c>
      <c r="G698">
        <v>7908</v>
      </c>
      <c r="H698">
        <v>667</v>
      </c>
      <c r="I698">
        <v>3490287</v>
      </c>
      <c r="J698">
        <v>7908</v>
      </c>
      <c r="K698">
        <v>100</v>
      </c>
      <c r="L698">
        <v>19.95</v>
      </c>
      <c r="M698">
        <v>1.45</v>
      </c>
    </row>
    <row r="699" spans="1:13" x14ac:dyDescent="0.3">
      <c r="A699" s="1">
        <v>45225</v>
      </c>
      <c r="B699">
        <v>436.4</v>
      </c>
      <c r="C699">
        <v>436.4</v>
      </c>
      <c r="D699">
        <v>414.7</v>
      </c>
      <c r="E699">
        <v>429.75</v>
      </c>
      <c r="F699">
        <v>421.78747849253398</v>
      </c>
      <c r="G699">
        <v>18017</v>
      </c>
      <c r="H699">
        <v>973</v>
      </c>
      <c r="I699">
        <v>7599345</v>
      </c>
      <c r="J699">
        <v>18017</v>
      </c>
      <c r="K699">
        <v>100</v>
      </c>
      <c r="L699">
        <v>21.7</v>
      </c>
      <c r="M699">
        <v>-6.65</v>
      </c>
    </row>
    <row r="700" spans="1:13" x14ac:dyDescent="0.3">
      <c r="A700" s="1">
        <v>45226</v>
      </c>
      <c r="B700">
        <v>434.7</v>
      </c>
      <c r="C700">
        <v>451.2</v>
      </c>
      <c r="D700">
        <v>434.65</v>
      </c>
      <c r="E700">
        <v>451.2</v>
      </c>
      <c r="F700">
        <v>444.00192678227302</v>
      </c>
      <c r="G700">
        <v>519</v>
      </c>
      <c r="H700">
        <v>50</v>
      </c>
      <c r="I700">
        <v>230437</v>
      </c>
      <c r="J700">
        <v>519</v>
      </c>
      <c r="K700">
        <v>100</v>
      </c>
      <c r="L700">
        <v>16.55</v>
      </c>
      <c r="M700">
        <v>16.5</v>
      </c>
    </row>
    <row r="701" spans="1:13" x14ac:dyDescent="0.3">
      <c r="A701" s="1">
        <v>45229</v>
      </c>
      <c r="B701">
        <v>460.25</v>
      </c>
      <c r="C701">
        <v>467.7</v>
      </c>
      <c r="D701">
        <v>449</v>
      </c>
      <c r="E701">
        <v>455.95</v>
      </c>
      <c r="F701">
        <v>455.572298943948</v>
      </c>
      <c r="G701">
        <v>2462</v>
      </c>
      <c r="H701">
        <v>134</v>
      </c>
      <c r="I701">
        <v>1121619</v>
      </c>
      <c r="J701">
        <v>2462</v>
      </c>
      <c r="K701">
        <v>100</v>
      </c>
      <c r="L701">
        <v>18.7</v>
      </c>
      <c r="M701">
        <v>-4.3</v>
      </c>
    </row>
    <row r="702" spans="1:13" x14ac:dyDescent="0.3">
      <c r="A702" s="1">
        <v>45230</v>
      </c>
      <c r="B702">
        <v>461.85</v>
      </c>
      <c r="C702">
        <v>461.85</v>
      </c>
      <c r="D702">
        <v>444</v>
      </c>
      <c r="E702">
        <v>446.4</v>
      </c>
      <c r="F702">
        <v>448.56635139008301</v>
      </c>
      <c r="G702">
        <v>3489</v>
      </c>
      <c r="H702">
        <v>361</v>
      </c>
      <c r="I702">
        <v>1565048</v>
      </c>
      <c r="J702">
        <v>3489</v>
      </c>
      <c r="K702">
        <v>100</v>
      </c>
      <c r="L702">
        <v>17.850000000000001</v>
      </c>
      <c r="M702">
        <v>-15.45</v>
      </c>
    </row>
    <row r="703" spans="1:13" x14ac:dyDescent="0.3">
      <c r="A703" s="1">
        <v>45231</v>
      </c>
      <c r="B703">
        <v>446</v>
      </c>
      <c r="C703">
        <v>447</v>
      </c>
      <c r="D703">
        <v>438</v>
      </c>
      <c r="E703">
        <v>440.95</v>
      </c>
      <c r="F703">
        <v>443.21250855968901</v>
      </c>
      <c r="G703">
        <v>4381</v>
      </c>
      <c r="H703">
        <v>294</v>
      </c>
      <c r="I703">
        <v>1941714</v>
      </c>
      <c r="J703">
        <v>4381</v>
      </c>
      <c r="K703">
        <v>100</v>
      </c>
      <c r="L703">
        <v>9</v>
      </c>
      <c r="M703">
        <v>-5.05</v>
      </c>
    </row>
    <row r="704" spans="1:13" x14ac:dyDescent="0.3">
      <c r="A704" s="1">
        <v>45232</v>
      </c>
      <c r="B704">
        <v>440</v>
      </c>
      <c r="C704">
        <v>462.8</v>
      </c>
      <c r="D704">
        <v>440</v>
      </c>
      <c r="E704">
        <v>445.05</v>
      </c>
      <c r="F704">
        <v>450.57984628522598</v>
      </c>
      <c r="G704">
        <v>2342</v>
      </c>
      <c r="H704">
        <v>66</v>
      </c>
      <c r="I704">
        <v>1055258</v>
      </c>
      <c r="J704">
        <v>2342</v>
      </c>
      <c r="K704">
        <v>100</v>
      </c>
      <c r="L704">
        <v>22.8</v>
      </c>
      <c r="M704">
        <v>5.05</v>
      </c>
    </row>
    <row r="705" spans="1:13" x14ac:dyDescent="0.3">
      <c r="A705" s="1">
        <v>45233</v>
      </c>
      <c r="B705">
        <v>445</v>
      </c>
      <c r="C705">
        <v>457</v>
      </c>
      <c r="D705">
        <v>445</v>
      </c>
      <c r="E705">
        <v>451.2</v>
      </c>
      <c r="F705">
        <v>453.04284199363701</v>
      </c>
      <c r="G705">
        <v>4715</v>
      </c>
      <c r="H705">
        <v>196</v>
      </c>
      <c r="I705">
        <v>2136097</v>
      </c>
      <c r="J705">
        <v>4715</v>
      </c>
      <c r="K705">
        <v>100</v>
      </c>
      <c r="L705">
        <v>12</v>
      </c>
      <c r="M705">
        <v>6.2</v>
      </c>
    </row>
    <row r="706" spans="1:13" x14ac:dyDescent="0.3">
      <c r="A706" s="1">
        <v>45236</v>
      </c>
      <c r="B706">
        <v>457.2</v>
      </c>
      <c r="C706">
        <v>462</v>
      </c>
      <c r="D706">
        <v>451.7</v>
      </c>
      <c r="E706">
        <v>455.85</v>
      </c>
      <c r="F706">
        <v>456.53088235294098</v>
      </c>
      <c r="G706">
        <v>1360</v>
      </c>
      <c r="H706">
        <v>77</v>
      </c>
      <c r="I706">
        <v>620882</v>
      </c>
      <c r="J706">
        <v>1360</v>
      </c>
      <c r="K706">
        <v>100</v>
      </c>
      <c r="L706">
        <v>10.3</v>
      </c>
      <c r="M706">
        <v>-1.35</v>
      </c>
    </row>
    <row r="707" spans="1:13" x14ac:dyDescent="0.3">
      <c r="A707" s="1">
        <v>45237</v>
      </c>
      <c r="B707">
        <v>461.4</v>
      </c>
      <c r="C707">
        <v>461.4</v>
      </c>
      <c r="D707">
        <v>445.05</v>
      </c>
      <c r="E707">
        <v>446.2</v>
      </c>
      <c r="F707">
        <v>450.71117779444802</v>
      </c>
      <c r="G707">
        <v>1333</v>
      </c>
      <c r="H707">
        <v>91</v>
      </c>
      <c r="I707">
        <v>600798</v>
      </c>
      <c r="J707">
        <v>1333</v>
      </c>
      <c r="K707">
        <v>100</v>
      </c>
      <c r="L707">
        <v>16.350000000000001</v>
      </c>
      <c r="M707">
        <v>-15.2</v>
      </c>
    </row>
    <row r="708" spans="1:13" x14ac:dyDescent="0.3">
      <c r="A708" s="1">
        <v>45238</v>
      </c>
      <c r="B708">
        <v>452.95</v>
      </c>
      <c r="C708">
        <v>452.95</v>
      </c>
      <c r="D708">
        <v>442.05</v>
      </c>
      <c r="E708">
        <v>451.9</v>
      </c>
      <c r="F708">
        <v>449.85264663805401</v>
      </c>
      <c r="G708">
        <v>1398</v>
      </c>
      <c r="H708">
        <v>81</v>
      </c>
      <c r="I708">
        <v>628894</v>
      </c>
      <c r="J708">
        <v>1398</v>
      </c>
      <c r="K708">
        <v>100</v>
      </c>
      <c r="L708">
        <v>10.9</v>
      </c>
      <c r="M708">
        <v>-1.05</v>
      </c>
    </row>
    <row r="709" spans="1:13" x14ac:dyDescent="0.3">
      <c r="A709" s="1">
        <v>45239</v>
      </c>
      <c r="B709">
        <v>459.85</v>
      </c>
      <c r="C709">
        <v>459.85</v>
      </c>
      <c r="D709">
        <v>435</v>
      </c>
      <c r="E709">
        <v>440.9</v>
      </c>
      <c r="F709">
        <v>443.11417096959201</v>
      </c>
      <c r="G709">
        <v>3486</v>
      </c>
      <c r="H709">
        <v>117</v>
      </c>
      <c r="I709">
        <v>1544696</v>
      </c>
      <c r="J709">
        <v>3486</v>
      </c>
      <c r="K709">
        <v>100</v>
      </c>
      <c r="L709">
        <v>24.85</v>
      </c>
      <c r="M709">
        <v>-18.95</v>
      </c>
    </row>
    <row r="710" spans="1:13" x14ac:dyDescent="0.3">
      <c r="A710" s="1">
        <v>45240</v>
      </c>
      <c r="B710">
        <v>420</v>
      </c>
      <c r="C710">
        <v>424.9</v>
      </c>
      <c r="D710">
        <v>418.9</v>
      </c>
      <c r="E710">
        <v>418.9</v>
      </c>
      <c r="F710">
        <v>419.13580460765598</v>
      </c>
      <c r="G710">
        <v>11546</v>
      </c>
      <c r="H710">
        <v>618</v>
      </c>
      <c r="I710">
        <v>4839342</v>
      </c>
      <c r="J710">
        <v>11546</v>
      </c>
      <c r="K710">
        <v>100</v>
      </c>
      <c r="L710">
        <v>6</v>
      </c>
      <c r="M710">
        <v>-1.1000000000000001</v>
      </c>
    </row>
    <row r="711" spans="1:13" x14ac:dyDescent="0.3">
      <c r="A711" s="1">
        <v>45242</v>
      </c>
      <c r="B711">
        <v>402.25</v>
      </c>
      <c r="C711">
        <v>410.55</v>
      </c>
      <c r="D711">
        <v>398</v>
      </c>
      <c r="E711">
        <v>398</v>
      </c>
      <c r="F711">
        <v>398.697990313422</v>
      </c>
      <c r="G711">
        <v>17963</v>
      </c>
      <c r="H711">
        <v>826</v>
      </c>
      <c r="I711">
        <v>7161812</v>
      </c>
      <c r="J711">
        <v>17811</v>
      </c>
      <c r="K711">
        <v>99.15</v>
      </c>
      <c r="L711">
        <v>12.55</v>
      </c>
      <c r="M711">
        <v>-4.25</v>
      </c>
    </row>
    <row r="712" spans="1:13" x14ac:dyDescent="0.3">
      <c r="A712" s="1">
        <v>45243</v>
      </c>
      <c r="B712">
        <v>380.1</v>
      </c>
      <c r="C712">
        <v>417.9</v>
      </c>
      <c r="D712">
        <v>379</v>
      </c>
      <c r="E712">
        <v>390.15</v>
      </c>
      <c r="F712">
        <v>392.68616990432002</v>
      </c>
      <c r="G712">
        <v>34490</v>
      </c>
      <c r="H712">
        <v>1380</v>
      </c>
      <c r="I712">
        <v>13543746</v>
      </c>
      <c r="J712">
        <v>17342</v>
      </c>
      <c r="K712">
        <v>50.28</v>
      </c>
      <c r="L712">
        <v>38.9</v>
      </c>
      <c r="M712">
        <v>10.050000000000001</v>
      </c>
    </row>
    <row r="713" spans="1:13" x14ac:dyDescent="0.3">
      <c r="A713" s="1">
        <v>45245</v>
      </c>
      <c r="B713">
        <v>396.9</v>
      </c>
      <c r="C713">
        <v>409.65</v>
      </c>
      <c r="D713">
        <v>389.75</v>
      </c>
      <c r="E713">
        <v>409.65</v>
      </c>
      <c r="F713">
        <v>404.525866185599</v>
      </c>
      <c r="G713">
        <v>18847</v>
      </c>
      <c r="H713">
        <v>912</v>
      </c>
      <c r="I713">
        <v>7624099</v>
      </c>
      <c r="J713">
        <v>13198</v>
      </c>
      <c r="K713">
        <v>70.03</v>
      </c>
      <c r="L713">
        <v>19.899999999999999</v>
      </c>
      <c r="M713">
        <v>12.75</v>
      </c>
    </row>
    <row r="714" spans="1:13" x14ac:dyDescent="0.3">
      <c r="A714" s="1">
        <v>45246</v>
      </c>
      <c r="B714">
        <v>428</v>
      </c>
      <c r="C714">
        <v>430.1</v>
      </c>
      <c r="D714">
        <v>417.85</v>
      </c>
      <c r="E714">
        <v>430.1</v>
      </c>
      <c r="F714">
        <v>427.244521950109</v>
      </c>
      <c r="G714">
        <v>26378</v>
      </c>
      <c r="H714">
        <v>1011</v>
      </c>
      <c r="I714">
        <v>11269856</v>
      </c>
      <c r="J714">
        <v>18507</v>
      </c>
      <c r="K714">
        <v>70.16</v>
      </c>
      <c r="L714">
        <v>12.25</v>
      </c>
      <c r="M714">
        <v>2.1</v>
      </c>
    </row>
    <row r="715" spans="1:13" x14ac:dyDescent="0.3">
      <c r="A715" s="1">
        <v>45247</v>
      </c>
      <c r="B715">
        <v>447.7</v>
      </c>
      <c r="C715">
        <v>447.7</v>
      </c>
      <c r="D715">
        <v>417.5</v>
      </c>
      <c r="E715">
        <v>423.3</v>
      </c>
      <c r="F715">
        <v>426.66069795427097</v>
      </c>
      <c r="G715">
        <v>20775</v>
      </c>
      <c r="H715">
        <v>1441</v>
      </c>
      <c r="I715">
        <v>8863876</v>
      </c>
      <c r="J715">
        <v>11565</v>
      </c>
      <c r="K715">
        <v>55.67</v>
      </c>
      <c r="L715">
        <v>30.2</v>
      </c>
      <c r="M715">
        <v>-24.4</v>
      </c>
    </row>
    <row r="716" spans="1:13" x14ac:dyDescent="0.3">
      <c r="A716" s="1">
        <v>45250</v>
      </c>
      <c r="B716">
        <v>420</v>
      </c>
      <c r="C716">
        <v>423.25</v>
      </c>
      <c r="D716">
        <v>410.8</v>
      </c>
      <c r="E716">
        <v>416.05</v>
      </c>
      <c r="F716">
        <v>417.674211802748</v>
      </c>
      <c r="G716">
        <v>7422</v>
      </c>
      <c r="H716">
        <v>449</v>
      </c>
      <c r="I716">
        <v>3099978</v>
      </c>
      <c r="J716">
        <v>5803</v>
      </c>
      <c r="K716">
        <v>78.19</v>
      </c>
      <c r="L716">
        <v>12.45</v>
      </c>
      <c r="M716">
        <v>-3.95</v>
      </c>
    </row>
    <row r="717" spans="1:13" x14ac:dyDescent="0.3">
      <c r="A717" s="1">
        <v>45251</v>
      </c>
      <c r="B717">
        <v>414.05</v>
      </c>
      <c r="C717">
        <v>424.9</v>
      </c>
      <c r="D717">
        <v>402.25</v>
      </c>
      <c r="E717">
        <v>407.3</v>
      </c>
      <c r="F717">
        <v>408.61779386074301</v>
      </c>
      <c r="G717">
        <v>16028</v>
      </c>
      <c r="H717">
        <v>1294</v>
      </c>
      <c r="I717">
        <v>6549326</v>
      </c>
      <c r="J717">
        <v>10793</v>
      </c>
      <c r="K717">
        <v>67.34</v>
      </c>
      <c r="L717">
        <v>22.65</v>
      </c>
      <c r="M717">
        <v>-6.75</v>
      </c>
    </row>
    <row r="718" spans="1:13" x14ac:dyDescent="0.3">
      <c r="A718" s="1">
        <v>45252</v>
      </c>
      <c r="B718">
        <v>407</v>
      </c>
      <c r="C718">
        <v>407</v>
      </c>
      <c r="D718">
        <v>395</v>
      </c>
      <c r="E718">
        <v>397.6</v>
      </c>
      <c r="F718">
        <v>398.47809386628199</v>
      </c>
      <c r="G718">
        <v>16662</v>
      </c>
      <c r="H718">
        <v>1514</v>
      </c>
      <c r="I718">
        <v>6639442</v>
      </c>
      <c r="J718">
        <v>11645</v>
      </c>
      <c r="K718">
        <v>69.89</v>
      </c>
      <c r="L718">
        <v>12</v>
      </c>
      <c r="M718">
        <v>-9.4</v>
      </c>
    </row>
    <row r="719" spans="1:13" x14ac:dyDescent="0.3">
      <c r="A719" s="1">
        <v>45253</v>
      </c>
      <c r="B719">
        <v>399</v>
      </c>
      <c r="C719">
        <v>411.75</v>
      </c>
      <c r="D719">
        <v>398.75</v>
      </c>
      <c r="E719">
        <v>402.85</v>
      </c>
      <c r="F719">
        <v>404.282824729575</v>
      </c>
      <c r="G719">
        <v>11371</v>
      </c>
      <c r="H719">
        <v>670</v>
      </c>
      <c r="I719">
        <v>4597100</v>
      </c>
      <c r="J719">
        <v>7716</v>
      </c>
      <c r="K719">
        <v>67.86</v>
      </c>
      <c r="L719">
        <v>13</v>
      </c>
      <c r="M719">
        <v>3.85</v>
      </c>
    </row>
    <row r="720" spans="1:13" x14ac:dyDescent="0.3">
      <c r="A720" s="1">
        <v>45254</v>
      </c>
      <c r="B720">
        <v>409.95</v>
      </c>
      <c r="C720">
        <v>409.95</v>
      </c>
      <c r="D720">
        <v>396.25</v>
      </c>
      <c r="E720">
        <v>400.45</v>
      </c>
      <c r="F720">
        <v>400.96985426232698</v>
      </c>
      <c r="G720">
        <v>10018</v>
      </c>
      <c r="H720">
        <v>837</v>
      </c>
      <c r="I720">
        <v>4016916</v>
      </c>
      <c r="J720">
        <v>6686</v>
      </c>
      <c r="K720">
        <v>66.739999999999995</v>
      </c>
      <c r="L720">
        <v>13.7</v>
      </c>
      <c r="M720">
        <v>-9.5</v>
      </c>
    </row>
    <row r="721" spans="1:13" x14ac:dyDescent="0.3">
      <c r="A721" s="1">
        <v>45258</v>
      </c>
      <c r="B721">
        <v>401.15</v>
      </c>
      <c r="C721">
        <v>409.75</v>
      </c>
      <c r="D721">
        <v>401.05</v>
      </c>
      <c r="E721">
        <v>402.25</v>
      </c>
      <c r="F721">
        <v>402.97665008850998</v>
      </c>
      <c r="G721">
        <v>11863</v>
      </c>
      <c r="H721">
        <v>778</v>
      </c>
      <c r="I721">
        <v>4780512</v>
      </c>
      <c r="J721">
        <v>8068</v>
      </c>
      <c r="K721">
        <v>68.010000000000005</v>
      </c>
      <c r="L721">
        <v>8.6999999999999993</v>
      </c>
      <c r="M721">
        <v>1.1000000000000001</v>
      </c>
    </row>
    <row r="722" spans="1:13" x14ac:dyDescent="0.3">
      <c r="A722" s="1">
        <v>45259</v>
      </c>
      <c r="B722">
        <v>405.45</v>
      </c>
      <c r="C722">
        <v>409</v>
      </c>
      <c r="D722">
        <v>395</v>
      </c>
      <c r="E722">
        <v>401.4</v>
      </c>
      <c r="F722">
        <v>402.48023569850199</v>
      </c>
      <c r="G722">
        <v>8146</v>
      </c>
      <c r="H722">
        <v>711</v>
      </c>
      <c r="I722">
        <v>3278604</v>
      </c>
      <c r="J722">
        <v>5924</v>
      </c>
      <c r="K722">
        <v>72.72</v>
      </c>
      <c r="L722">
        <v>14</v>
      </c>
      <c r="M722">
        <v>-4.05</v>
      </c>
    </row>
    <row r="723" spans="1:13" x14ac:dyDescent="0.3">
      <c r="A723" s="1">
        <v>45260</v>
      </c>
      <c r="B723">
        <v>408.75</v>
      </c>
      <c r="C723">
        <v>409</v>
      </c>
      <c r="D723">
        <v>395</v>
      </c>
      <c r="E723">
        <v>397.3</v>
      </c>
      <c r="F723">
        <v>398.46685178757298</v>
      </c>
      <c r="G723">
        <v>8643</v>
      </c>
      <c r="H723">
        <v>981</v>
      </c>
      <c r="I723">
        <v>3443949</v>
      </c>
      <c r="J723">
        <v>5491</v>
      </c>
      <c r="K723">
        <v>63.53</v>
      </c>
      <c r="L723">
        <v>14</v>
      </c>
      <c r="M723">
        <v>-11.45</v>
      </c>
    </row>
    <row r="724" spans="1:13" x14ac:dyDescent="0.3">
      <c r="A724" s="1">
        <v>45261</v>
      </c>
      <c r="B724">
        <v>398.25</v>
      </c>
      <c r="C724">
        <v>407.9</v>
      </c>
      <c r="D724">
        <v>395.05</v>
      </c>
      <c r="E724">
        <v>403.4</v>
      </c>
      <c r="F724">
        <v>400.20538947885302</v>
      </c>
      <c r="G724">
        <v>16291</v>
      </c>
      <c r="H724">
        <v>956</v>
      </c>
      <c r="I724">
        <v>6519746</v>
      </c>
      <c r="J724">
        <v>10950</v>
      </c>
      <c r="K724">
        <v>67.22</v>
      </c>
      <c r="L724">
        <v>12.85</v>
      </c>
      <c r="M724">
        <v>5.15</v>
      </c>
    </row>
    <row r="725" spans="1:13" x14ac:dyDescent="0.3">
      <c r="A725" s="1">
        <v>45264</v>
      </c>
      <c r="B725">
        <v>421.65</v>
      </c>
      <c r="C725">
        <v>423.55</v>
      </c>
      <c r="D725">
        <v>415.5</v>
      </c>
      <c r="E725">
        <v>423.5</v>
      </c>
      <c r="F725">
        <v>422.55564101331498</v>
      </c>
      <c r="G725">
        <v>20803</v>
      </c>
      <c r="H725">
        <v>623</v>
      </c>
      <c r="I725">
        <v>8790425</v>
      </c>
      <c r="J725">
        <v>14051</v>
      </c>
      <c r="K725">
        <v>67.540000000000006</v>
      </c>
      <c r="L725">
        <v>8.0500000000000007</v>
      </c>
      <c r="M725">
        <v>1.85</v>
      </c>
    </row>
    <row r="726" spans="1:13" x14ac:dyDescent="0.3">
      <c r="A726" s="1">
        <v>45265</v>
      </c>
      <c r="B726">
        <v>424.05</v>
      </c>
      <c r="C726">
        <v>437.55</v>
      </c>
      <c r="D726">
        <v>415</v>
      </c>
      <c r="E726">
        <v>427.9</v>
      </c>
      <c r="F726">
        <v>424.81057469172299</v>
      </c>
      <c r="G726">
        <v>21977</v>
      </c>
      <c r="H726">
        <v>1162</v>
      </c>
      <c r="I726">
        <v>9336062</v>
      </c>
      <c r="J726">
        <v>14512</v>
      </c>
      <c r="K726">
        <v>66.03</v>
      </c>
      <c r="L726">
        <v>22.55</v>
      </c>
      <c r="M726">
        <v>3.85</v>
      </c>
    </row>
    <row r="727" spans="1:13" x14ac:dyDescent="0.3">
      <c r="A727" s="1">
        <v>45266</v>
      </c>
      <c r="B727">
        <v>434.95</v>
      </c>
      <c r="C727">
        <v>434.95</v>
      </c>
      <c r="D727">
        <v>418.85</v>
      </c>
      <c r="E727">
        <v>420.85</v>
      </c>
      <c r="F727">
        <v>422.15838365071897</v>
      </c>
      <c r="G727">
        <v>4306</v>
      </c>
      <c r="H727">
        <v>341</v>
      </c>
      <c r="I727">
        <v>1817814</v>
      </c>
      <c r="J727">
        <v>3326</v>
      </c>
      <c r="K727">
        <v>77.239999999999995</v>
      </c>
      <c r="L727">
        <v>16.100000000000001</v>
      </c>
      <c r="M727">
        <v>-14.1</v>
      </c>
    </row>
    <row r="728" spans="1:13" x14ac:dyDescent="0.3">
      <c r="A728" s="1">
        <v>45267</v>
      </c>
      <c r="B728">
        <v>429.9</v>
      </c>
      <c r="C728">
        <v>429.9</v>
      </c>
      <c r="D728">
        <v>417</v>
      </c>
      <c r="E728">
        <v>419.6</v>
      </c>
      <c r="F728">
        <v>421.73157798500603</v>
      </c>
      <c r="G728">
        <v>5469</v>
      </c>
      <c r="H728">
        <v>503</v>
      </c>
      <c r="I728">
        <v>2306450</v>
      </c>
      <c r="J728">
        <v>3839</v>
      </c>
      <c r="K728">
        <v>70.2</v>
      </c>
      <c r="L728">
        <v>12.9</v>
      </c>
      <c r="M728">
        <v>-10.3</v>
      </c>
    </row>
    <row r="729" spans="1:13" x14ac:dyDescent="0.3">
      <c r="A729" s="1">
        <v>45268</v>
      </c>
      <c r="B729">
        <v>421.05</v>
      </c>
      <c r="C729">
        <v>427.35</v>
      </c>
      <c r="D729">
        <v>415.05</v>
      </c>
      <c r="E729">
        <v>418.55</v>
      </c>
      <c r="F729">
        <v>420.79507988840902</v>
      </c>
      <c r="G729">
        <v>7886</v>
      </c>
      <c r="H729">
        <v>570</v>
      </c>
      <c r="I729">
        <v>3318390</v>
      </c>
      <c r="J729">
        <v>5905</v>
      </c>
      <c r="K729">
        <v>74.88</v>
      </c>
      <c r="L729">
        <v>12.3</v>
      </c>
      <c r="M729">
        <v>-2.5</v>
      </c>
    </row>
    <row r="730" spans="1:13" x14ac:dyDescent="0.3">
      <c r="A730" s="1">
        <v>45271</v>
      </c>
      <c r="B730">
        <v>425</v>
      </c>
      <c r="C730">
        <v>428</v>
      </c>
      <c r="D730">
        <v>418.25</v>
      </c>
      <c r="E730">
        <v>420.55</v>
      </c>
      <c r="F730">
        <v>423.49530565407798</v>
      </c>
      <c r="G730">
        <v>4793</v>
      </c>
      <c r="H730">
        <v>354</v>
      </c>
      <c r="I730">
        <v>2029813</v>
      </c>
      <c r="J730">
        <v>3446</v>
      </c>
      <c r="K730">
        <v>71.900000000000006</v>
      </c>
      <c r="L730">
        <v>9.75</v>
      </c>
      <c r="M730">
        <v>-4.45</v>
      </c>
    </row>
    <row r="731" spans="1:13" x14ac:dyDescent="0.3">
      <c r="A731" s="1">
        <v>45272</v>
      </c>
      <c r="B731">
        <v>426.95</v>
      </c>
      <c r="C731">
        <v>427</v>
      </c>
      <c r="D731">
        <v>417.95</v>
      </c>
      <c r="E731">
        <v>419.7</v>
      </c>
      <c r="F731">
        <v>420.88371531966197</v>
      </c>
      <c r="G731">
        <v>4145</v>
      </c>
      <c r="H731">
        <v>264</v>
      </c>
      <c r="I731">
        <v>1744563</v>
      </c>
      <c r="J731">
        <v>3228</v>
      </c>
      <c r="K731">
        <v>77.88</v>
      </c>
      <c r="L731">
        <v>9.0500000000000007</v>
      </c>
      <c r="M731">
        <v>-7.25</v>
      </c>
    </row>
    <row r="732" spans="1:13" x14ac:dyDescent="0.3">
      <c r="A732" s="1">
        <v>45273</v>
      </c>
      <c r="B732">
        <v>430</v>
      </c>
      <c r="C732">
        <v>430</v>
      </c>
      <c r="D732">
        <v>416.3</v>
      </c>
      <c r="E732">
        <v>418.65</v>
      </c>
      <c r="F732">
        <v>419.68314210061698</v>
      </c>
      <c r="G732">
        <v>3399</v>
      </c>
      <c r="H732">
        <v>503</v>
      </c>
      <c r="I732">
        <v>1426503</v>
      </c>
      <c r="J732">
        <v>2080</v>
      </c>
      <c r="K732">
        <v>61.19</v>
      </c>
      <c r="L732">
        <v>13.7</v>
      </c>
      <c r="M732">
        <v>-11.35</v>
      </c>
    </row>
    <row r="733" spans="1:13" x14ac:dyDescent="0.3">
      <c r="A733" s="1">
        <v>45274</v>
      </c>
      <c r="B733">
        <v>425.95</v>
      </c>
      <c r="C733">
        <v>425.95</v>
      </c>
      <c r="D733">
        <v>414</v>
      </c>
      <c r="E733">
        <v>415.5</v>
      </c>
      <c r="F733">
        <v>417.34049803407601</v>
      </c>
      <c r="G733">
        <v>3815</v>
      </c>
      <c r="H733">
        <v>357</v>
      </c>
      <c r="I733">
        <v>1592154</v>
      </c>
      <c r="J733">
        <v>3201</v>
      </c>
      <c r="K733">
        <v>83.91</v>
      </c>
      <c r="L733">
        <v>11.95</v>
      </c>
      <c r="M733">
        <v>-10.45</v>
      </c>
    </row>
    <row r="734" spans="1:13" x14ac:dyDescent="0.3">
      <c r="A734" s="1">
        <v>45275</v>
      </c>
      <c r="B734">
        <v>423.9</v>
      </c>
      <c r="C734">
        <v>435</v>
      </c>
      <c r="D734">
        <v>417</v>
      </c>
      <c r="E734">
        <v>426.1</v>
      </c>
      <c r="F734">
        <v>427.43896463570502</v>
      </c>
      <c r="G734">
        <v>18776</v>
      </c>
      <c r="H734">
        <v>1037</v>
      </c>
      <c r="I734">
        <v>8025594</v>
      </c>
      <c r="J734">
        <v>15056</v>
      </c>
      <c r="K734">
        <v>80.19</v>
      </c>
      <c r="L734">
        <v>18</v>
      </c>
      <c r="M734">
        <v>2.2000000000000002</v>
      </c>
    </row>
    <row r="735" spans="1:13" x14ac:dyDescent="0.3">
      <c r="A735" s="1">
        <v>45278</v>
      </c>
      <c r="B735">
        <v>417.9</v>
      </c>
      <c r="C735">
        <v>434.45</v>
      </c>
      <c r="D735">
        <v>417.9</v>
      </c>
      <c r="E735">
        <v>423.3</v>
      </c>
      <c r="F735">
        <v>426.40670632774402</v>
      </c>
      <c r="G735">
        <v>7396</v>
      </c>
      <c r="H735">
        <v>798</v>
      </c>
      <c r="I735">
        <v>3153704</v>
      </c>
      <c r="J735">
        <v>5568</v>
      </c>
      <c r="K735">
        <v>75.28</v>
      </c>
      <c r="L735">
        <v>16.55</v>
      </c>
      <c r="M735">
        <v>5.4</v>
      </c>
    </row>
    <row r="736" spans="1:13" x14ac:dyDescent="0.3">
      <c r="A736" s="1">
        <v>45279</v>
      </c>
      <c r="B736">
        <v>431</v>
      </c>
      <c r="C736">
        <v>431</v>
      </c>
      <c r="D736">
        <v>420</v>
      </c>
      <c r="E736">
        <v>422.95</v>
      </c>
      <c r="F736">
        <v>423.45871735791002</v>
      </c>
      <c r="G736">
        <v>5208</v>
      </c>
      <c r="H736">
        <v>471</v>
      </c>
      <c r="I736">
        <v>2205373</v>
      </c>
      <c r="J736">
        <v>3590</v>
      </c>
      <c r="K736">
        <v>68.930000000000007</v>
      </c>
      <c r="L736">
        <v>11</v>
      </c>
      <c r="M736">
        <v>-8.0500000000000007</v>
      </c>
    </row>
    <row r="737" spans="1:13" x14ac:dyDescent="0.3">
      <c r="A737" s="1">
        <v>45280</v>
      </c>
      <c r="B737">
        <v>430</v>
      </c>
      <c r="C737">
        <v>430</v>
      </c>
      <c r="D737">
        <v>409.05</v>
      </c>
      <c r="E737">
        <v>411.4</v>
      </c>
      <c r="F737">
        <v>419.75907700861802</v>
      </c>
      <c r="G737">
        <v>17985</v>
      </c>
      <c r="H737">
        <v>1269</v>
      </c>
      <c r="I737">
        <v>7549367</v>
      </c>
      <c r="J737">
        <v>14243</v>
      </c>
      <c r="K737">
        <v>79.19</v>
      </c>
      <c r="L737">
        <v>20.95</v>
      </c>
      <c r="M737">
        <v>-18.600000000000001</v>
      </c>
    </row>
    <row r="738" spans="1:13" x14ac:dyDescent="0.3">
      <c r="A738" s="1">
        <v>45281</v>
      </c>
      <c r="B738">
        <v>400.05</v>
      </c>
      <c r="C738">
        <v>419.5</v>
      </c>
      <c r="D738">
        <v>400.05</v>
      </c>
      <c r="E738">
        <v>411.95</v>
      </c>
      <c r="F738">
        <v>413.10396103063698</v>
      </c>
      <c r="G738">
        <v>7801</v>
      </c>
      <c r="H738">
        <v>687</v>
      </c>
      <c r="I738">
        <v>3222624</v>
      </c>
      <c r="J738">
        <v>5769</v>
      </c>
      <c r="K738">
        <v>73.95</v>
      </c>
      <c r="L738">
        <v>19.45</v>
      </c>
      <c r="M738">
        <v>11.9</v>
      </c>
    </row>
    <row r="739" spans="1:13" x14ac:dyDescent="0.3">
      <c r="A739" s="1">
        <v>45282</v>
      </c>
      <c r="B739">
        <v>417</v>
      </c>
      <c r="C739">
        <v>453.1</v>
      </c>
      <c r="D739">
        <v>412</v>
      </c>
      <c r="E739">
        <v>453.1</v>
      </c>
      <c r="F739">
        <v>449.58014304291203</v>
      </c>
      <c r="G739">
        <v>76900</v>
      </c>
      <c r="H739">
        <v>2001</v>
      </c>
      <c r="I739">
        <v>34572713</v>
      </c>
      <c r="J739">
        <v>44857</v>
      </c>
      <c r="K739">
        <v>58.33</v>
      </c>
      <c r="L739">
        <v>41.1</v>
      </c>
      <c r="M739">
        <v>36.1</v>
      </c>
    </row>
    <row r="740" spans="1:13" x14ac:dyDescent="0.3">
      <c r="A740" s="1">
        <v>45286</v>
      </c>
      <c r="B740">
        <v>475</v>
      </c>
      <c r="C740">
        <v>475</v>
      </c>
      <c r="D740">
        <v>448.9</v>
      </c>
      <c r="E740">
        <v>462.4</v>
      </c>
      <c r="F740">
        <v>462.801476831245</v>
      </c>
      <c r="G740">
        <v>38867</v>
      </c>
      <c r="H740">
        <v>1637</v>
      </c>
      <c r="I740">
        <v>17987705</v>
      </c>
      <c r="J740">
        <v>22822</v>
      </c>
      <c r="K740">
        <v>58.72</v>
      </c>
      <c r="L740">
        <v>26.1</v>
      </c>
      <c r="M740">
        <v>-12.6</v>
      </c>
    </row>
    <row r="741" spans="1:13" x14ac:dyDescent="0.3">
      <c r="A741" s="1">
        <v>45287</v>
      </c>
      <c r="B741">
        <v>469.95</v>
      </c>
      <c r="C741">
        <v>470.4</v>
      </c>
      <c r="D741">
        <v>441.35</v>
      </c>
      <c r="E741">
        <v>450.55</v>
      </c>
      <c r="F741">
        <v>454.36654062439402</v>
      </c>
      <c r="G741">
        <v>20628</v>
      </c>
      <c r="H741">
        <v>1608</v>
      </c>
      <c r="I741">
        <v>9372673</v>
      </c>
      <c r="J741">
        <v>13400</v>
      </c>
      <c r="K741">
        <v>64.959999999999994</v>
      </c>
      <c r="L741">
        <v>29.05</v>
      </c>
      <c r="M741">
        <v>-19.399999999999999</v>
      </c>
    </row>
    <row r="742" spans="1:13" x14ac:dyDescent="0.3">
      <c r="A742" s="1">
        <v>45288</v>
      </c>
      <c r="B742">
        <v>459</v>
      </c>
      <c r="C742">
        <v>459</v>
      </c>
      <c r="D742">
        <v>435</v>
      </c>
      <c r="E742">
        <v>446.9</v>
      </c>
      <c r="F742">
        <v>444.56458195455502</v>
      </c>
      <c r="G742">
        <v>18132</v>
      </c>
      <c r="H742">
        <v>1088</v>
      </c>
      <c r="I742">
        <v>8060845</v>
      </c>
      <c r="J742">
        <v>12268</v>
      </c>
      <c r="K742">
        <v>67.66</v>
      </c>
      <c r="L742">
        <v>24</v>
      </c>
      <c r="M742">
        <v>-12.1</v>
      </c>
    </row>
    <row r="743" spans="1:13" x14ac:dyDescent="0.3">
      <c r="A743" s="1">
        <v>45289</v>
      </c>
      <c r="B743">
        <v>453.95</v>
      </c>
      <c r="C743">
        <v>453.95</v>
      </c>
      <c r="D743">
        <v>430</v>
      </c>
      <c r="E743">
        <v>433.55</v>
      </c>
      <c r="F743">
        <v>437.427200944579</v>
      </c>
      <c r="G743">
        <v>13551</v>
      </c>
      <c r="H743">
        <v>1341</v>
      </c>
      <c r="I743">
        <v>5927576</v>
      </c>
      <c r="J743">
        <v>8842</v>
      </c>
      <c r="K743">
        <v>65.25</v>
      </c>
      <c r="L743">
        <v>23.95</v>
      </c>
      <c r="M743">
        <v>-20.399999999999999</v>
      </c>
    </row>
    <row r="744" spans="1:13" x14ac:dyDescent="0.3">
      <c r="A744" s="1">
        <v>45292</v>
      </c>
      <c r="B744">
        <v>430.1</v>
      </c>
      <c r="C744">
        <v>476.9</v>
      </c>
      <c r="D744">
        <v>429.95</v>
      </c>
      <c r="E744">
        <v>476.65</v>
      </c>
      <c r="F744">
        <v>466.84978851565899</v>
      </c>
      <c r="G744">
        <v>60761</v>
      </c>
      <c r="H744">
        <v>1838</v>
      </c>
      <c r="I744">
        <v>28366260</v>
      </c>
      <c r="J744">
        <v>39111</v>
      </c>
      <c r="K744">
        <v>64.37</v>
      </c>
      <c r="L744">
        <v>46.95</v>
      </c>
      <c r="M744">
        <v>46.55</v>
      </c>
    </row>
    <row r="745" spans="1:13" x14ac:dyDescent="0.3">
      <c r="A745" s="1">
        <v>45293</v>
      </c>
      <c r="B745">
        <v>494.95</v>
      </c>
      <c r="C745">
        <v>494.95</v>
      </c>
      <c r="D745">
        <v>479</v>
      </c>
      <c r="E745">
        <v>489</v>
      </c>
      <c r="F745">
        <v>484.48768724881199</v>
      </c>
      <c r="G745">
        <v>54740</v>
      </c>
      <c r="H745">
        <v>1534</v>
      </c>
      <c r="I745">
        <v>26520856</v>
      </c>
      <c r="J745">
        <v>42614</v>
      </c>
      <c r="K745">
        <v>77.849999999999994</v>
      </c>
      <c r="L745">
        <v>15.95</v>
      </c>
      <c r="M745">
        <v>-5.95</v>
      </c>
    </row>
    <row r="746" spans="1:13" x14ac:dyDescent="0.3">
      <c r="A746" s="1">
        <v>45294</v>
      </c>
      <c r="B746">
        <v>496</v>
      </c>
      <c r="C746">
        <v>496</v>
      </c>
      <c r="D746">
        <v>470</v>
      </c>
      <c r="E746">
        <v>481.4</v>
      </c>
      <c r="F746">
        <v>481.15314260627702</v>
      </c>
      <c r="G746">
        <v>13667</v>
      </c>
      <c r="H746">
        <v>1067</v>
      </c>
      <c r="I746">
        <v>6575920</v>
      </c>
      <c r="J746">
        <v>8112</v>
      </c>
      <c r="K746">
        <v>59.35</v>
      </c>
      <c r="L746">
        <v>26</v>
      </c>
      <c r="M746">
        <v>-14.6</v>
      </c>
    </row>
    <row r="747" spans="1:13" x14ac:dyDescent="0.3">
      <c r="A747" s="1">
        <v>45295</v>
      </c>
      <c r="B747">
        <v>483</v>
      </c>
      <c r="C747">
        <v>484.45</v>
      </c>
      <c r="D747">
        <v>470.75</v>
      </c>
      <c r="E747">
        <v>477.2</v>
      </c>
      <c r="F747">
        <v>476.13889869396297</v>
      </c>
      <c r="G747">
        <v>11332</v>
      </c>
      <c r="H747">
        <v>982</v>
      </c>
      <c r="I747">
        <v>5395606</v>
      </c>
      <c r="J747">
        <v>8604</v>
      </c>
      <c r="K747">
        <v>75.930000000000007</v>
      </c>
      <c r="L747">
        <v>13.7</v>
      </c>
      <c r="M747">
        <v>-5.8</v>
      </c>
    </row>
    <row r="748" spans="1:13" x14ac:dyDescent="0.3">
      <c r="A748" s="1">
        <v>45296</v>
      </c>
      <c r="B748">
        <v>493.95</v>
      </c>
      <c r="C748">
        <v>493.95</v>
      </c>
      <c r="D748">
        <v>475.75</v>
      </c>
      <c r="E748">
        <v>483.8</v>
      </c>
      <c r="F748">
        <v>481.292914264459</v>
      </c>
      <c r="G748">
        <v>5377</v>
      </c>
      <c r="H748">
        <v>423</v>
      </c>
      <c r="I748">
        <v>2587912</v>
      </c>
      <c r="J748">
        <v>3237</v>
      </c>
      <c r="K748">
        <v>60.2</v>
      </c>
      <c r="L748">
        <v>18.2</v>
      </c>
      <c r="M748">
        <v>-10.15</v>
      </c>
    </row>
    <row r="749" spans="1:13" x14ac:dyDescent="0.3">
      <c r="A749" s="1">
        <v>45299</v>
      </c>
      <c r="B749">
        <v>489.95</v>
      </c>
      <c r="C749">
        <v>494.25</v>
      </c>
      <c r="D749">
        <v>480</v>
      </c>
      <c r="E749">
        <v>482.5</v>
      </c>
      <c r="F749">
        <v>484.41276918698401</v>
      </c>
      <c r="G749">
        <v>10541</v>
      </c>
      <c r="H749">
        <v>818</v>
      </c>
      <c r="I749">
        <v>5106195</v>
      </c>
      <c r="J749">
        <v>6785</v>
      </c>
      <c r="K749">
        <v>64.37</v>
      </c>
      <c r="L749">
        <v>14.25</v>
      </c>
      <c r="M749">
        <v>-7.45</v>
      </c>
    </row>
    <row r="750" spans="1:13" x14ac:dyDescent="0.3">
      <c r="A750" s="1">
        <v>45300</v>
      </c>
      <c r="B750">
        <v>481</v>
      </c>
      <c r="C750">
        <v>488.1</v>
      </c>
      <c r="D750">
        <v>475.55</v>
      </c>
      <c r="E750">
        <v>476.95</v>
      </c>
      <c r="F750">
        <v>482.07967909563303</v>
      </c>
      <c r="G750">
        <v>10969</v>
      </c>
      <c r="H750">
        <v>448</v>
      </c>
      <c r="I750">
        <v>5287932</v>
      </c>
      <c r="J750">
        <v>8941</v>
      </c>
      <c r="K750">
        <v>81.510000000000005</v>
      </c>
      <c r="L750">
        <v>12.55</v>
      </c>
      <c r="M750">
        <v>-4.05</v>
      </c>
    </row>
    <row r="751" spans="1:13" x14ac:dyDescent="0.3">
      <c r="A751" s="1">
        <v>45301</v>
      </c>
      <c r="B751">
        <v>477.7</v>
      </c>
      <c r="C751">
        <v>478</v>
      </c>
      <c r="D751">
        <v>456.1</v>
      </c>
      <c r="E751">
        <v>467.15</v>
      </c>
      <c r="F751">
        <v>469.96854304635701</v>
      </c>
      <c r="G751">
        <v>3020</v>
      </c>
      <c r="H751">
        <v>271</v>
      </c>
      <c r="I751">
        <v>1419305</v>
      </c>
      <c r="J751">
        <v>1637</v>
      </c>
      <c r="K751">
        <v>54.21</v>
      </c>
      <c r="L751">
        <v>21.9</v>
      </c>
      <c r="M751">
        <v>-10.55</v>
      </c>
    </row>
    <row r="752" spans="1:13" x14ac:dyDescent="0.3">
      <c r="A752" s="1">
        <v>45302</v>
      </c>
      <c r="B752">
        <v>476.55</v>
      </c>
      <c r="C752">
        <v>480</v>
      </c>
      <c r="D752">
        <v>464.85</v>
      </c>
      <c r="E752">
        <v>466.35</v>
      </c>
      <c r="F752">
        <v>469.47150610583401</v>
      </c>
      <c r="G752">
        <v>2948</v>
      </c>
      <c r="H752">
        <v>220</v>
      </c>
      <c r="I752">
        <v>1384002</v>
      </c>
      <c r="J752">
        <v>1656</v>
      </c>
      <c r="K752">
        <v>56.17</v>
      </c>
      <c r="L752">
        <v>15.15</v>
      </c>
      <c r="M752">
        <v>-10.199999999999999</v>
      </c>
    </row>
    <row r="753" spans="1:13" x14ac:dyDescent="0.3">
      <c r="A753" s="1">
        <v>45303</v>
      </c>
      <c r="B753">
        <v>469.5</v>
      </c>
      <c r="C753">
        <v>469.65</v>
      </c>
      <c r="D753">
        <v>457</v>
      </c>
      <c r="E753">
        <v>459.8</v>
      </c>
      <c r="F753">
        <v>460.61590628853202</v>
      </c>
      <c r="G753">
        <v>3244</v>
      </c>
      <c r="H753">
        <v>338</v>
      </c>
      <c r="I753">
        <v>1494238</v>
      </c>
      <c r="J753">
        <v>2503</v>
      </c>
      <c r="K753">
        <v>77.16</v>
      </c>
      <c r="L753">
        <v>12.65</v>
      </c>
      <c r="M753">
        <v>-9.6999999999999993</v>
      </c>
    </row>
    <row r="754" spans="1:13" x14ac:dyDescent="0.3">
      <c r="A754" s="1">
        <v>45306</v>
      </c>
      <c r="B754">
        <v>480.5</v>
      </c>
      <c r="C754">
        <v>480.5</v>
      </c>
      <c r="D754">
        <v>452.95</v>
      </c>
      <c r="E754">
        <v>455.65</v>
      </c>
      <c r="F754">
        <v>457.90803709428099</v>
      </c>
      <c r="G754">
        <v>3882</v>
      </c>
      <c r="H754">
        <v>277</v>
      </c>
      <c r="I754">
        <v>1777599</v>
      </c>
      <c r="J754">
        <v>2262</v>
      </c>
      <c r="K754">
        <v>58.27</v>
      </c>
      <c r="L754">
        <v>27.55</v>
      </c>
      <c r="M754">
        <v>-24.85</v>
      </c>
    </row>
    <row r="755" spans="1:13" x14ac:dyDescent="0.3">
      <c r="A755" s="1">
        <v>45307</v>
      </c>
      <c r="B755">
        <v>454.05</v>
      </c>
      <c r="C755">
        <v>464.5</v>
      </c>
      <c r="D755">
        <v>443.35</v>
      </c>
      <c r="E755">
        <v>452.5</v>
      </c>
      <c r="F755">
        <v>452.47051758025702</v>
      </c>
      <c r="G755">
        <v>9158</v>
      </c>
      <c r="H755">
        <v>780</v>
      </c>
      <c r="I755">
        <v>4143725</v>
      </c>
      <c r="J755">
        <v>6434</v>
      </c>
      <c r="K755">
        <v>70.260000000000005</v>
      </c>
      <c r="L755">
        <v>21.15</v>
      </c>
      <c r="M755">
        <v>-1.55</v>
      </c>
    </row>
    <row r="756" spans="1:13" x14ac:dyDescent="0.3">
      <c r="A756" s="1">
        <v>45308</v>
      </c>
      <c r="B756">
        <v>442.05</v>
      </c>
      <c r="C756">
        <v>450.25</v>
      </c>
      <c r="D756">
        <v>440</v>
      </c>
      <c r="E756">
        <v>444.1</v>
      </c>
      <c r="F756">
        <v>444.43141392824799</v>
      </c>
      <c r="G756">
        <v>3317</v>
      </c>
      <c r="H756">
        <v>326</v>
      </c>
      <c r="I756">
        <v>1474179</v>
      </c>
      <c r="J756">
        <v>2424</v>
      </c>
      <c r="K756">
        <v>73.08</v>
      </c>
      <c r="L756">
        <v>10.25</v>
      </c>
      <c r="M756">
        <v>2.0499999999999998</v>
      </c>
    </row>
    <row r="757" spans="1:13" x14ac:dyDescent="0.3">
      <c r="A757" s="1">
        <v>45309</v>
      </c>
      <c r="B757">
        <v>438.05</v>
      </c>
      <c r="C757">
        <v>450</v>
      </c>
      <c r="D757">
        <v>428</v>
      </c>
      <c r="E757">
        <v>448.75</v>
      </c>
      <c r="F757">
        <v>439.87126974838998</v>
      </c>
      <c r="G757">
        <v>6836</v>
      </c>
      <c r="H757">
        <v>738</v>
      </c>
      <c r="I757">
        <v>3006960</v>
      </c>
      <c r="J757">
        <v>3363</v>
      </c>
      <c r="K757">
        <v>49.2</v>
      </c>
      <c r="L757">
        <v>22</v>
      </c>
      <c r="M757">
        <v>10.7</v>
      </c>
    </row>
    <row r="758" spans="1:13" x14ac:dyDescent="0.3">
      <c r="A758" s="1">
        <v>45310</v>
      </c>
      <c r="B758">
        <v>450.05</v>
      </c>
      <c r="C758">
        <v>464.05</v>
      </c>
      <c r="D758">
        <v>434.55</v>
      </c>
      <c r="E758">
        <v>439.5</v>
      </c>
      <c r="F758">
        <v>446.16762478968002</v>
      </c>
      <c r="G758">
        <v>14264</v>
      </c>
      <c r="H758">
        <v>925</v>
      </c>
      <c r="I758">
        <v>6364135</v>
      </c>
      <c r="J758">
        <v>10704</v>
      </c>
      <c r="K758">
        <v>75.040000000000006</v>
      </c>
      <c r="L758">
        <v>29.5</v>
      </c>
      <c r="M758">
        <v>-10.55</v>
      </c>
    </row>
    <row r="759" spans="1:13" x14ac:dyDescent="0.3">
      <c r="A759" s="1">
        <v>45311</v>
      </c>
      <c r="B759">
        <v>435.05</v>
      </c>
      <c r="C759">
        <v>449.15</v>
      </c>
      <c r="D759">
        <v>431.05</v>
      </c>
      <c r="E759">
        <v>433.5</v>
      </c>
      <c r="F759">
        <v>436.11884550084801</v>
      </c>
      <c r="G759">
        <v>13547</v>
      </c>
      <c r="H759">
        <v>1001</v>
      </c>
      <c r="I759">
        <v>5908102</v>
      </c>
      <c r="J759">
        <v>9495</v>
      </c>
      <c r="K759">
        <v>70.09</v>
      </c>
      <c r="L759">
        <v>18.100000000000001</v>
      </c>
      <c r="M759">
        <v>-1.55</v>
      </c>
    </row>
    <row r="760" spans="1:13" x14ac:dyDescent="0.3">
      <c r="A760" s="1">
        <v>45314</v>
      </c>
      <c r="B760">
        <v>427.4</v>
      </c>
      <c r="C760">
        <v>437.95</v>
      </c>
      <c r="D760">
        <v>416</v>
      </c>
      <c r="E760">
        <v>418.6</v>
      </c>
      <c r="F760">
        <v>421.72085312303898</v>
      </c>
      <c r="G760">
        <v>22318</v>
      </c>
      <c r="H760">
        <v>1536</v>
      </c>
      <c r="I760">
        <v>9411966</v>
      </c>
      <c r="J760">
        <v>15287</v>
      </c>
      <c r="K760">
        <v>68.5</v>
      </c>
      <c r="L760">
        <v>21.95</v>
      </c>
      <c r="M760">
        <v>-8.8000000000000007</v>
      </c>
    </row>
    <row r="761" spans="1:13" x14ac:dyDescent="0.3">
      <c r="A761" s="1">
        <v>45315</v>
      </c>
      <c r="B761">
        <v>438.9</v>
      </c>
      <c r="C761">
        <v>438.9</v>
      </c>
      <c r="D761">
        <v>418</v>
      </c>
      <c r="E761">
        <v>420.7</v>
      </c>
      <c r="F761">
        <v>422.80222094581598</v>
      </c>
      <c r="G761">
        <v>5223</v>
      </c>
      <c r="H761">
        <v>329</v>
      </c>
      <c r="I761">
        <v>2208296</v>
      </c>
      <c r="J761">
        <v>3541</v>
      </c>
      <c r="K761">
        <v>67.8</v>
      </c>
      <c r="L761">
        <v>20.9</v>
      </c>
      <c r="M761">
        <v>-18.2</v>
      </c>
    </row>
    <row r="762" spans="1:13" x14ac:dyDescent="0.3">
      <c r="A762" s="1">
        <v>45316</v>
      </c>
      <c r="B762">
        <v>446.95</v>
      </c>
      <c r="C762">
        <v>446.95</v>
      </c>
      <c r="D762">
        <v>418</v>
      </c>
      <c r="E762">
        <v>419.4</v>
      </c>
      <c r="F762">
        <v>420.506416131989</v>
      </c>
      <c r="G762">
        <v>8728</v>
      </c>
      <c r="H762">
        <v>650</v>
      </c>
      <c r="I762">
        <v>3670180</v>
      </c>
      <c r="J762">
        <v>5789</v>
      </c>
      <c r="K762">
        <v>66.33</v>
      </c>
      <c r="L762">
        <v>28.95</v>
      </c>
      <c r="M762">
        <v>-27.55</v>
      </c>
    </row>
    <row r="763" spans="1:13" x14ac:dyDescent="0.3">
      <c r="A763" s="1">
        <v>45320</v>
      </c>
      <c r="B763">
        <v>418.95</v>
      </c>
      <c r="C763">
        <v>431.05</v>
      </c>
      <c r="D763">
        <v>413.2</v>
      </c>
      <c r="E763">
        <v>416.5</v>
      </c>
      <c r="F763">
        <v>421.99316253398098</v>
      </c>
      <c r="G763">
        <v>12139</v>
      </c>
      <c r="H763">
        <v>652</v>
      </c>
      <c r="I763">
        <v>5122575</v>
      </c>
      <c r="J763">
        <v>7560</v>
      </c>
      <c r="K763">
        <v>62.28</v>
      </c>
      <c r="L763">
        <v>17.850000000000001</v>
      </c>
      <c r="M763">
        <v>-2.4500000000000002</v>
      </c>
    </row>
    <row r="764" spans="1:13" x14ac:dyDescent="0.3">
      <c r="A764" s="1">
        <v>45321</v>
      </c>
      <c r="B764">
        <v>404.05</v>
      </c>
      <c r="C764">
        <v>422.4</v>
      </c>
      <c r="D764">
        <v>404.05</v>
      </c>
      <c r="E764">
        <v>417.15</v>
      </c>
      <c r="F764">
        <v>418.037003812514</v>
      </c>
      <c r="G764">
        <v>8918</v>
      </c>
      <c r="H764">
        <v>674</v>
      </c>
      <c r="I764">
        <v>3728054</v>
      </c>
      <c r="J764">
        <v>5162</v>
      </c>
      <c r="K764">
        <v>57.88</v>
      </c>
      <c r="L764">
        <v>18.350000000000001</v>
      </c>
      <c r="M764">
        <v>13.1</v>
      </c>
    </row>
    <row r="765" spans="1:13" x14ac:dyDescent="0.3">
      <c r="A765" s="1">
        <v>45322</v>
      </c>
      <c r="B765">
        <v>434.35</v>
      </c>
      <c r="C765">
        <v>458.85</v>
      </c>
      <c r="D765">
        <v>424.3</v>
      </c>
      <c r="E765">
        <v>458.85</v>
      </c>
      <c r="F765">
        <v>448.75338691159499</v>
      </c>
      <c r="G765">
        <v>8710</v>
      </c>
      <c r="H765">
        <v>396</v>
      </c>
      <c r="I765">
        <v>3908642</v>
      </c>
      <c r="J765">
        <v>7106</v>
      </c>
      <c r="K765">
        <v>81.58</v>
      </c>
      <c r="L765">
        <v>34.549999999999997</v>
      </c>
      <c r="M765">
        <v>24.5</v>
      </c>
    </row>
    <row r="766" spans="1:13" x14ac:dyDescent="0.3">
      <c r="A766" s="1">
        <v>45323</v>
      </c>
      <c r="B766">
        <v>479.55</v>
      </c>
      <c r="C766">
        <v>480</v>
      </c>
      <c r="D766">
        <v>447.55</v>
      </c>
      <c r="E766">
        <v>467.15</v>
      </c>
      <c r="F766">
        <v>463.97036905606802</v>
      </c>
      <c r="G766">
        <v>11272</v>
      </c>
      <c r="H766">
        <v>726</v>
      </c>
      <c r="I766">
        <v>5229874</v>
      </c>
      <c r="J766">
        <v>5082</v>
      </c>
      <c r="K766">
        <v>45.09</v>
      </c>
      <c r="L766">
        <v>32.450000000000003</v>
      </c>
      <c r="M766">
        <v>-12.4</v>
      </c>
    </row>
    <row r="767" spans="1:13" x14ac:dyDescent="0.3">
      <c r="A767" s="1">
        <v>45324</v>
      </c>
      <c r="B767">
        <v>470.25</v>
      </c>
      <c r="C767">
        <v>480.05</v>
      </c>
      <c r="D767">
        <v>464.1</v>
      </c>
      <c r="E767">
        <v>466.45</v>
      </c>
      <c r="F767">
        <v>471.88256977356502</v>
      </c>
      <c r="G767">
        <v>5697</v>
      </c>
      <c r="H767">
        <v>363</v>
      </c>
      <c r="I767">
        <v>2688315</v>
      </c>
      <c r="J767">
        <v>2908</v>
      </c>
      <c r="K767">
        <v>51.04</v>
      </c>
      <c r="L767">
        <v>15.95</v>
      </c>
      <c r="M767">
        <v>-3.8</v>
      </c>
    </row>
    <row r="768" spans="1:13" x14ac:dyDescent="0.3">
      <c r="A768" s="1">
        <v>45327</v>
      </c>
      <c r="B768">
        <v>469.2</v>
      </c>
      <c r="C768">
        <v>485.6</v>
      </c>
      <c r="D768">
        <v>425</v>
      </c>
      <c r="E768">
        <v>449.4</v>
      </c>
      <c r="F768">
        <v>469.071594051266</v>
      </c>
      <c r="G768">
        <v>13381</v>
      </c>
      <c r="H768">
        <v>794</v>
      </c>
      <c r="I768">
        <v>6276647</v>
      </c>
      <c r="J768">
        <v>6755</v>
      </c>
      <c r="K768">
        <v>50.48</v>
      </c>
      <c r="L768">
        <v>60.6</v>
      </c>
      <c r="M768">
        <v>-19.8</v>
      </c>
    </row>
    <row r="769" spans="1:13" x14ac:dyDescent="0.3">
      <c r="A769" s="1">
        <v>45328</v>
      </c>
      <c r="B769">
        <v>493.9</v>
      </c>
      <c r="C769">
        <v>493.9</v>
      </c>
      <c r="D769">
        <v>445.2</v>
      </c>
      <c r="E769">
        <v>451.2</v>
      </c>
      <c r="F769">
        <v>458.41892920578499</v>
      </c>
      <c r="G769">
        <v>11823</v>
      </c>
      <c r="H769">
        <v>824</v>
      </c>
      <c r="I769">
        <v>5419887</v>
      </c>
      <c r="J769">
        <v>8437</v>
      </c>
      <c r="K769">
        <v>71.36</v>
      </c>
      <c r="L769">
        <v>48.7</v>
      </c>
      <c r="M769">
        <v>-42.7</v>
      </c>
    </row>
    <row r="770" spans="1:13" x14ac:dyDescent="0.3">
      <c r="A770" s="1">
        <v>45329</v>
      </c>
      <c r="B770">
        <v>462.05</v>
      </c>
      <c r="C770">
        <v>462.05</v>
      </c>
      <c r="D770">
        <v>446.25</v>
      </c>
      <c r="E770">
        <v>449.2</v>
      </c>
      <c r="F770">
        <v>453.18346196251298</v>
      </c>
      <c r="G770">
        <v>4535</v>
      </c>
      <c r="H770">
        <v>377</v>
      </c>
      <c r="I770">
        <v>2055187</v>
      </c>
      <c r="J770">
        <v>3325</v>
      </c>
      <c r="K770">
        <v>73.319999999999993</v>
      </c>
      <c r="L770">
        <v>15.8</v>
      </c>
      <c r="M770">
        <v>-12.85</v>
      </c>
    </row>
    <row r="771" spans="1:13" x14ac:dyDescent="0.3">
      <c r="A771" s="1">
        <v>45330</v>
      </c>
      <c r="B771">
        <v>462</v>
      </c>
      <c r="C771">
        <v>462</v>
      </c>
      <c r="D771">
        <v>426</v>
      </c>
      <c r="E771">
        <v>436.95</v>
      </c>
      <c r="F771">
        <v>442.94709408391901</v>
      </c>
      <c r="G771">
        <v>11511</v>
      </c>
      <c r="H771">
        <v>857</v>
      </c>
      <c r="I771">
        <v>5098764</v>
      </c>
      <c r="J771">
        <v>7353</v>
      </c>
      <c r="K771">
        <v>63.88</v>
      </c>
      <c r="L771">
        <v>36</v>
      </c>
      <c r="M771">
        <v>-25.05</v>
      </c>
    </row>
    <row r="772" spans="1:13" x14ac:dyDescent="0.3">
      <c r="A772" s="1">
        <v>45331</v>
      </c>
      <c r="B772">
        <v>453.95</v>
      </c>
      <c r="C772">
        <v>454.05</v>
      </c>
      <c r="D772">
        <v>427</v>
      </c>
      <c r="E772">
        <v>431.6</v>
      </c>
      <c r="F772">
        <v>433.23396793587102</v>
      </c>
      <c r="G772">
        <v>3992</v>
      </c>
      <c r="H772">
        <v>457</v>
      </c>
      <c r="I772">
        <v>1729470</v>
      </c>
      <c r="J772">
        <v>2482</v>
      </c>
      <c r="K772">
        <v>62.17</v>
      </c>
      <c r="L772">
        <v>27.05</v>
      </c>
      <c r="M772">
        <v>-22.35</v>
      </c>
    </row>
    <row r="773" spans="1:13" x14ac:dyDescent="0.3">
      <c r="A773" s="1">
        <v>45334</v>
      </c>
      <c r="B773">
        <v>444.35</v>
      </c>
      <c r="C773">
        <v>444.35</v>
      </c>
      <c r="D773">
        <v>419</v>
      </c>
      <c r="E773">
        <v>421.25</v>
      </c>
      <c r="F773">
        <v>428.29870838639198</v>
      </c>
      <c r="G773">
        <v>21988</v>
      </c>
      <c r="H773">
        <v>1282</v>
      </c>
      <c r="I773">
        <v>9417432</v>
      </c>
      <c r="J773">
        <v>13209</v>
      </c>
      <c r="K773">
        <v>60.07</v>
      </c>
      <c r="L773">
        <v>25.35</v>
      </c>
      <c r="M773">
        <v>-23.1</v>
      </c>
    </row>
    <row r="774" spans="1:13" x14ac:dyDescent="0.3">
      <c r="A774" s="1">
        <v>45335</v>
      </c>
      <c r="B774">
        <v>422</v>
      </c>
      <c r="C774">
        <v>433.55</v>
      </c>
      <c r="D774">
        <v>419</v>
      </c>
      <c r="E774">
        <v>424.15</v>
      </c>
      <c r="F774">
        <v>423.78343949044501</v>
      </c>
      <c r="G774">
        <v>2983</v>
      </c>
      <c r="H774">
        <v>242</v>
      </c>
      <c r="I774">
        <v>1264146</v>
      </c>
      <c r="J774">
        <v>1329</v>
      </c>
      <c r="K774">
        <v>44.55</v>
      </c>
      <c r="L774">
        <v>14.55</v>
      </c>
      <c r="M774">
        <v>2.15</v>
      </c>
    </row>
    <row r="775" spans="1:13" x14ac:dyDescent="0.3">
      <c r="A775" s="1">
        <v>45336</v>
      </c>
      <c r="B775">
        <v>424.15</v>
      </c>
      <c r="C775">
        <v>433</v>
      </c>
      <c r="D775">
        <v>417.15</v>
      </c>
      <c r="E775">
        <v>431.3</v>
      </c>
      <c r="F775">
        <v>426.82045765695199</v>
      </c>
      <c r="G775">
        <v>5113</v>
      </c>
      <c r="H775">
        <v>629</v>
      </c>
      <c r="I775">
        <v>2182333</v>
      </c>
      <c r="J775">
        <v>2793</v>
      </c>
      <c r="K775">
        <v>54.63</v>
      </c>
      <c r="L775">
        <v>15.85</v>
      </c>
      <c r="M775">
        <v>7.15</v>
      </c>
    </row>
    <row r="776" spans="1:13" x14ac:dyDescent="0.3">
      <c r="A776" s="1">
        <v>45337</v>
      </c>
      <c r="B776">
        <v>439.85</v>
      </c>
      <c r="C776">
        <v>439.85</v>
      </c>
      <c r="D776">
        <v>421</v>
      </c>
      <c r="E776">
        <v>429.8</v>
      </c>
      <c r="F776">
        <v>428.26573125591801</v>
      </c>
      <c r="G776">
        <v>11617</v>
      </c>
      <c r="H776">
        <v>802</v>
      </c>
      <c r="I776">
        <v>4975163</v>
      </c>
      <c r="J776">
        <v>8444</v>
      </c>
      <c r="K776">
        <v>72.69</v>
      </c>
      <c r="L776">
        <v>18.850000000000001</v>
      </c>
      <c r="M776">
        <v>-10.050000000000001</v>
      </c>
    </row>
    <row r="777" spans="1:13" x14ac:dyDescent="0.3">
      <c r="A777" s="1">
        <v>45338</v>
      </c>
      <c r="B777">
        <v>458.9</v>
      </c>
      <c r="C777">
        <v>458.9</v>
      </c>
      <c r="D777">
        <v>427</v>
      </c>
      <c r="E777">
        <v>429.85</v>
      </c>
      <c r="F777">
        <v>430.05481410867401</v>
      </c>
      <c r="G777">
        <v>8392</v>
      </c>
      <c r="H777">
        <v>933</v>
      </c>
      <c r="I777">
        <v>3609020</v>
      </c>
      <c r="J777">
        <v>2377</v>
      </c>
      <c r="K777">
        <v>28.32</v>
      </c>
      <c r="L777">
        <v>31.9</v>
      </c>
      <c r="M777">
        <v>-29.05</v>
      </c>
    </row>
    <row r="778" spans="1:13" x14ac:dyDescent="0.3">
      <c r="A778" s="1">
        <v>45341</v>
      </c>
      <c r="B778">
        <v>434.4</v>
      </c>
      <c r="C778">
        <v>468</v>
      </c>
      <c r="D778">
        <v>433</v>
      </c>
      <c r="E778">
        <v>447.25</v>
      </c>
      <c r="F778">
        <v>457.184754605178</v>
      </c>
      <c r="G778">
        <v>31052</v>
      </c>
      <c r="H778">
        <v>2330</v>
      </c>
      <c r="I778">
        <v>14196501</v>
      </c>
      <c r="J778">
        <v>15943</v>
      </c>
      <c r="K778">
        <v>51.34</v>
      </c>
      <c r="L778">
        <v>35</v>
      </c>
      <c r="M778">
        <v>12.85</v>
      </c>
    </row>
    <row r="779" spans="1:13" x14ac:dyDescent="0.3">
      <c r="A779" s="1">
        <v>45342</v>
      </c>
      <c r="B779">
        <v>452</v>
      </c>
      <c r="C779">
        <v>456.7</v>
      </c>
      <c r="D779">
        <v>440</v>
      </c>
      <c r="E779">
        <v>441.35</v>
      </c>
      <c r="F779">
        <v>447.31905114899899</v>
      </c>
      <c r="G779">
        <v>6745</v>
      </c>
      <c r="H779">
        <v>553</v>
      </c>
      <c r="I779">
        <v>3017167</v>
      </c>
      <c r="J779">
        <v>4827</v>
      </c>
      <c r="K779">
        <v>71.56</v>
      </c>
      <c r="L779">
        <v>16.7</v>
      </c>
      <c r="M779">
        <v>-10.65</v>
      </c>
    </row>
    <row r="780" spans="1:13" x14ac:dyDescent="0.3">
      <c r="A780" s="1">
        <v>45343</v>
      </c>
      <c r="B780">
        <v>448.9</v>
      </c>
      <c r="C780">
        <v>450.3</v>
      </c>
      <c r="D780">
        <v>433</v>
      </c>
      <c r="E780">
        <v>436.6</v>
      </c>
      <c r="F780">
        <v>441.251027839774</v>
      </c>
      <c r="G780">
        <v>8513</v>
      </c>
      <c r="H780">
        <v>686</v>
      </c>
      <c r="I780">
        <v>3756370</v>
      </c>
      <c r="J780">
        <v>4212</v>
      </c>
      <c r="K780">
        <v>49.48</v>
      </c>
      <c r="L780">
        <v>17.3</v>
      </c>
      <c r="M780">
        <v>-12.3</v>
      </c>
    </row>
    <row r="781" spans="1:13" x14ac:dyDescent="0.3">
      <c r="A781" s="1">
        <v>45344</v>
      </c>
      <c r="B781">
        <v>433.75</v>
      </c>
      <c r="C781">
        <v>441.05</v>
      </c>
      <c r="D781">
        <v>425</v>
      </c>
      <c r="E781">
        <v>432.7</v>
      </c>
      <c r="F781">
        <v>431.719672610347</v>
      </c>
      <c r="G781">
        <v>3421</v>
      </c>
      <c r="H781">
        <v>212</v>
      </c>
      <c r="I781">
        <v>1476913</v>
      </c>
      <c r="J781">
        <v>2032</v>
      </c>
      <c r="K781">
        <v>59.4</v>
      </c>
      <c r="L781">
        <v>16.05</v>
      </c>
      <c r="M781">
        <v>-1.05</v>
      </c>
    </row>
    <row r="782" spans="1:13" x14ac:dyDescent="0.3">
      <c r="A782" s="1">
        <v>45345</v>
      </c>
      <c r="B782">
        <v>446.95</v>
      </c>
      <c r="C782">
        <v>446.95</v>
      </c>
      <c r="D782">
        <v>432</v>
      </c>
      <c r="E782">
        <v>437.8</v>
      </c>
      <c r="F782">
        <v>438.71423785594601</v>
      </c>
      <c r="G782">
        <v>8955</v>
      </c>
      <c r="H782">
        <v>751</v>
      </c>
      <c r="I782">
        <v>3928686</v>
      </c>
      <c r="J782">
        <v>6776</v>
      </c>
      <c r="K782">
        <v>75.67</v>
      </c>
      <c r="L782">
        <v>14.95</v>
      </c>
      <c r="M782">
        <v>-9.15</v>
      </c>
    </row>
    <row r="783" spans="1:13" x14ac:dyDescent="0.3">
      <c r="A783" s="1">
        <v>45348</v>
      </c>
      <c r="B783">
        <v>442.85</v>
      </c>
      <c r="C783">
        <v>442.85</v>
      </c>
      <c r="D783">
        <v>423.95</v>
      </c>
      <c r="E783">
        <v>432.4</v>
      </c>
      <c r="F783">
        <v>431.39517776869599</v>
      </c>
      <c r="G783">
        <v>2447</v>
      </c>
      <c r="H783">
        <v>209</v>
      </c>
      <c r="I783">
        <v>1055624</v>
      </c>
      <c r="J783">
        <v>1367</v>
      </c>
      <c r="K783">
        <v>55.86</v>
      </c>
      <c r="L783">
        <v>18.899999999999999</v>
      </c>
      <c r="M783">
        <v>-10.45</v>
      </c>
    </row>
    <row r="784" spans="1:13" x14ac:dyDescent="0.3">
      <c r="A784" s="1">
        <v>45349</v>
      </c>
      <c r="B784">
        <v>439.85</v>
      </c>
      <c r="C784">
        <v>439.85</v>
      </c>
      <c r="D784">
        <v>428.4</v>
      </c>
      <c r="E784">
        <v>431.35</v>
      </c>
      <c r="F784">
        <v>432.09605734767001</v>
      </c>
      <c r="G784">
        <v>4185</v>
      </c>
      <c r="H784">
        <v>465</v>
      </c>
      <c r="I784">
        <v>1808322</v>
      </c>
      <c r="J784">
        <v>2220</v>
      </c>
      <c r="K784">
        <v>53.05</v>
      </c>
      <c r="L784">
        <v>11.45</v>
      </c>
      <c r="M784">
        <v>-8.5</v>
      </c>
    </row>
    <row r="785" spans="1:13" x14ac:dyDescent="0.3">
      <c r="A785" s="1">
        <v>45350</v>
      </c>
      <c r="B785">
        <v>437.05</v>
      </c>
      <c r="C785">
        <v>438.9</v>
      </c>
      <c r="D785">
        <v>421.2</v>
      </c>
      <c r="E785">
        <v>424</v>
      </c>
      <c r="F785">
        <v>426.86106413425199</v>
      </c>
      <c r="G785">
        <v>7687</v>
      </c>
      <c r="H785">
        <v>747</v>
      </c>
      <c r="I785">
        <v>3281281</v>
      </c>
      <c r="J785">
        <v>4856</v>
      </c>
      <c r="K785">
        <v>63.17</v>
      </c>
      <c r="L785">
        <v>17.7</v>
      </c>
      <c r="M785">
        <v>-13.05</v>
      </c>
    </row>
    <row r="786" spans="1:13" x14ac:dyDescent="0.3">
      <c r="A786" s="1">
        <v>45351</v>
      </c>
      <c r="B786">
        <v>424.8</v>
      </c>
      <c r="C786">
        <v>428.45</v>
      </c>
      <c r="D786">
        <v>417.3</v>
      </c>
      <c r="E786">
        <v>424.2</v>
      </c>
      <c r="F786">
        <v>420.96440836715499</v>
      </c>
      <c r="G786">
        <v>3203</v>
      </c>
      <c r="H786">
        <v>278</v>
      </c>
      <c r="I786">
        <v>1348349</v>
      </c>
      <c r="J786">
        <v>2286</v>
      </c>
      <c r="K786">
        <v>71.37</v>
      </c>
      <c r="L786">
        <v>11.15</v>
      </c>
      <c r="M786">
        <v>-0.6</v>
      </c>
    </row>
    <row r="787" spans="1:13" x14ac:dyDescent="0.3">
      <c r="A787" s="1">
        <v>45352</v>
      </c>
      <c r="B787">
        <v>424.1</v>
      </c>
      <c r="C787">
        <v>431.6</v>
      </c>
      <c r="D787">
        <v>419.55</v>
      </c>
      <c r="E787">
        <v>424.9</v>
      </c>
      <c r="F787">
        <v>424.993125282677</v>
      </c>
      <c r="G787">
        <v>11055</v>
      </c>
      <c r="H787">
        <v>646</v>
      </c>
      <c r="I787">
        <v>4698299</v>
      </c>
      <c r="J787">
        <v>7280</v>
      </c>
      <c r="K787">
        <v>65.849999999999994</v>
      </c>
      <c r="L787">
        <v>12.05</v>
      </c>
      <c r="M787">
        <v>0.8</v>
      </c>
    </row>
    <row r="788" spans="1:13" x14ac:dyDescent="0.3">
      <c r="A788" s="1">
        <v>45353</v>
      </c>
      <c r="B788">
        <v>418</v>
      </c>
      <c r="C788">
        <v>445</v>
      </c>
      <c r="D788">
        <v>418</v>
      </c>
      <c r="E788">
        <v>428.6</v>
      </c>
      <c r="F788">
        <v>427.58078602619997</v>
      </c>
      <c r="G788">
        <v>916</v>
      </c>
      <c r="H788">
        <v>183</v>
      </c>
      <c r="I788">
        <v>391664</v>
      </c>
      <c r="J788">
        <v>781</v>
      </c>
      <c r="K788">
        <v>85.26</v>
      </c>
      <c r="L788">
        <v>27</v>
      </c>
      <c r="M788">
        <v>10.6</v>
      </c>
    </row>
    <row r="789" spans="1:13" x14ac:dyDescent="0.3">
      <c r="A789" s="1">
        <v>45355</v>
      </c>
      <c r="B789">
        <v>422.95</v>
      </c>
      <c r="C789">
        <v>430.95</v>
      </c>
      <c r="D789">
        <v>422</v>
      </c>
      <c r="E789">
        <v>423.3</v>
      </c>
      <c r="F789">
        <v>425.12782745923101</v>
      </c>
      <c r="G789">
        <v>1901</v>
      </c>
      <c r="H789">
        <v>177</v>
      </c>
      <c r="I789">
        <v>808168</v>
      </c>
      <c r="J789">
        <v>1197</v>
      </c>
      <c r="K789">
        <v>62.97</v>
      </c>
      <c r="L789">
        <v>8.9499999999999993</v>
      </c>
      <c r="M789">
        <v>0.35</v>
      </c>
    </row>
    <row r="790" spans="1:13" x14ac:dyDescent="0.3">
      <c r="A790" s="1">
        <v>45356</v>
      </c>
      <c r="B790">
        <v>427.45</v>
      </c>
      <c r="C790">
        <v>427.45</v>
      </c>
      <c r="D790">
        <v>419</v>
      </c>
      <c r="E790">
        <v>420.7</v>
      </c>
      <c r="F790">
        <v>421.892522538447</v>
      </c>
      <c r="G790">
        <v>5657</v>
      </c>
      <c r="H790">
        <v>839</v>
      </c>
      <c r="I790">
        <v>2386646</v>
      </c>
      <c r="J790">
        <v>2842</v>
      </c>
      <c r="K790">
        <v>50.24</v>
      </c>
      <c r="L790">
        <v>8.4499999999999993</v>
      </c>
      <c r="M790">
        <v>-6.75</v>
      </c>
    </row>
    <row r="791" spans="1:13" x14ac:dyDescent="0.3">
      <c r="A791" s="1">
        <v>45357</v>
      </c>
      <c r="B791">
        <v>426.35</v>
      </c>
      <c r="C791">
        <v>427</v>
      </c>
      <c r="D791">
        <v>403.5</v>
      </c>
      <c r="E791">
        <v>412.3</v>
      </c>
      <c r="F791">
        <v>411.80410790925799</v>
      </c>
      <c r="G791">
        <v>6524</v>
      </c>
      <c r="H791">
        <v>655</v>
      </c>
      <c r="I791">
        <v>2686610</v>
      </c>
      <c r="J791">
        <v>4353</v>
      </c>
      <c r="K791">
        <v>66.72</v>
      </c>
      <c r="L791">
        <v>23.5</v>
      </c>
      <c r="M791">
        <v>-14.05</v>
      </c>
    </row>
    <row r="792" spans="1:13" x14ac:dyDescent="0.3">
      <c r="A792" s="1">
        <v>45358</v>
      </c>
      <c r="B792">
        <v>417.2</v>
      </c>
      <c r="C792">
        <v>426</v>
      </c>
      <c r="D792">
        <v>406.6</v>
      </c>
      <c r="E792">
        <v>407.8</v>
      </c>
      <c r="F792">
        <v>411.76437527021102</v>
      </c>
      <c r="G792">
        <v>13878</v>
      </c>
      <c r="H792">
        <v>891</v>
      </c>
      <c r="I792">
        <v>5714466</v>
      </c>
      <c r="J792">
        <v>10290</v>
      </c>
      <c r="K792">
        <v>74.150000000000006</v>
      </c>
      <c r="L792">
        <v>19.399999999999999</v>
      </c>
      <c r="M792">
        <v>-9.4</v>
      </c>
    </row>
    <row r="793" spans="1:13" x14ac:dyDescent="0.3">
      <c r="A793" s="1">
        <v>45362</v>
      </c>
      <c r="B793">
        <v>414.2</v>
      </c>
      <c r="C793">
        <v>414.2</v>
      </c>
      <c r="D793">
        <v>392.45</v>
      </c>
      <c r="E793">
        <v>396.4</v>
      </c>
      <c r="F793">
        <v>400.209277525993</v>
      </c>
      <c r="G793">
        <v>3751</v>
      </c>
      <c r="H793">
        <v>513</v>
      </c>
      <c r="I793">
        <v>1501185</v>
      </c>
      <c r="J793">
        <v>2439</v>
      </c>
      <c r="K793">
        <v>65.02</v>
      </c>
      <c r="L793">
        <v>21.75</v>
      </c>
      <c r="M793">
        <v>-17.8</v>
      </c>
    </row>
    <row r="794" spans="1:13" x14ac:dyDescent="0.3">
      <c r="A794" s="1">
        <v>45363</v>
      </c>
      <c r="B794">
        <v>403.75</v>
      </c>
      <c r="C794">
        <v>403.75</v>
      </c>
      <c r="D794">
        <v>377</v>
      </c>
      <c r="E794">
        <v>380.75</v>
      </c>
      <c r="F794">
        <v>383.31869284964699</v>
      </c>
      <c r="G794">
        <v>6671</v>
      </c>
      <c r="H794">
        <v>669</v>
      </c>
      <c r="I794">
        <v>2557119</v>
      </c>
      <c r="J794">
        <v>4532</v>
      </c>
      <c r="K794">
        <v>67.94</v>
      </c>
      <c r="L794">
        <v>26.75</v>
      </c>
      <c r="M794">
        <v>-23</v>
      </c>
    </row>
    <row r="795" spans="1:13" x14ac:dyDescent="0.3">
      <c r="A795" s="1">
        <v>45364</v>
      </c>
      <c r="B795">
        <v>408.4</v>
      </c>
      <c r="C795">
        <v>408.4</v>
      </c>
      <c r="D795">
        <v>342.8</v>
      </c>
      <c r="E795">
        <v>349.75</v>
      </c>
      <c r="F795">
        <v>364.42134351605199</v>
      </c>
      <c r="G795">
        <v>19903</v>
      </c>
      <c r="H795">
        <v>2536</v>
      </c>
      <c r="I795">
        <v>7253078</v>
      </c>
      <c r="J795">
        <v>10696</v>
      </c>
      <c r="K795">
        <v>53.74</v>
      </c>
      <c r="L795">
        <v>65.599999999999994</v>
      </c>
      <c r="M795">
        <v>-58.65</v>
      </c>
    </row>
    <row r="796" spans="1:13" x14ac:dyDescent="0.3">
      <c r="A796" s="1">
        <v>45365</v>
      </c>
      <c r="B796">
        <v>345.15</v>
      </c>
      <c r="C796">
        <v>374.4</v>
      </c>
      <c r="D796">
        <v>337</v>
      </c>
      <c r="E796">
        <v>366.3</v>
      </c>
      <c r="F796">
        <v>357.28383415069101</v>
      </c>
      <c r="G796">
        <v>56075</v>
      </c>
      <c r="H796">
        <v>3464</v>
      </c>
      <c r="I796">
        <v>20034691</v>
      </c>
      <c r="J796">
        <v>27465</v>
      </c>
      <c r="K796">
        <v>48.98</v>
      </c>
      <c r="L796">
        <v>37.4</v>
      </c>
      <c r="M796">
        <v>21.15</v>
      </c>
    </row>
    <row r="797" spans="1:13" x14ac:dyDescent="0.3">
      <c r="A797" s="1">
        <v>45366</v>
      </c>
      <c r="B797">
        <v>367.15</v>
      </c>
      <c r="C797">
        <v>371.4</v>
      </c>
      <c r="D797">
        <v>354.85</v>
      </c>
      <c r="E797">
        <v>364.35</v>
      </c>
      <c r="F797">
        <v>361.79234937006299</v>
      </c>
      <c r="G797">
        <v>15319</v>
      </c>
      <c r="H797">
        <v>1122</v>
      </c>
      <c r="I797">
        <v>5542297</v>
      </c>
      <c r="J797">
        <v>10482</v>
      </c>
      <c r="K797">
        <v>68.42</v>
      </c>
      <c r="L797">
        <v>16.55</v>
      </c>
      <c r="M797">
        <v>-2.8</v>
      </c>
    </row>
    <row r="798" spans="1:13" x14ac:dyDescent="0.3">
      <c r="A798" s="1">
        <v>45369</v>
      </c>
      <c r="B798">
        <v>363.85</v>
      </c>
      <c r="C798">
        <v>398.05</v>
      </c>
      <c r="D798">
        <v>360</v>
      </c>
      <c r="E798">
        <v>387.25</v>
      </c>
      <c r="F798">
        <v>376.21194029850699</v>
      </c>
      <c r="G798">
        <v>15410</v>
      </c>
      <c r="H798">
        <v>1262</v>
      </c>
      <c r="I798">
        <v>5797426</v>
      </c>
      <c r="J798">
        <v>7462</v>
      </c>
      <c r="K798">
        <v>48.42</v>
      </c>
      <c r="L798">
        <v>38.049999999999997</v>
      </c>
      <c r="M798">
        <v>23.4</v>
      </c>
    </row>
    <row r="799" spans="1:13" x14ac:dyDescent="0.3">
      <c r="A799" s="1">
        <v>45370</v>
      </c>
      <c r="B799">
        <v>395</v>
      </c>
      <c r="C799">
        <v>397.6</v>
      </c>
      <c r="D799">
        <v>372.65</v>
      </c>
      <c r="E799">
        <v>377.15</v>
      </c>
      <c r="F799">
        <v>382.10690668626</v>
      </c>
      <c r="G799">
        <v>5444</v>
      </c>
      <c r="H799">
        <v>555</v>
      </c>
      <c r="I799">
        <v>2080190</v>
      </c>
      <c r="J799">
        <v>2515</v>
      </c>
      <c r="K799">
        <v>46.2</v>
      </c>
      <c r="L799">
        <v>24.95</v>
      </c>
      <c r="M799">
        <v>-17.850000000000001</v>
      </c>
    </row>
    <row r="800" spans="1:13" x14ac:dyDescent="0.3">
      <c r="A800" s="1">
        <v>45371</v>
      </c>
      <c r="B800">
        <v>378.05</v>
      </c>
      <c r="C800">
        <v>385.9</v>
      </c>
      <c r="D800">
        <v>365</v>
      </c>
      <c r="E800">
        <v>367.7</v>
      </c>
      <c r="F800">
        <v>374.602960574527</v>
      </c>
      <c r="G800">
        <v>20469</v>
      </c>
      <c r="H800">
        <v>3219</v>
      </c>
      <c r="I800">
        <v>7667748</v>
      </c>
      <c r="J800">
        <v>6873</v>
      </c>
      <c r="K800">
        <v>33.58</v>
      </c>
      <c r="L800">
        <v>20.9</v>
      </c>
      <c r="M800">
        <v>-10.35</v>
      </c>
    </row>
    <row r="801" spans="1:13" x14ac:dyDescent="0.3">
      <c r="A801" s="1">
        <v>45372</v>
      </c>
      <c r="B801">
        <v>372.9</v>
      </c>
      <c r="C801">
        <v>380.7</v>
      </c>
      <c r="D801">
        <v>371.65</v>
      </c>
      <c r="E801">
        <v>377.1</v>
      </c>
      <c r="F801">
        <v>377.51499944239902</v>
      </c>
      <c r="G801">
        <v>8967</v>
      </c>
      <c r="H801">
        <v>707</v>
      </c>
      <c r="I801">
        <v>3385177</v>
      </c>
      <c r="J801">
        <v>5296</v>
      </c>
      <c r="K801">
        <v>59.06</v>
      </c>
      <c r="L801">
        <v>9.0500000000000007</v>
      </c>
      <c r="M801">
        <v>4.2</v>
      </c>
    </row>
    <row r="802" spans="1:13" x14ac:dyDescent="0.3">
      <c r="A802" s="1">
        <v>45373</v>
      </c>
      <c r="B802">
        <v>384.65</v>
      </c>
      <c r="C802">
        <v>389.85</v>
      </c>
      <c r="D802">
        <v>372.75</v>
      </c>
      <c r="E802">
        <v>380.8</v>
      </c>
      <c r="F802">
        <v>381.93835974229398</v>
      </c>
      <c r="G802">
        <v>5743</v>
      </c>
      <c r="H802">
        <v>513</v>
      </c>
      <c r="I802">
        <v>2193472</v>
      </c>
      <c r="J802">
        <v>2760</v>
      </c>
      <c r="K802">
        <v>48.06</v>
      </c>
      <c r="L802">
        <v>17.100000000000001</v>
      </c>
      <c r="M802">
        <v>-3.85</v>
      </c>
    </row>
    <row r="803" spans="1:13" x14ac:dyDescent="0.3">
      <c r="A803" s="1">
        <v>45377</v>
      </c>
      <c r="B803">
        <v>381.25</v>
      </c>
      <c r="C803">
        <v>384.2</v>
      </c>
      <c r="D803">
        <v>373</v>
      </c>
      <c r="E803">
        <v>375.25</v>
      </c>
      <c r="F803">
        <v>376.71783919597902</v>
      </c>
      <c r="G803">
        <v>19900</v>
      </c>
      <c r="H803">
        <v>1121</v>
      </c>
      <c r="I803">
        <v>7496685</v>
      </c>
      <c r="J803">
        <v>14896</v>
      </c>
      <c r="K803">
        <v>74.849999999999994</v>
      </c>
      <c r="L803">
        <v>11.2</v>
      </c>
      <c r="M803">
        <v>-6</v>
      </c>
    </row>
    <row r="804" spans="1:13" x14ac:dyDescent="0.3">
      <c r="A804" s="1">
        <v>45378</v>
      </c>
      <c r="B804">
        <v>397.85</v>
      </c>
      <c r="C804">
        <v>397.85</v>
      </c>
      <c r="D804">
        <v>369.95</v>
      </c>
      <c r="E804">
        <v>372.1</v>
      </c>
      <c r="F804">
        <v>376.126015774378</v>
      </c>
      <c r="G804">
        <v>16736</v>
      </c>
      <c r="H804">
        <v>907</v>
      </c>
      <c r="I804">
        <v>6294845</v>
      </c>
      <c r="J804">
        <v>11184</v>
      </c>
      <c r="K804">
        <v>66.83</v>
      </c>
      <c r="L804">
        <v>27.9</v>
      </c>
      <c r="M804">
        <v>-25.75</v>
      </c>
    </row>
    <row r="805" spans="1:13" x14ac:dyDescent="0.3">
      <c r="A805" s="1">
        <v>45379</v>
      </c>
      <c r="B805">
        <v>372.1</v>
      </c>
      <c r="C805">
        <v>381.8</v>
      </c>
      <c r="D805">
        <v>368.85</v>
      </c>
      <c r="E805">
        <v>371</v>
      </c>
      <c r="F805">
        <v>374.89346590909003</v>
      </c>
      <c r="G805">
        <v>6336</v>
      </c>
      <c r="H805">
        <v>352</v>
      </c>
      <c r="I805">
        <v>2375325</v>
      </c>
      <c r="J805">
        <v>4682</v>
      </c>
      <c r="K805">
        <v>73.900000000000006</v>
      </c>
      <c r="L805">
        <v>12.95</v>
      </c>
      <c r="M805">
        <v>-1.1000000000000001</v>
      </c>
    </row>
    <row r="806" spans="1:13" x14ac:dyDescent="0.3">
      <c r="A806" s="1">
        <v>45383</v>
      </c>
      <c r="B806">
        <v>375</v>
      </c>
      <c r="C806">
        <v>391.4</v>
      </c>
      <c r="D806">
        <v>375</v>
      </c>
      <c r="E806">
        <v>388.2</v>
      </c>
      <c r="F806">
        <v>381.870151459179</v>
      </c>
      <c r="G806">
        <v>5414</v>
      </c>
      <c r="H806">
        <v>328</v>
      </c>
      <c r="I806">
        <v>2067445</v>
      </c>
      <c r="J806">
        <v>2869</v>
      </c>
      <c r="K806">
        <v>52.99</v>
      </c>
      <c r="L806">
        <v>16.399999999999999</v>
      </c>
      <c r="M806">
        <v>13.2</v>
      </c>
    </row>
    <row r="807" spans="1:13" x14ac:dyDescent="0.3">
      <c r="A807" s="1">
        <v>45384</v>
      </c>
      <c r="B807">
        <v>400.85</v>
      </c>
      <c r="C807">
        <v>400.95</v>
      </c>
      <c r="D807">
        <v>385.35</v>
      </c>
      <c r="E807">
        <v>392.65</v>
      </c>
      <c r="F807">
        <v>391.17517217022697</v>
      </c>
      <c r="G807">
        <v>5663</v>
      </c>
      <c r="H807">
        <v>400</v>
      </c>
      <c r="I807">
        <v>2215225</v>
      </c>
      <c r="J807">
        <v>2892</v>
      </c>
      <c r="K807">
        <v>51.07</v>
      </c>
      <c r="L807">
        <v>15.6</v>
      </c>
      <c r="M807">
        <v>-8.1999999999999993</v>
      </c>
    </row>
    <row r="808" spans="1:13" x14ac:dyDescent="0.3">
      <c r="A808" s="1">
        <v>45385</v>
      </c>
      <c r="B808">
        <v>393.65</v>
      </c>
      <c r="C808">
        <v>404.4</v>
      </c>
      <c r="D808">
        <v>393.55</v>
      </c>
      <c r="E808">
        <v>401.05</v>
      </c>
      <c r="F808">
        <v>399.93606321839002</v>
      </c>
      <c r="G808">
        <v>6960</v>
      </c>
      <c r="H808">
        <v>409</v>
      </c>
      <c r="I808">
        <v>2783555</v>
      </c>
      <c r="J808">
        <v>5071</v>
      </c>
      <c r="K808">
        <v>72.86</v>
      </c>
      <c r="L808">
        <v>10.85</v>
      </c>
      <c r="M808">
        <v>7.4</v>
      </c>
    </row>
    <row r="809" spans="1:13" x14ac:dyDescent="0.3">
      <c r="A809" s="1">
        <v>45386</v>
      </c>
      <c r="B809">
        <v>409.95</v>
      </c>
      <c r="C809">
        <v>428.4</v>
      </c>
      <c r="D809">
        <v>400</v>
      </c>
      <c r="E809">
        <v>423.05</v>
      </c>
      <c r="F809">
        <v>412.72484745913602</v>
      </c>
      <c r="G809">
        <v>22453</v>
      </c>
      <c r="H809">
        <v>1172</v>
      </c>
      <c r="I809">
        <v>9266911</v>
      </c>
      <c r="J809">
        <v>11501</v>
      </c>
      <c r="K809">
        <v>51.22</v>
      </c>
      <c r="L809">
        <v>28.4</v>
      </c>
      <c r="M809">
        <v>13.1</v>
      </c>
    </row>
    <row r="810" spans="1:13" x14ac:dyDescent="0.3">
      <c r="A810" s="1">
        <v>45387</v>
      </c>
      <c r="B810">
        <v>424.15</v>
      </c>
      <c r="C810">
        <v>430</v>
      </c>
      <c r="D810">
        <v>414.1</v>
      </c>
      <c r="E810">
        <v>418.6</v>
      </c>
      <c r="F810">
        <v>420.21620405101203</v>
      </c>
      <c r="G810">
        <v>6665</v>
      </c>
      <c r="H810">
        <v>285</v>
      </c>
      <c r="I810">
        <v>2800741</v>
      </c>
      <c r="J810">
        <v>3216</v>
      </c>
      <c r="K810">
        <v>48.25</v>
      </c>
      <c r="L810">
        <v>15.9</v>
      </c>
      <c r="M810">
        <v>-5.55</v>
      </c>
    </row>
    <row r="811" spans="1:13" x14ac:dyDescent="0.3">
      <c r="A811" s="1">
        <v>45390</v>
      </c>
      <c r="B811">
        <v>423</v>
      </c>
      <c r="C811">
        <v>423</v>
      </c>
      <c r="D811">
        <v>406.6</v>
      </c>
      <c r="E811">
        <v>408.25</v>
      </c>
      <c r="F811">
        <v>411.87970345502799</v>
      </c>
      <c r="G811">
        <v>7149</v>
      </c>
      <c r="H811">
        <v>574</v>
      </c>
      <c r="I811">
        <v>2944528</v>
      </c>
      <c r="J811">
        <v>4384</v>
      </c>
      <c r="K811">
        <v>61.32</v>
      </c>
      <c r="L811">
        <v>16.399999999999999</v>
      </c>
      <c r="M811">
        <v>-14.75</v>
      </c>
    </row>
    <row r="812" spans="1:13" x14ac:dyDescent="0.3">
      <c r="A812" s="1">
        <v>45391</v>
      </c>
      <c r="B812">
        <v>411.05</v>
      </c>
      <c r="C812">
        <v>413.15</v>
      </c>
      <c r="D812">
        <v>398.95</v>
      </c>
      <c r="E812">
        <v>401.65</v>
      </c>
      <c r="F812">
        <v>402.05812633967901</v>
      </c>
      <c r="G812">
        <v>7931</v>
      </c>
      <c r="H812">
        <v>674</v>
      </c>
      <c r="I812">
        <v>3188723</v>
      </c>
      <c r="J812">
        <v>5157</v>
      </c>
      <c r="K812">
        <v>65.02</v>
      </c>
      <c r="L812">
        <v>14.2</v>
      </c>
      <c r="M812">
        <v>-9.4</v>
      </c>
    </row>
    <row r="813" spans="1:13" x14ac:dyDescent="0.3">
      <c r="A813" s="1">
        <v>45392</v>
      </c>
      <c r="B813">
        <v>402</v>
      </c>
      <c r="C813">
        <v>405.7</v>
      </c>
      <c r="D813">
        <v>391.5</v>
      </c>
      <c r="E813">
        <v>399.5</v>
      </c>
      <c r="F813">
        <v>397.18360017956002</v>
      </c>
      <c r="G813">
        <v>6683</v>
      </c>
      <c r="H813">
        <v>445</v>
      </c>
      <c r="I813">
        <v>2654378</v>
      </c>
      <c r="J813">
        <v>4097</v>
      </c>
      <c r="K813">
        <v>61.3</v>
      </c>
      <c r="L813">
        <v>14.2</v>
      </c>
      <c r="M813">
        <v>-2.5</v>
      </c>
    </row>
    <row r="814" spans="1:13" x14ac:dyDescent="0.3">
      <c r="A814" s="1">
        <v>45394</v>
      </c>
      <c r="B814">
        <v>391.25</v>
      </c>
      <c r="C814">
        <v>419.25</v>
      </c>
      <c r="D814">
        <v>391.25</v>
      </c>
      <c r="E814">
        <v>412.7</v>
      </c>
      <c r="F814">
        <v>406.17012745238401</v>
      </c>
      <c r="G814">
        <v>6983</v>
      </c>
      <c r="H814">
        <v>428</v>
      </c>
      <c r="I814">
        <v>2836286</v>
      </c>
      <c r="J814">
        <v>4259</v>
      </c>
      <c r="K814">
        <v>60.99</v>
      </c>
      <c r="L814">
        <v>28</v>
      </c>
      <c r="M814">
        <v>21.45</v>
      </c>
    </row>
    <row r="815" spans="1:13" x14ac:dyDescent="0.3">
      <c r="A815" s="1">
        <v>45397</v>
      </c>
      <c r="B815">
        <v>384.85</v>
      </c>
      <c r="C815">
        <v>400.75</v>
      </c>
      <c r="D815">
        <v>384.85</v>
      </c>
      <c r="E815">
        <v>395.4</v>
      </c>
      <c r="F815">
        <v>393.39250472391302</v>
      </c>
      <c r="G815">
        <v>9526</v>
      </c>
      <c r="H815">
        <v>375</v>
      </c>
      <c r="I815">
        <v>3747457</v>
      </c>
      <c r="J815">
        <v>6077</v>
      </c>
      <c r="K815">
        <v>63.79</v>
      </c>
      <c r="L815">
        <v>15.9</v>
      </c>
      <c r="M815">
        <v>10.55</v>
      </c>
    </row>
    <row r="816" spans="1:13" x14ac:dyDescent="0.3">
      <c r="A816" s="1">
        <v>45398</v>
      </c>
      <c r="B816">
        <v>387.05</v>
      </c>
      <c r="C816">
        <v>399.35</v>
      </c>
      <c r="D816">
        <v>386.85</v>
      </c>
      <c r="E816">
        <v>392.95</v>
      </c>
      <c r="F816">
        <v>394.57483510908099</v>
      </c>
      <c r="G816">
        <v>1971</v>
      </c>
      <c r="H816">
        <v>215</v>
      </c>
      <c r="I816">
        <v>777707</v>
      </c>
      <c r="J816">
        <v>1084</v>
      </c>
      <c r="K816">
        <v>55</v>
      </c>
      <c r="L816">
        <v>12.5</v>
      </c>
      <c r="M816">
        <v>5.9</v>
      </c>
    </row>
    <row r="817" spans="1:13" x14ac:dyDescent="0.3">
      <c r="A817" s="1">
        <v>45400</v>
      </c>
      <c r="B817">
        <v>399.35</v>
      </c>
      <c r="C817">
        <v>448</v>
      </c>
      <c r="D817">
        <v>399.35</v>
      </c>
      <c r="E817">
        <v>440.1</v>
      </c>
      <c r="F817">
        <v>436.59160513689699</v>
      </c>
      <c r="G817">
        <v>69614</v>
      </c>
      <c r="H817">
        <v>4130</v>
      </c>
      <c r="I817">
        <v>30392888</v>
      </c>
      <c r="J817">
        <v>26579</v>
      </c>
      <c r="K817">
        <v>38.18</v>
      </c>
      <c r="L817">
        <v>48.65</v>
      </c>
      <c r="M817">
        <v>40.75</v>
      </c>
    </row>
    <row r="818" spans="1:13" x14ac:dyDescent="0.3">
      <c r="A818" s="1">
        <v>45401</v>
      </c>
      <c r="B818">
        <v>445</v>
      </c>
      <c r="C818">
        <v>482.25</v>
      </c>
      <c r="D818">
        <v>445</v>
      </c>
      <c r="E818">
        <v>448.45</v>
      </c>
      <c r="F818">
        <v>461.07182586372801</v>
      </c>
      <c r="G818">
        <v>93490</v>
      </c>
      <c r="H818">
        <v>5507</v>
      </c>
      <c r="I818">
        <v>43105605</v>
      </c>
      <c r="J818">
        <v>36998</v>
      </c>
      <c r="K818">
        <v>39.57</v>
      </c>
      <c r="L818">
        <v>37.25</v>
      </c>
      <c r="M818">
        <v>3.45</v>
      </c>
    </row>
    <row r="819" spans="1:13" x14ac:dyDescent="0.3">
      <c r="A819" s="1">
        <v>45404</v>
      </c>
      <c r="B819">
        <v>445.15</v>
      </c>
      <c r="C819">
        <v>453.85</v>
      </c>
      <c r="D819">
        <v>431.3</v>
      </c>
      <c r="E819">
        <v>436.5</v>
      </c>
      <c r="F819">
        <v>444.267591435138</v>
      </c>
      <c r="G819">
        <v>24799</v>
      </c>
      <c r="H819">
        <v>1894</v>
      </c>
      <c r="I819">
        <v>11017392</v>
      </c>
      <c r="J819">
        <v>15933</v>
      </c>
      <c r="K819">
        <v>64.25</v>
      </c>
      <c r="L819">
        <v>22.55</v>
      </c>
      <c r="M819">
        <v>-8.65</v>
      </c>
    </row>
    <row r="820" spans="1:13" x14ac:dyDescent="0.3">
      <c r="A820" s="1">
        <v>45405</v>
      </c>
      <c r="B820">
        <v>433.55</v>
      </c>
      <c r="C820">
        <v>457.05</v>
      </c>
      <c r="D820">
        <v>433.55</v>
      </c>
      <c r="E820">
        <v>444.55</v>
      </c>
      <c r="F820">
        <v>448.81380532668999</v>
      </c>
      <c r="G820">
        <v>20876</v>
      </c>
      <c r="H820">
        <v>1351</v>
      </c>
      <c r="I820">
        <v>9369437</v>
      </c>
      <c r="J820">
        <v>9605</v>
      </c>
      <c r="K820">
        <v>46.01</v>
      </c>
      <c r="L820">
        <v>23.5</v>
      </c>
      <c r="M820">
        <v>11</v>
      </c>
    </row>
    <row r="821" spans="1:13" x14ac:dyDescent="0.3">
      <c r="A821" s="1">
        <v>45406</v>
      </c>
      <c r="B821">
        <v>453.45</v>
      </c>
      <c r="C821">
        <v>453.45</v>
      </c>
      <c r="D821">
        <v>438.6</v>
      </c>
      <c r="E821">
        <v>441</v>
      </c>
      <c r="F821">
        <v>442.858948033486</v>
      </c>
      <c r="G821">
        <v>6331</v>
      </c>
      <c r="H821">
        <v>470</v>
      </c>
      <c r="I821">
        <v>2803740</v>
      </c>
      <c r="J821">
        <v>3185</v>
      </c>
      <c r="K821">
        <v>50.31</v>
      </c>
      <c r="L821">
        <v>14.85</v>
      </c>
      <c r="M821">
        <v>-12.45</v>
      </c>
    </row>
    <row r="822" spans="1:13" x14ac:dyDescent="0.3">
      <c r="A822" s="1">
        <v>45407</v>
      </c>
      <c r="B822">
        <v>441.5</v>
      </c>
      <c r="C822">
        <v>447.95</v>
      </c>
      <c r="D822">
        <v>433.65</v>
      </c>
      <c r="E822">
        <v>443.2</v>
      </c>
      <c r="F822">
        <v>438.50792156862701</v>
      </c>
      <c r="G822">
        <v>6375</v>
      </c>
      <c r="H822">
        <v>470</v>
      </c>
      <c r="I822">
        <v>2795488</v>
      </c>
      <c r="J822">
        <v>3333</v>
      </c>
      <c r="K822">
        <v>52.28</v>
      </c>
      <c r="L822">
        <v>14.3</v>
      </c>
      <c r="M822">
        <v>1.7</v>
      </c>
    </row>
    <row r="823" spans="1:13" x14ac:dyDescent="0.3">
      <c r="A823" s="1">
        <v>45408</v>
      </c>
      <c r="B823">
        <v>446.8</v>
      </c>
      <c r="C823">
        <v>446.8</v>
      </c>
      <c r="D823">
        <v>435.2</v>
      </c>
      <c r="E823">
        <v>441.3</v>
      </c>
      <c r="F823">
        <v>440.47102937237702</v>
      </c>
      <c r="G823">
        <v>11201</v>
      </c>
      <c r="H823">
        <v>1030</v>
      </c>
      <c r="I823">
        <v>4933716</v>
      </c>
      <c r="J823">
        <v>5934</v>
      </c>
      <c r="K823">
        <v>52.98</v>
      </c>
      <c r="L823">
        <v>11.6</v>
      </c>
      <c r="M823">
        <v>-5.5</v>
      </c>
    </row>
    <row r="824" spans="1:13" x14ac:dyDescent="0.3">
      <c r="A824" s="1">
        <v>45411</v>
      </c>
      <c r="B824">
        <v>441</v>
      </c>
      <c r="C824">
        <v>447</v>
      </c>
      <c r="D824">
        <v>432.5</v>
      </c>
      <c r="E824">
        <v>443.1</v>
      </c>
      <c r="F824">
        <v>442.57523987830501</v>
      </c>
      <c r="G824">
        <v>4273</v>
      </c>
      <c r="H824">
        <v>482</v>
      </c>
      <c r="I824">
        <v>1891124</v>
      </c>
      <c r="J824">
        <v>2256</v>
      </c>
      <c r="K824">
        <v>52.8</v>
      </c>
      <c r="L824">
        <v>14.5</v>
      </c>
      <c r="M824">
        <v>2.1</v>
      </c>
    </row>
    <row r="825" spans="1:13" x14ac:dyDescent="0.3">
      <c r="A825" s="1">
        <v>45412</v>
      </c>
      <c r="B825">
        <v>447</v>
      </c>
      <c r="C825">
        <v>448.6</v>
      </c>
      <c r="D825">
        <v>435</v>
      </c>
      <c r="E825">
        <v>441.45</v>
      </c>
      <c r="F825">
        <v>439.09994674241</v>
      </c>
      <c r="G825">
        <v>5633</v>
      </c>
      <c r="H825">
        <v>403</v>
      </c>
      <c r="I825">
        <v>2473450</v>
      </c>
      <c r="J825">
        <v>3389</v>
      </c>
      <c r="K825">
        <v>60.16</v>
      </c>
      <c r="L825">
        <v>13.6</v>
      </c>
      <c r="M825">
        <v>-5.55</v>
      </c>
    </row>
    <row r="826" spans="1:13" x14ac:dyDescent="0.3">
      <c r="A826" s="1">
        <v>45414</v>
      </c>
      <c r="B826">
        <v>446.45</v>
      </c>
      <c r="C826">
        <v>446.45</v>
      </c>
      <c r="D826">
        <v>432.75</v>
      </c>
      <c r="E826">
        <v>435.4</v>
      </c>
      <c r="F826">
        <v>441.30015572281297</v>
      </c>
      <c r="G826">
        <v>15412</v>
      </c>
      <c r="H826">
        <v>1292</v>
      </c>
      <c r="I826">
        <v>6801318</v>
      </c>
      <c r="J826">
        <v>6713</v>
      </c>
      <c r="K826">
        <v>43.56</v>
      </c>
      <c r="L826">
        <v>13.7</v>
      </c>
      <c r="M826">
        <v>-11.05</v>
      </c>
    </row>
    <row r="827" spans="1:13" x14ac:dyDescent="0.3">
      <c r="A827" s="1">
        <v>45415</v>
      </c>
      <c r="B827">
        <v>435.05</v>
      </c>
      <c r="C827">
        <v>443.05</v>
      </c>
      <c r="D827">
        <v>422.55</v>
      </c>
      <c r="E827">
        <v>428.3</v>
      </c>
      <c r="F827">
        <v>431.07100854321499</v>
      </c>
      <c r="G827">
        <v>9013</v>
      </c>
      <c r="H827">
        <v>746</v>
      </c>
      <c r="I827">
        <v>3885243</v>
      </c>
      <c r="J827">
        <v>5399</v>
      </c>
      <c r="K827">
        <v>59.9</v>
      </c>
      <c r="L827">
        <v>20.5</v>
      </c>
      <c r="M827">
        <v>-6.75</v>
      </c>
    </row>
    <row r="828" spans="1:13" x14ac:dyDescent="0.3">
      <c r="A828" s="1">
        <v>45418</v>
      </c>
      <c r="B828">
        <v>422.95</v>
      </c>
      <c r="C828">
        <v>430</v>
      </c>
      <c r="D828">
        <v>417</v>
      </c>
      <c r="E828">
        <v>421.15</v>
      </c>
      <c r="F828">
        <v>422.07632248442798</v>
      </c>
      <c r="G828">
        <v>11399</v>
      </c>
      <c r="H828">
        <v>1045</v>
      </c>
      <c r="I828">
        <v>4811248</v>
      </c>
      <c r="J828">
        <v>7790</v>
      </c>
      <c r="K828">
        <v>68.34</v>
      </c>
      <c r="L828">
        <v>13</v>
      </c>
      <c r="M828">
        <v>-1.8</v>
      </c>
    </row>
    <row r="829" spans="1:13" x14ac:dyDescent="0.3">
      <c r="A829" s="1">
        <v>45419</v>
      </c>
      <c r="B829">
        <v>423.7</v>
      </c>
      <c r="C829">
        <v>424.1</v>
      </c>
      <c r="D829">
        <v>409.55</v>
      </c>
      <c r="E829">
        <v>417.6</v>
      </c>
      <c r="F829">
        <v>415.13225234355201</v>
      </c>
      <c r="G829">
        <v>3947</v>
      </c>
      <c r="H829">
        <v>365</v>
      </c>
      <c r="I829">
        <v>1638527</v>
      </c>
      <c r="J829">
        <v>2505</v>
      </c>
      <c r="K829">
        <v>63.47</v>
      </c>
      <c r="L829">
        <v>14.55</v>
      </c>
      <c r="M829">
        <v>-6.1</v>
      </c>
    </row>
    <row r="830" spans="1:13" x14ac:dyDescent="0.3">
      <c r="A830" s="1">
        <v>45420</v>
      </c>
      <c r="B830">
        <v>423.65</v>
      </c>
      <c r="C830">
        <v>437.15</v>
      </c>
      <c r="D830">
        <v>418.6</v>
      </c>
      <c r="E830">
        <v>426.1</v>
      </c>
      <c r="F830">
        <v>429.18037135278502</v>
      </c>
      <c r="G830">
        <v>3770</v>
      </c>
      <c r="H830">
        <v>530</v>
      </c>
      <c r="I830">
        <v>1618010</v>
      </c>
      <c r="J830">
        <v>1870</v>
      </c>
      <c r="K830">
        <v>49.6</v>
      </c>
      <c r="L830">
        <v>18.55</v>
      </c>
      <c r="M830">
        <v>2.4500000000000002</v>
      </c>
    </row>
    <row r="831" spans="1:13" x14ac:dyDescent="0.3">
      <c r="A831" s="1">
        <v>45421</v>
      </c>
      <c r="B831">
        <v>422.05</v>
      </c>
      <c r="C831">
        <v>431.85</v>
      </c>
      <c r="D831">
        <v>421.45</v>
      </c>
      <c r="E831">
        <v>423.05</v>
      </c>
      <c r="F831">
        <v>426.84986713906102</v>
      </c>
      <c r="G831">
        <v>2258</v>
      </c>
      <c r="H831">
        <v>456</v>
      </c>
      <c r="I831">
        <v>963827</v>
      </c>
      <c r="J831">
        <v>1103</v>
      </c>
      <c r="K831">
        <v>48.85</v>
      </c>
      <c r="L831">
        <v>10.4</v>
      </c>
      <c r="M831">
        <v>1</v>
      </c>
    </row>
    <row r="832" spans="1:13" x14ac:dyDescent="0.3">
      <c r="A832" s="1">
        <v>45422</v>
      </c>
      <c r="B832">
        <v>431.55</v>
      </c>
      <c r="C832">
        <v>460</v>
      </c>
      <c r="D832">
        <v>413</v>
      </c>
      <c r="E832">
        <v>434.25</v>
      </c>
      <c r="F832">
        <v>439.71688700423999</v>
      </c>
      <c r="G832">
        <v>12027</v>
      </c>
      <c r="H832">
        <v>1287</v>
      </c>
      <c r="I832">
        <v>5288475</v>
      </c>
      <c r="J832">
        <v>4362</v>
      </c>
      <c r="K832">
        <v>36.270000000000003</v>
      </c>
      <c r="L832">
        <v>47</v>
      </c>
      <c r="M832">
        <v>2.7</v>
      </c>
    </row>
    <row r="833" spans="1:13" x14ac:dyDescent="0.3">
      <c r="A833" s="1">
        <v>45425</v>
      </c>
      <c r="B833">
        <v>453.8</v>
      </c>
      <c r="C833">
        <v>521.1</v>
      </c>
      <c r="D833">
        <v>453.5</v>
      </c>
      <c r="E833">
        <v>521.1</v>
      </c>
      <c r="F833">
        <v>494.55623609812699</v>
      </c>
      <c r="G833">
        <v>93063</v>
      </c>
      <c r="H833">
        <v>5784</v>
      </c>
      <c r="I833">
        <v>46024887</v>
      </c>
      <c r="J833">
        <v>34089</v>
      </c>
      <c r="K833">
        <v>36.630000000000003</v>
      </c>
      <c r="L833">
        <v>67.599999999999994</v>
      </c>
      <c r="M833">
        <v>67.3</v>
      </c>
    </row>
    <row r="834" spans="1:13" x14ac:dyDescent="0.3">
      <c r="A834" s="1">
        <v>45426</v>
      </c>
      <c r="B834">
        <v>528.75</v>
      </c>
      <c r="C834">
        <v>608.95000000000005</v>
      </c>
      <c r="D834">
        <v>510.95</v>
      </c>
      <c r="E834">
        <v>581.95000000000005</v>
      </c>
      <c r="F834">
        <v>569.00204588216604</v>
      </c>
      <c r="G834">
        <v>176452</v>
      </c>
      <c r="H834">
        <v>10432</v>
      </c>
      <c r="I834">
        <v>100401549</v>
      </c>
      <c r="J834">
        <v>38771</v>
      </c>
      <c r="K834">
        <v>21.97</v>
      </c>
      <c r="L834">
        <v>98</v>
      </c>
      <c r="M834">
        <v>53.2</v>
      </c>
    </row>
    <row r="835" spans="1:13" x14ac:dyDescent="0.3">
      <c r="A835" s="1">
        <v>45427</v>
      </c>
      <c r="B835">
        <v>600.65</v>
      </c>
      <c r="C835">
        <v>622.15</v>
      </c>
      <c r="D835">
        <v>578.79999999999995</v>
      </c>
      <c r="E835">
        <v>605.04999999999995</v>
      </c>
      <c r="F835">
        <v>602.46972565615999</v>
      </c>
      <c r="G835">
        <v>80811</v>
      </c>
      <c r="H835">
        <v>5235</v>
      </c>
      <c r="I835">
        <v>48686181</v>
      </c>
      <c r="J835">
        <v>20660</v>
      </c>
      <c r="K835">
        <v>25.57</v>
      </c>
      <c r="L835">
        <v>43.35</v>
      </c>
      <c r="M835">
        <v>4.4000000000000004</v>
      </c>
    </row>
    <row r="836" spans="1:13" x14ac:dyDescent="0.3">
      <c r="A836" s="1">
        <v>45428</v>
      </c>
      <c r="B836">
        <v>605</v>
      </c>
      <c r="C836">
        <v>605</v>
      </c>
      <c r="D836">
        <v>571.1</v>
      </c>
      <c r="E836">
        <v>580.4</v>
      </c>
      <c r="F836">
        <v>584.34757865937001</v>
      </c>
      <c r="G836">
        <v>54825</v>
      </c>
      <c r="H836">
        <v>3028</v>
      </c>
      <c r="I836">
        <v>32036856</v>
      </c>
      <c r="J836">
        <v>30906</v>
      </c>
      <c r="K836">
        <v>56.37</v>
      </c>
      <c r="L836">
        <v>33.9</v>
      </c>
      <c r="M836">
        <v>-24.6</v>
      </c>
    </row>
    <row r="837" spans="1:13" x14ac:dyDescent="0.3">
      <c r="A837" s="1">
        <v>45429</v>
      </c>
      <c r="B837">
        <v>572.04999999999995</v>
      </c>
      <c r="C837">
        <v>594</v>
      </c>
      <c r="D837">
        <v>548</v>
      </c>
      <c r="E837">
        <v>560.29999999999995</v>
      </c>
      <c r="F837">
        <v>571.19869247163103</v>
      </c>
      <c r="G837">
        <v>34722</v>
      </c>
      <c r="H837">
        <v>2421</v>
      </c>
      <c r="I837">
        <v>19833161</v>
      </c>
      <c r="J837">
        <v>20383</v>
      </c>
      <c r="K837">
        <v>58.7</v>
      </c>
      <c r="L837">
        <v>46</v>
      </c>
      <c r="M837">
        <v>-11.75</v>
      </c>
    </row>
    <row r="838" spans="1:13" x14ac:dyDescent="0.3">
      <c r="A838" s="1">
        <v>45430</v>
      </c>
      <c r="B838">
        <v>551.04999999999995</v>
      </c>
      <c r="C838">
        <v>580</v>
      </c>
      <c r="D838">
        <v>551.04999999999995</v>
      </c>
      <c r="E838">
        <v>572.35</v>
      </c>
      <c r="F838">
        <v>569.30066287878697</v>
      </c>
      <c r="G838">
        <v>6336</v>
      </c>
      <c r="H838">
        <v>722</v>
      </c>
      <c r="I838">
        <v>3607089</v>
      </c>
      <c r="J838">
        <v>4380</v>
      </c>
      <c r="K838">
        <v>69.13</v>
      </c>
      <c r="L838">
        <v>28.95</v>
      </c>
      <c r="M838">
        <v>21.3</v>
      </c>
    </row>
    <row r="839" spans="1:13" x14ac:dyDescent="0.3">
      <c r="A839" s="1">
        <v>45433</v>
      </c>
      <c r="B839">
        <v>575</v>
      </c>
      <c r="C839">
        <v>588</v>
      </c>
      <c r="D839">
        <v>557.79999999999995</v>
      </c>
      <c r="E839">
        <v>573.04999999999995</v>
      </c>
      <c r="F839">
        <v>570.368842567196</v>
      </c>
      <c r="G839">
        <v>9115</v>
      </c>
      <c r="H839">
        <v>555</v>
      </c>
      <c r="I839">
        <v>5198912</v>
      </c>
      <c r="J839">
        <v>5883</v>
      </c>
      <c r="K839">
        <v>64.540000000000006</v>
      </c>
      <c r="L839">
        <v>30.2</v>
      </c>
      <c r="M839">
        <v>-1.95</v>
      </c>
    </row>
    <row r="840" spans="1:13" x14ac:dyDescent="0.3">
      <c r="A840" s="1">
        <v>45434</v>
      </c>
      <c r="B840">
        <v>551.79999999999995</v>
      </c>
      <c r="C840">
        <v>576.04999999999995</v>
      </c>
      <c r="D840">
        <v>551.79999999999995</v>
      </c>
      <c r="E840">
        <v>562.45000000000005</v>
      </c>
      <c r="F840">
        <v>564.25506486866402</v>
      </c>
      <c r="G840">
        <v>15647</v>
      </c>
      <c r="H840">
        <v>1014</v>
      </c>
      <c r="I840">
        <v>8828899</v>
      </c>
      <c r="J840">
        <v>9793</v>
      </c>
      <c r="K840">
        <v>62.59</v>
      </c>
      <c r="L840">
        <v>24.25</v>
      </c>
      <c r="M840">
        <v>10.65</v>
      </c>
    </row>
    <row r="841" spans="1:13" x14ac:dyDescent="0.3">
      <c r="A841" s="1">
        <v>45435</v>
      </c>
      <c r="B841">
        <v>562</v>
      </c>
      <c r="C841">
        <v>585</v>
      </c>
      <c r="D841">
        <v>558.45000000000005</v>
      </c>
      <c r="E841">
        <v>563.25</v>
      </c>
      <c r="F841">
        <v>570.83927213153095</v>
      </c>
      <c r="G841">
        <v>17091</v>
      </c>
      <c r="H841">
        <v>1024</v>
      </c>
      <c r="I841">
        <v>9756214</v>
      </c>
      <c r="J841">
        <v>10025</v>
      </c>
      <c r="K841">
        <v>58.66</v>
      </c>
      <c r="L841">
        <v>26.55</v>
      </c>
      <c r="M841">
        <v>1.25</v>
      </c>
    </row>
    <row r="842" spans="1:13" x14ac:dyDescent="0.3">
      <c r="A842" s="1">
        <v>45436</v>
      </c>
      <c r="B842">
        <v>563.25</v>
      </c>
      <c r="C842">
        <v>569.9</v>
      </c>
      <c r="D842">
        <v>555.4</v>
      </c>
      <c r="E842">
        <v>561.45000000000005</v>
      </c>
      <c r="F842">
        <v>561.72302158273305</v>
      </c>
      <c r="G842">
        <v>16402</v>
      </c>
      <c r="H842">
        <v>1185</v>
      </c>
      <c r="I842">
        <v>9213381</v>
      </c>
      <c r="J842">
        <v>10590</v>
      </c>
      <c r="K842">
        <v>64.569999999999993</v>
      </c>
      <c r="L842">
        <v>14.5</v>
      </c>
      <c r="M842">
        <v>-1.8</v>
      </c>
    </row>
    <row r="843" spans="1:13" x14ac:dyDescent="0.3">
      <c r="A843" s="1">
        <v>45439</v>
      </c>
      <c r="B843">
        <v>572.70000000000005</v>
      </c>
      <c r="C843">
        <v>605</v>
      </c>
      <c r="D843">
        <v>539.20000000000005</v>
      </c>
      <c r="E843">
        <v>589.75</v>
      </c>
      <c r="F843">
        <v>585.27715725309099</v>
      </c>
      <c r="G843">
        <v>28381</v>
      </c>
      <c r="H843">
        <v>1881</v>
      </c>
      <c r="I843">
        <v>16610751</v>
      </c>
      <c r="J843">
        <v>13492</v>
      </c>
      <c r="K843">
        <v>47.54</v>
      </c>
      <c r="L843">
        <v>65.8</v>
      </c>
      <c r="M843">
        <v>17.05</v>
      </c>
    </row>
    <row r="844" spans="1:13" x14ac:dyDescent="0.3">
      <c r="A844" s="1">
        <v>45440</v>
      </c>
      <c r="B844">
        <v>592</v>
      </c>
      <c r="C844">
        <v>592.15</v>
      </c>
      <c r="D844">
        <v>563</v>
      </c>
      <c r="E844">
        <v>570.45000000000005</v>
      </c>
      <c r="F844">
        <v>575.05961880099903</v>
      </c>
      <c r="G844">
        <v>33211</v>
      </c>
      <c r="H844">
        <v>2271</v>
      </c>
      <c r="I844">
        <v>19098305</v>
      </c>
      <c r="J844">
        <v>17325</v>
      </c>
      <c r="K844">
        <v>52.17</v>
      </c>
      <c r="L844">
        <v>29.15</v>
      </c>
      <c r="M844">
        <v>-21.55</v>
      </c>
    </row>
    <row r="845" spans="1:13" x14ac:dyDescent="0.3">
      <c r="A845" s="1">
        <v>45441</v>
      </c>
      <c r="B845">
        <v>571.6</v>
      </c>
      <c r="C845">
        <v>592.65</v>
      </c>
      <c r="D845">
        <v>562.25</v>
      </c>
      <c r="E845">
        <v>577.95000000000005</v>
      </c>
      <c r="F845">
        <v>571.80052883820804</v>
      </c>
      <c r="G845">
        <v>6051</v>
      </c>
      <c r="H845">
        <v>555</v>
      </c>
      <c r="I845">
        <v>3459965</v>
      </c>
      <c r="J845">
        <v>1517</v>
      </c>
      <c r="K845">
        <v>25.07</v>
      </c>
      <c r="L845">
        <v>30.4</v>
      </c>
      <c r="M845">
        <v>6.35</v>
      </c>
    </row>
    <row r="846" spans="1:13" x14ac:dyDescent="0.3">
      <c r="A846" s="1">
        <v>45442</v>
      </c>
      <c r="B846">
        <v>578</v>
      </c>
      <c r="C846">
        <v>578.25</v>
      </c>
      <c r="D846">
        <v>549.75</v>
      </c>
      <c r="E846">
        <v>556.35</v>
      </c>
      <c r="F846">
        <v>560.64228076738004</v>
      </c>
      <c r="G846">
        <v>18713</v>
      </c>
      <c r="H846">
        <v>1333</v>
      </c>
      <c r="I846">
        <v>10491299</v>
      </c>
      <c r="J846">
        <v>10819</v>
      </c>
      <c r="K846">
        <v>57.82</v>
      </c>
      <c r="L846">
        <v>28.5</v>
      </c>
      <c r="M846">
        <v>-21.65</v>
      </c>
    </row>
    <row r="847" spans="1:13" x14ac:dyDescent="0.3">
      <c r="A847" s="1">
        <v>45443</v>
      </c>
      <c r="B847">
        <v>556.35</v>
      </c>
      <c r="C847">
        <v>563.4</v>
      </c>
      <c r="D847">
        <v>540</v>
      </c>
      <c r="E847">
        <v>547.25</v>
      </c>
      <c r="F847">
        <v>547.39284049111495</v>
      </c>
      <c r="G847">
        <v>19303</v>
      </c>
      <c r="H847">
        <v>1359</v>
      </c>
      <c r="I847">
        <v>10566324</v>
      </c>
      <c r="J847">
        <v>10783</v>
      </c>
      <c r="K847">
        <v>55.86</v>
      </c>
      <c r="L847">
        <v>23.4</v>
      </c>
      <c r="M847">
        <v>-9.1</v>
      </c>
    </row>
    <row r="848" spans="1:13" x14ac:dyDescent="0.3">
      <c r="A848" s="1">
        <v>45446</v>
      </c>
      <c r="B848">
        <v>575</v>
      </c>
      <c r="C848">
        <v>575.1</v>
      </c>
      <c r="D848">
        <v>550.04999999999995</v>
      </c>
      <c r="E848">
        <v>564.85</v>
      </c>
      <c r="F848">
        <v>559.31045567090905</v>
      </c>
      <c r="G848">
        <v>23021</v>
      </c>
      <c r="H848">
        <v>1310</v>
      </c>
      <c r="I848">
        <v>12875886</v>
      </c>
      <c r="J848">
        <v>11529</v>
      </c>
      <c r="K848">
        <v>50.08</v>
      </c>
      <c r="L848">
        <v>25.05</v>
      </c>
      <c r="M848">
        <v>-10.15</v>
      </c>
    </row>
    <row r="849" spans="1:13" x14ac:dyDescent="0.3">
      <c r="A849" s="1">
        <v>45447</v>
      </c>
      <c r="B849">
        <v>578.85</v>
      </c>
      <c r="C849">
        <v>578.85</v>
      </c>
      <c r="D849">
        <v>508.4</v>
      </c>
      <c r="E849">
        <v>516.35</v>
      </c>
      <c r="F849">
        <v>531.88036478367906</v>
      </c>
      <c r="G849">
        <v>23137</v>
      </c>
      <c r="H849">
        <v>1431</v>
      </c>
      <c r="I849">
        <v>12306116</v>
      </c>
      <c r="J849">
        <v>11767</v>
      </c>
      <c r="K849">
        <v>50.86</v>
      </c>
      <c r="L849">
        <v>70.45</v>
      </c>
      <c r="M849">
        <v>-62.5</v>
      </c>
    </row>
    <row r="850" spans="1:13" x14ac:dyDescent="0.3">
      <c r="A850" s="1">
        <v>45448</v>
      </c>
      <c r="B850">
        <v>526.70000000000005</v>
      </c>
      <c r="C850">
        <v>548.95000000000005</v>
      </c>
      <c r="D850">
        <v>502.3</v>
      </c>
      <c r="E850">
        <v>544.45000000000005</v>
      </c>
      <c r="F850">
        <v>525.79829723300304</v>
      </c>
      <c r="G850">
        <v>7987</v>
      </c>
      <c r="H850">
        <v>760</v>
      </c>
      <c r="I850">
        <v>4199551</v>
      </c>
      <c r="J850">
        <v>3591</v>
      </c>
      <c r="K850">
        <v>44.96</v>
      </c>
      <c r="L850">
        <v>46.65</v>
      </c>
      <c r="M850">
        <v>17.75</v>
      </c>
    </row>
    <row r="851" spans="1:13" x14ac:dyDescent="0.3">
      <c r="A851" s="1">
        <v>45449</v>
      </c>
      <c r="B851">
        <v>580</v>
      </c>
      <c r="C851">
        <v>580</v>
      </c>
      <c r="D851">
        <v>549.6</v>
      </c>
      <c r="E851">
        <v>560.1</v>
      </c>
      <c r="F851">
        <v>558.52990005082097</v>
      </c>
      <c r="G851">
        <v>11806</v>
      </c>
      <c r="H851">
        <v>877</v>
      </c>
      <c r="I851">
        <v>6594004</v>
      </c>
      <c r="J851">
        <v>6047</v>
      </c>
      <c r="K851">
        <v>51.22</v>
      </c>
      <c r="L851">
        <v>30.4</v>
      </c>
      <c r="M851">
        <v>-19.899999999999999</v>
      </c>
    </row>
    <row r="852" spans="1:13" x14ac:dyDescent="0.3">
      <c r="A852" s="1">
        <v>45450</v>
      </c>
      <c r="B852">
        <v>588.95000000000005</v>
      </c>
      <c r="C852">
        <v>588.95000000000005</v>
      </c>
      <c r="D852">
        <v>568.70000000000005</v>
      </c>
      <c r="E852">
        <v>575.95000000000005</v>
      </c>
      <c r="F852">
        <v>579.15611460517096</v>
      </c>
      <c r="G852">
        <v>7155</v>
      </c>
      <c r="H852">
        <v>460</v>
      </c>
      <c r="I852">
        <v>4143862</v>
      </c>
      <c r="J852">
        <v>3385</v>
      </c>
      <c r="K852">
        <v>47.31</v>
      </c>
      <c r="L852">
        <v>20.25</v>
      </c>
      <c r="M852">
        <v>-13</v>
      </c>
    </row>
    <row r="853" spans="1:13" x14ac:dyDescent="0.3">
      <c r="A853" s="1">
        <v>45453</v>
      </c>
      <c r="B853">
        <v>588.9</v>
      </c>
      <c r="C853">
        <v>596.15</v>
      </c>
      <c r="D853">
        <v>550</v>
      </c>
      <c r="E853">
        <v>567.70000000000005</v>
      </c>
      <c r="F853">
        <v>575.188117975154</v>
      </c>
      <c r="G853">
        <v>11833</v>
      </c>
      <c r="H853">
        <v>1059</v>
      </c>
      <c r="I853">
        <v>6806201</v>
      </c>
      <c r="J853">
        <v>6250</v>
      </c>
      <c r="K853">
        <v>52.82</v>
      </c>
      <c r="L853">
        <v>46.15</v>
      </c>
      <c r="M853">
        <v>-21.2</v>
      </c>
    </row>
    <row r="854" spans="1:13" x14ac:dyDescent="0.3">
      <c r="A854" s="1">
        <v>45454</v>
      </c>
      <c r="B854">
        <v>565</v>
      </c>
      <c r="C854">
        <v>629</v>
      </c>
      <c r="D854">
        <v>559.70000000000005</v>
      </c>
      <c r="E854">
        <v>602.79999999999995</v>
      </c>
      <c r="F854">
        <v>594.70249057265596</v>
      </c>
      <c r="G854">
        <v>22806</v>
      </c>
      <c r="H854">
        <v>1927</v>
      </c>
      <c r="I854">
        <v>13562785</v>
      </c>
      <c r="J854">
        <v>8656</v>
      </c>
      <c r="K854">
        <v>37.950000000000003</v>
      </c>
      <c r="L854">
        <v>69.3</v>
      </c>
      <c r="M854">
        <v>37.799999999999997</v>
      </c>
    </row>
    <row r="855" spans="1:13" x14ac:dyDescent="0.3">
      <c r="A855" s="1">
        <v>45455</v>
      </c>
      <c r="B855">
        <v>614</v>
      </c>
      <c r="C855">
        <v>679.85</v>
      </c>
      <c r="D855">
        <v>614</v>
      </c>
      <c r="E855">
        <v>644.35</v>
      </c>
      <c r="F855">
        <v>647.94523420930204</v>
      </c>
      <c r="G855">
        <v>126831</v>
      </c>
      <c r="H855">
        <v>6998</v>
      </c>
      <c r="I855">
        <v>82179542</v>
      </c>
      <c r="J855">
        <v>59293</v>
      </c>
      <c r="K855">
        <v>46.75</v>
      </c>
      <c r="L855">
        <v>65.849999999999994</v>
      </c>
      <c r="M855">
        <v>30.35</v>
      </c>
    </row>
    <row r="856" spans="1:13" x14ac:dyDescent="0.3">
      <c r="A856" s="1">
        <v>45456</v>
      </c>
      <c r="B856">
        <v>651.35</v>
      </c>
      <c r="C856">
        <v>651.35</v>
      </c>
      <c r="D856">
        <v>619.5</v>
      </c>
      <c r="E856">
        <v>623.04999999999995</v>
      </c>
      <c r="F856">
        <v>629.72953300829499</v>
      </c>
      <c r="G856">
        <v>43277</v>
      </c>
      <c r="H856">
        <v>3128</v>
      </c>
      <c r="I856">
        <v>27252805</v>
      </c>
      <c r="J856">
        <v>28206</v>
      </c>
      <c r="K856">
        <v>65.180000000000007</v>
      </c>
      <c r="L856">
        <v>31.85</v>
      </c>
      <c r="M856">
        <v>-28.3</v>
      </c>
    </row>
    <row r="857" spans="1:13" x14ac:dyDescent="0.3">
      <c r="A857" s="1">
        <v>45457</v>
      </c>
      <c r="B857">
        <v>615.20000000000005</v>
      </c>
      <c r="C857">
        <v>633</v>
      </c>
      <c r="D857">
        <v>607.25</v>
      </c>
      <c r="E857">
        <v>610.20000000000005</v>
      </c>
      <c r="F857">
        <v>616.99992566713695</v>
      </c>
      <c r="G857">
        <v>13453</v>
      </c>
      <c r="H857">
        <v>1327</v>
      </c>
      <c r="I857">
        <v>8300500</v>
      </c>
      <c r="J857">
        <v>6055</v>
      </c>
      <c r="K857">
        <v>45.01</v>
      </c>
      <c r="L857">
        <v>25.75</v>
      </c>
      <c r="M857">
        <v>-5</v>
      </c>
    </row>
    <row r="858" spans="1:13" x14ac:dyDescent="0.3">
      <c r="A858" s="1">
        <v>45461</v>
      </c>
      <c r="B858">
        <v>611.29999999999995</v>
      </c>
      <c r="C858">
        <v>620.35</v>
      </c>
      <c r="D858">
        <v>582</v>
      </c>
      <c r="E858">
        <v>589</v>
      </c>
      <c r="F858">
        <v>593.68542722503696</v>
      </c>
      <c r="G858">
        <v>44988</v>
      </c>
      <c r="H858">
        <v>2024</v>
      </c>
      <c r="I858">
        <v>26708720</v>
      </c>
      <c r="J858">
        <v>27345</v>
      </c>
      <c r="K858">
        <v>60.78</v>
      </c>
      <c r="L858">
        <v>38.35</v>
      </c>
      <c r="M858">
        <v>-22.3</v>
      </c>
    </row>
    <row r="859" spans="1:13" x14ac:dyDescent="0.3">
      <c r="A859" s="1">
        <v>45462</v>
      </c>
      <c r="B859">
        <v>590</v>
      </c>
      <c r="C859">
        <v>604</v>
      </c>
      <c r="D859">
        <v>572</v>
      </c>
      <c r="E859">
        <v>602</v>
      </c>
      <c r="F859">
        <v>592.27321904127803</v>
      </c>
      <c r="G859">
        <v>36048</v>
      </c>
      <c r="H859">
        <v>2738</v>
      </c>
      <c r="I859">
        <v>21350265</v>
      </c>
      <c r="J859">
        <v>20007</v>
      </c>
      <c r="K859">
        <v>55.5</v>
      </c>
      <c r="L859">
        <v>32</v>
      </c>
      <c r="M859">
        <v>12</v>
      </c>
    </row>
    <row r="860" spans="1:13" x14ac:dyDescent="0.3">
      <c r="A860" s="1">
        <v>45463</v>
      </c>
      <c r="B860">
        <v>603</v>
      </c>
      <c r="C860">
        <v>607.9</v>
      </c>
      <c r="D860">
        <v>590.9</v>
      </c>
      <c r="E860">
        <v>592.5</v>
      </c>
      <c r="F860">
        <v>595.69592628516</v>
      </c>
      <c r="G860">
        <v>10310</v>
      </c>
      <c r="H860">
        <v>868</v>
      </c>
      <c r="I860">
        <v>6141625</v>
      </c>
      <c r="J860">
        <v>3752</v>
      </c>
      <c r="K860">
        <v>36.39</v>
      </c>
      <c r="L860">
        <v>17</v>
      </c>
      <c r="M860">
        <v>-10.5</v>
      </c>
    </row>
    <row r="861" spans="1:13" x14ac:dyDescent="0.3">
      <c r="A861" s="1">
        <v>45464</v>
      </c>
      <c r="B861">
        <v>595</v>
      </c>
      <c r="C861">
        <v>630</v>
      </c>
      <c r="D861">
        <v>582</v>
      </c>
      <c r="E861">
        <v>609.6</v>
      </c>
      <c r="F861">
        <v>607.78363792468997</v>
      </c>
      <c r="G861">
        <v>48918</v>
      </c>
      <c r="H861">
        <v>3402</v>
      </c>
      <c r="I861">
        <v>29731560</v>
      </c>
      <c r="J861">
        <v>20017</v>
      </c>
      <c r="K861">
        <v>40.92</v>
      </c>
      <c r="L861">
        <v>48</v>
      </c>
      <c r="M861">
        <v>14.6</v>
      </c>
    </row>
    <row r="862" spans="1:13" x14ac:dyDescent="0.3">
      <c r="A862" s="1">
        <v>45467</v>
      </c>
      <c r="B862">
        <v>609.6</v>
      </c>
      <c r="C862">
        <v>625.5</v>
      </c>
      <c r="D862">
        <v>606.15</v>
      </c>
      <c r="E862">
        <v>619.54999999999995</v>
      </c>
      <c r="F862">
        <v>612.72493129171505</v>
      </c>
      <c r="G862">
        <v>12735</v>
      </c>
      <c r="H862">
        <v>942</v>
      </c>
      <c r="I862">
        <v>7803052</v>
      </c>
      <c r="J862">
        <v>5257</v>
      </c>
      <c r="K862">
        <v>41.28</v>
      </c>
      <c r="L862">
        <v>19.350000000000001</v>
      </c>
      <c r="M862">
        <v>9.9499999999999993</v>
      </c>
    </row>
    <row r="863" spans="1:13" x14ac:dyDescent="0.3">
      <c r="A863" s="1">
        <v>45468</v>
      </c>
      <c r="B863">
        <v>638.95000000000005</v>
      </c>
      <c r="C863">
        <v>651.75</v>
      </c>
      <c r="D863">
        <v>591.4</v>
      </c>
      <c r="E863">
        <v>596.1</v>
      </c>
      <c r="F863">
        <v>625.70570982544098</v>
      </c>
      <c r="G863">
        <v>21139</v>
      </c>
      <c r="H863">
        <v>1340</v>
      </c>
      <c r="I863">
        <v>13226793</v>
      </c>
      <c r="J863">
        <v>5263</v>
      </c>
      <c r="K863">
        <v>24.9</v>
      </c>
      <c r="L863">
        <v>60.35</v>
      </c>
      <c r="M863">
        <v>-42.85</v>
      </c>
    </row>
    <row r="864" spans="1:13" x14ac:dyDescent="0.3">
      <c r="A864" s="1">
        <v>45469</v>
      </c>
      <c r="B864">
        <v>612</v>
      </c>
      <c r="C864">
        <v>612</v>
      </c>
      <c r="D864">
        <v>591.79999999999995</v>
      </c>
      <c r="E864">
        <v>594.54999999999995</v>
      </c>
      <c r="F864">
        <v>597.879097884212</v>
      </c>
      <c r="G864">
        <v>17204</v>
      </c>
      <c r="H864">
        <v>1084</v>
      </c>
      <c r="I864">
        <v>10285912</v>
      </c>
      <c r="J864">
        <v>11655</v>
      </c>
      <c r="K864">
        <v>67.75</v>
      </c>
      <c r="L864">
        <v>20.2</v>
      </c>
      <c r="M864">
        <v>-17.45</v>
      </c>
    </row>
    <row r="865" spans="1:13" x14ac:dyDescent="0.3">
      <c r="A865" s="1">
        <v>45470</v>
      </c>
      <c r="B865">
        <v>588</v>
      </c>
      <c r="C865">
        <v>599.15</v>
      </c>
      <c r="D865">
        <v>576.9</v>
      </c>
      <c r="E865">
        <v>583.45000000000005</v>
      </c>
      <c r="F865">
        <v>584.49634823254405</v>
      </c>
      <c r="G865">
        <v>6846</v>
      </c>
      <c r="H865">
        <v>525</v>
      </c>
      <c r="I865">
        <v>4001462</v>
      </c>
      <c r="J865">
        <v>4289</v>
      </c>
      <c r="K865">
        <v>62.65</v>
      </c>
      <c r="L865">
        <v>22.25</v>
      </c>
      <c r="M865">
        <v>-4.55</v>
      </c>
    </row>
    <row r="866" spans="1:13" x14ac:dyDescent="0.3">
      <c r="A866" s="1">
        <v>45471</v>
      </c>
      <c r="B866">
        <v>576.9</v>
      </c>
      <c r="C866">
        <v>591.54999999999995</v>
      </c>
      <c r="D866">
        <v>576</v>
      </c>
      <c r="E866">
        <v>578.04999999999995</v>
      </c>
      <c r="F866">
        <v>580.74996681268999</v>
      </c>
      <c r="G866">
        <v>15066</v>
      </c>
      <c r="H866">
        <v>1303</v>
      </c>
      <c r="I866">
        <v>8749579</v>
      </c>
      <c r="J866">
        <v>7823</v>
      </c>
      <c r="K866">
        <v>51.92</v>
      </c>
      <c r="L866">
        <v>15.55</v>
      </c>
      <c r="M866">
        <v>1.1499999999999999</v>
      </c>
    </row>
    <row r="867" spans="1:13" x14ac:dyDescent="0.3">
      <c r="A867" s="1">
        <v>45474</v>
      </c>
      <c r="B867">
        <v>582.9</v>
      </c>
      <c r="C867">
        <v>593.6</v>
      </c>
      <c r="D867">
        <v>577.35</v>
      </c>
      <c r="E867">
        <v>587.85</v>
      </c>
      <c r="F867">
        <v>585.53626511046195</v>
      </c>
      <c r="G867">
        <v>4798</v>
      </c>
      <c r="H867">
        <v>690</v>
      </c>
      <c r="I867">
        <v>2809403</v>
      </c>
      <c r="J867">
        <v>1945</v>
      </c>
      <c r="K867">
        <v>40.54</v>
      </c>
      <c r="L867">
        <v>16.25</v>
      </c>
      <c r="M867">
        <v>4.95</v>
      </c>
    </row>
    <row r="868" spans="1:13" x14ac:dyDescent="0.3">
      <c r="A868" s="1">
        <v>45475</v>
      </c>
      <c r="B868">
        <v>588.6</v>
      </c>
      <c r="C868">
        <v>592.95000000000005</v>
      </c>
      <c r="D868">
        <v>576</v>
      </c>
      <c r="E868">
        <v>581.04999999999995</v>
      </c>
      <c r="F868">
        <v>582.51949250288305</v>
      </c>
      <c r="G868">
        <v>4335</v>
      </c>
      <c r="H868">
        <v>560</v>
      </c>
      <c r="I868">
        <v>2525222</v>
      </c>
      <c r="J868">
        <v>1935</v>
      </c>
      <c r="K868">
        <v>44.64</v>
      </c>
      <c r="L868">
        <v>16.95</v>
      </c>
      <c r="M868">
        <v>-7.55</v>
      </c>
    </row>
    <row r="869" spans="1:13" x14ac:dyDescent="0.3">
      <c r="A869" s="1">
        <v>45476</v>
      </c>
      <c r="B869">
        <v>580.4</v>
      </c>
      <c r="C869">
        <v>603.15</v>
      </c>
      <c r="D869">
        <v>580.4</v>
      </c>
      <c r="E869">
        <v>590.4</v>
      </c>
      <c r="F869">
        <v>594.10479431488295</v>
      </c>
      <c r="G869">
        <v>9991</v>
      </c>
      <c r="H869">
        <v>864</v>
      </c>
      <c r="I869">
        <v>5935701</v>
      </c>
      <c r="J869">
        <v>5724</v>
      </c>
      <c r="K869">
        <v>57.29</v>
      </c>
      <c r="L869">
        <v>22.75</v>
      </c>
      <c r="M869">
        <v>10</v>
      </c>
    </row>
    <row r="870" spans="1:13" x14ac:dyDescent="0.3">
      <c r="A870" s="1">
        <v>45477</v>
      </c>
      <c r="B870">
        <v>598.6</v>
      </c>
      <c r="C870">
        <v>598.9</v>
      </c>
      <c r="D870">
        <v>586.95000000000005</v>
      </c>
      <c r="E870">
        <v>588.4</v>
      </c>
      <c r="F870">
        <v>592.92112182296205</v>
      </c>
      <c r="G870">
        <v>4564</v>
      </c>
      <c r="H870">
        <v>280</v>
      </c>
      <c r="I870">
        <v>2706092</v>
      </c>
      <c r="J870">
        <v>3343</v>
      </c>
      <c r="K870">
        <v>73.25</v>
      </c>
      <c r="L870">
        <v>11.95</v>
      </c>
      <c r="M870">
        <v>-10.199999999999999</v>
      </c>
    </row>
    <row r="871" spans="1:13" x14ac:dyDescent="0.3">
      <c r="A871" s="1">
        <v>45478</v>
      </c>
      <c r="B871">
        <v>595.54999999999995</v>
      </c>
      <c r="C871">
        <v>622.04999999999995</v>
      </c>
      <c r="D871">
        <v>591.35</v>
      </c>
      <c r="E871">
        <v>606.15</v>
      </c>
      <c r="F871">
        <v>604.97217363650805</v>
      </c>
      <c r="G871">
        <v>6289</v>
      </c>
      <c r="H871">
        <v>633</v>
      </c>
      <c r="I871">
        <v>3804670</v>
      </c>
      <c r="J871">
        <v>3191</v>
      </c>
      <c r="K871">
        <v>50.74</v>
      </c>
      <c r="L871">
        <v>30.7</v>
      </c>
      <c r="M871">
        <v>10.6</v>
      </c>
    </row>
    <row r="872" spans="1:13" x14ac:dyDescent="0.3">
      <c r="A872" s="1">
        <v>45481</v>
      </c>
      <c r="B872">
        <v>618</v>
      </c>
      <c r="C872">
        <v>618</v>
      </c>
      <c r="D872">
        <v>582</v>
      </c>
      <c r="E872">
        <v>588.20000000000005</v>
      </c>
      <c r="F872">
        <v>592.20285935084996</v>
      </c>
      <c r="G872">
        <v>20704</v>
      </c>
      <c r="H872">
        <v>1488</v>
      </c>
      <c r="I872">
        <v>12260968</v>
      </c>
      <c r="J872">
        <v>13029</v>
      </c>
      <c r="K872">
        <v>62.93</v>
      </c>
      <c r="L872">
        <v>36</v>
      </c>
      <c r="M872">
        <v>-29.8</v>
      </c>
    </row>
    <row r="873" spans="1:13" x14ac:dyDescent="0.3">
      <c r="A873" s="1">
        <v>45482</v>
      </c>
      <c r="B873">
        <v>590</v>
      </c>
      <c r="C873">
        <v>598.9</v>
      </c>
      <c r="D873">
        <v>585.04999999999995</v>
      </c>
      <c r="E873">
        <v>587</v>
      </c>
      <c r="F873">
        <v>589.92690909090902</v>
      </c>
      <c r="G873">
        <v>2750</v>
      </c>
      <c r="H873">
        <v>377</v>
      </c>
      <c r="I873">
        <v>1622299</v>
      </c>
      <c r="J873">
        <v>1217</v>
      </c>
      <c r="K873">
        <v>44.25</v>
      </c>
      <c r="L873">
        <v>13.85</v>
      </c>
      <c r="M873">
        <v>-3</v>
      </c>
    </row>
    <row r="874" spans="1:13" x14ac:dyDescent="0.3">
      <c r="A874" s="1">
        <v>45483</v>
      </c>
      <c r="B874">
        <v>577.6</v>
      </c>
      <c r="C874">
        <v>591.25</v>
      </c>
      <c r="D874">
        <v>563</v>
      </c>
      <c r="E874">
        <v>580.54999999999995</v>
      </c>
      <c r="F874">
        <v>576.37082587954603</v>
      </c>
      <c r="G874">
        <v>13416</v>
      </c>
      <c r="H874">
        <v>1180</v>
      </c>
      <c r="I874">
        <v>7732591</v>
      </c>
      <c r="J874">
        <v>7714</v>
      </c>
      <c r="K874">
        <v>57.5</v>
      </c>
      <c r="L874">
        <v>28.25</v>
      </c>
      <c r="M874">
        <v>2.95</v>
      </c>
    </row>
    <row r="875" spans="1:13" x14ac:dyDescent="0.3">
      <c r="A875" s="1">
        <v>45484</v>
      </c>
      <c r="B875">
        <v>582.6</v>
      </c>
      <c r="C875">
        <v>604.1</v>
      </c>
      <c r="D875">
        <v>580</v>
      </c>
      <c r="E875">
        <v>586.25</v>
      </c>
      <c r="F875">
        <v>591.24435580374904</v>
      </c>
      <c r="G875">
        <v>12535</v>
      </c>
      <c r="H875">
        <v>913</v>
      </c>
      <c r="I875">
        <v>7411248</v>
      </c>
      <c r="J875">
        <v>6954</v>
      </c>
      <c r="K875">
        <v>55.48</v>
      </c>
      <c r="L875">
        <v>24.1</v>
      </c>
      <c r="M875">
        <v>3.65</v>
      </c>
    </row>
    <row r="876" spans="1:13" x14ac:dyDescent="0.3">
      <c r="A876" s="1">
        <v>45485</v>
      </c>
      <c r="B876">
        <v>585.9</v>
      </c>
      <c r="C876">
        <v>590.95000000000005</v>
      </c>
      <c r="D876">
        <v>575.15</v>
      </c>
      <c r="E876">
        <v>577.20000000000005</v>
      </c>
      <c r="F876">
        <v>582.94240877580501</v>
      </c>
      <c r="G876">
        <v>13127</v>
      </c>
      <c r="H876">
        <v>1152</v>
      </c>
      <c r="I876">
        <v>7652285</v>
      </c>
      <c r="J876">
        <v>6641</v>
      </c>
      <c r="K876">
        <v>50.59</v>
      </c>
      <c r="L876">
        <v>15.8</v>
      </c>
      <c r="M876">
        <v>-8.6999999999999993</v>
      </c>
    </row>
    <row r="877" spans="1:13" x14ac:dyDescent="0.3">
      <c r="A877" s="1">
        <v>45488</v>
      </c>
      <c r="B877">
        <v>580</v>
      </c>
      <c r="C877">
        <v>599</v>
      </c>
      <c r="D877">
        <v>573.29999999999995</v>
      </c>
      <c r="E877">
        <v>597.70000000000005</v>
      </c>
      <c r="F877">
        <v>593.06928536294004</v>
      </c>
      <c r="G877">
        <v>14231</v>
      </c>
      <c r="H877">
        <v>1229</v>
      </c>
      <c r="I877">
        <v>8439969</v>
      </c>
      <c r="J877">
        <v>7817</v>
      </c>
      <c r="K877">
        <v>54.93</v>
      </c>
      <c r="L877">
        <v>25.7</v>
      </c>
      <c r="M877">
        <v>17.7</v>
      </c>
    </row>
    <row r="878" spans="1:13" x14ac:dyDescent="0.3">
      <c r="A878" s="1">
        <v>45489</v>
      </c>
      <c r="B878">
        <v>614.85</v>
      </c>
      <c r="C878">
        <v>614.85</v>
      </c>
      <c r="D878">
        <v>591.70000000000005</v>
      </c>
      <c r="E878">
        <v>605.85</v>
      </c>
      <c r="F878">
        <v>599.81148564294597</v>
      </c>
      <c r="G878">
        <v>4806</v>
      </c>
      <c r="H878">
        <v>422</v>
      </c>
      <c r="I878">
        <v>2882694</v>
      </c>
      <c r="J878">
        <v>2466</v>
      </c>
      <c r="K878">
        <v>51.31</v>
      </c>
      <c r="L878">
        <v>23.15</v>
      </c>
      <c r="M878">
        <v>-9</v>
      </c>
    </row>
    <row r="879" spans="1:13" x14ac:dyDescent="0.3">
      <c r="A879" s="1">
        <v>45491</v>
      </c>
      <c r="B879">
        <v>617</v>
      </c>
      <c r="C879">
        <v>619.95000000000005</v>
      </c>
      <c r="D879">
        <v>580.1</v>
      </c>
      <c r="E879">
        <v>589.45000000000005</v>
      </c>
      <c r="F879">
        <v>600.36907898424704</v>
      </c>
      <c r="G879">
        <v>17839</v>
      </c>
      <c r="H879">
        <v>1214</v>
      </c>
      <c r="I879">
        <v>10709984</v>
      </c>
      <c r="J879">
        <v>11022</v>
      </c>
      <c r="K879">
        <v>61.79</v>
      </c>
      <c r="L879">
        <v>39.85</v>
      </c>
      <c r="M879">
        <v>-27.55</v>
      </c>
    </row>
    <row r="880" spans="1:13" x14ac:dyDescent="0.3">
      <c r="A880" s="1">
        <v>45492</v>
      </c>
      <c r="B880">
        <v>561</v>
      </c>
      <c r="C880">
        <v>585.15</v>
      </c>
      <c r="D880">
        <v>561</v>
      </c>
      <c r="E880">
        <v>572.04999999999995</v>
      </c>
      <c r="F880">
        <v>571.83450429352001</v>
      </c>
      <c r="G880">
        <v>7686</v>
      </c>
      <c r="H880">
        <v>784</v>
      </c>
      <c r="I880">
        <v>4395120</v>
      </c>
      <c r="J880">
        <v>3934</v>
      </c>
      <c r="K880">
        <v>51.18</v>
      </c>
      <c r="L880">
        <v>24.15</v>
      </c>
      <c r="M880">
        <v>11.05</v>
      </c>
    </row>
    <row r="881" spans="1:13" x14ac:dyDescent="0.3">
      <c r="A881" s="1">
        <v>45495</v>
      </c>
      <c r="B881">
        <v>560</v>
      </c>
      <c r="C881">
        <v>580.79999999999995</v>
      </c>
      <c r="D881">
        <v>546.20000000000005</v>
      </c>
      <c r="E881">
        <v>571.29999999999995</v>
      </c>
      <c r="F881">
        <v>570.82880167322799</v>
      </c>
      <c r="G881">
        <v>16256</v>
      </c>
      <c r="H881">
        <v>1697</v>
      </c>
      <c r="I881">
        <v>9279393</v>
      </c>
      <c r="J881">
        <v>8415</v>
      </c>
      <c r="K881">
        <v>51.77</v>
      </c>
      <c r="L881">
        <v>34.6</v>
      </c>
      <c r="M881">
        <v>11.3</v>
      </c>
    </row>
    <row r="882" spans="1:13" x14ac:dyDescent="0.3">
      <c r="A882" s="1">
        <v>45496</v>
      </c>
      <c r="B882">
        <v>571.29999999999995</v>
      </c>
      <c r="C882">
        <v>576.20000000000005</v>
      </c>
      <c r="D882">
        <v>542.6</v>
      </c>
      <c r="E882">
        <v>568.5</v>
      </c>
      <c r="F882">
        <v>562.617068811438</v>
      </c>
      <c r="G882">
        <v>4476</v>
      </c>
      <c r="H882">
        <v>515</v>
      </c>
      <c r="I882">
        <v>2518274</v>
      </c>
      <c r="J882">
        <v>1856</v>
      </c>
      <c r="K882">
        <v>41.47</v>
      </c>
      <c r="L882">
        <v>33.6</v>
      </c>
      <c r="M882">
        <v>-2.8</v>
      </c>
    </row>
    <row r="883" spans="1:13" x14ac:dyDescent="0.3">
      <c r="A883" s="1">
        <v>45497</v>
      </c>
      <c r="B883">
        <v>568.5</v>
      </c>
      <c r="C883">
        <v>595</v>
      </c>
      <c r="D883">
        <v>564.85</v>
      </c>
      <c r="E883">
        <v>591.70000000000005</v>
      </c>
      <c r="F883">
        <v>586.72805548911697</v>
      </c>
      <c r="G883">
        <v>8362</v>
      </c>
      <c r="H883">
        <v>716</v>
      </c>
      <c r="I883">
        <v>4906220</v>
      </c>
      <c r="J883">
        <v>5531</v>
      </c>
      <c r="K883">
        <v>66.14</v>
      </c>
      <c r="L883">
        <v>30.15</v>
      </c>
      <c r="M883">
        <v>23.2</v>
      </c>
    </row>
    <row r="884" spans="1:13" x14ac:dyDescent="0.3">
      <c r="A884" s="1">
        <v>45498</v>
      </c>
      <c r="B884">
        <v>603.45000000000005</v>
      </c>
      <c r="C884">
        <v>603.45000000000005</v>
      </c>
      <c r="D884">
        <v>574.70000000000005</v>
      </c>
      <c r="E884">
        <v>578.6</v>
      </c>
      <c r="F884">
        <v>583.51096345514895</v>
      </c>
      <c r="G884">
        <v>1505</v>
      </c>
      <c r="H884">
        <v>237</v>
      </c>
      <c r="I884">
        <v>878184</v>
      </c>
      <c r="J884">
        <v>752</v>
      </c>
      <c r="K884">
        <v>49.97</v>
      </c>
      <c r="L884">
        <v>28.75</v>
      </c>
      <c r="M884">
        <v>-24.85</v>
      </c>
    </row>
    <row r="885" spans="1:13" x14ac:dyDescent="0.3">
      <c r="A885" s="1">
        <v>45499</v>
      </c>
      <c r="B885">
        <v>598.9</v>
      </c>
      <c r="C885">
        <v>604.6</v>
      </c>
      <c r="D885">
        <v>586.65</v>
      </c>
      <c r="E885">
        <v>594.9</v>
      </c>
      <c r="F885">
        <v>597.89011689691802</v>
      </c>
      <c r="G885">
        <v>4705</v>
      </c>
      <c r="H885">
        <v>426</v>
      </c>
      <c r="I885">
        <v>2813073</v>
      </c>
      <c r="J885">
        <v>2091</v>
      </c>
      <c r="K885">
        <v>44.44</v>
      </c>
      <c r="L885">
        <v>17.95</v>
      </c>
      <c r="M885">
        <v>-4</v>
      </c>
    </row>
    <row r="886" spans="1:13" x14ac:dyDescent="0.3">
      <c r="A886" s="1">
        <v>45502</v>
      </c>
      <c r="B886">
        <v>594.9</v>
      </c>
      <c r="C886">
        <v>603.15</v>
      </c>
      <c r="D886">
        <v>590</v>
      </c>
      <c r="E886">
        <v>592.25</v>
      </c>
      <c r="F886">
        <v>597.76207709139806</v>
      </c>
      <c r="G886">
        <v>11882</v>
      </c>
      <c r="H886">
        <v>691</v>
      </c>
      <c r="I886">
        <v>7102609</v>
      </c>
      <c r="J886">
        <v>6168</v>
      </c>
      <c r="K886">
        <v>51.91</v>
      </c>
      <c r="L886">
        <v>13.15</v>
      </c>
      <c r="M886">
        <v>-2.65</v>
      </c>
    </row>
    <row r="887" spans="1:13" x14ac:dyDescent="0.3">
      <c r="A887" s="1">
        <v>45503</v>
      </c>
      <c r="B887">
        <v>581.29999999999995</v>
      </c>
      <c r="C887">
        <v>602.6</v>
      </c>
      <c r="D887">
        <v>581.29999999999995</v>
      </c>
      <c r="E887">
        <v>595.29999999999995</v>
      </c>
      <c r="F887">
        <v>591.59818934797204</v>
      </c>
      <c r="G887">
        <v>10383</v>
      </c>
      <c r="H887">
        <v>886</v>
      </c>
      <c r="I887">
        <v>6142564</v>
      </c>
      <c r="J887">
        <v>6247</v>
      </c>
      <c r="K887">
        <v>60.17</v>
      </c>
      <c r="L887">
        <v>21.3</v>
      </c>
      <c r="M887">
        <v>14</v>
      </c>
    </row>
    <row r="888" spans="1:13" x14ac:dyDescent="0.3">
      <c r="A888" s="1">
        <v>45504</v>
      </c>
      <c r="B888">
        <v>604.6</v>
      </c>
      <c r="C888">
        <v>607</v>
      </c>
      <c r="D888">
        <v>547.5</v>
      </c>
      <c r="E888">
        <v>559.79999999999995</v>
      </c>
      <c r="F888">
        <v>573.43059748648398</v>
      </c>
      <c r="G888">
        <v>14243</v>
      </c>
      <c r="H888">
        <v>1297</v>
      </c>
      <c r="I888">
        <v>8167372</v>
      </c>
      <c r="J888">
        <v>6423</v>
      </c>
      <c r="K888">
        <v>45.1</v>
      </c>
      <c r="L888">
        <v>59.5</v>
      </c>
      <c r="M888">
        <v>-44.8</v>
      </c>
    </row>
    <row r="889" spans="1:13" x14ac:dyDescent="0.3">
      <c r="A889" s="1">
        <v>45505</v>
      </c>
      <c r="B889">
        <v>560</v>
      </c>
      <c r="C889">
        <v>568.04999999999995</v>
      </c>
      <c r="D889">
        <v>545.45000000000005</v>
      </c>
      <c r="E889">
        <v>553.04999999999995</v>
      </c>
      <c r="F889">
        <v>554.16097708997097</v>
      </c>
      <c r="G889">
        <v>6591</v>
      </c>
      <c r="H889">
        <v>577</v>
      </c>
      <c r="I889">
        <v>3652475</v>
      </c>
      <c r="J889">
        <v>3656</v>
      </c>
      <c r="K889">
        <v>55.47</v>
      </c>
      <c r="L889">
        <v>22.6</v>
      </c>
      <c r="M889">
        <v>-6.95</v>
      </c>
    </row>
    <row r="890" spans="1:13" x14ac:dyDescent="0.3">
      <c r="A890" s="1">
        <v>45506</v>
      </c>
      <c r="B890">
        <v>545</v>
      </c>
      <c r="C890">
        <v>569.1</v>
      </c>
      <c r="D890">
        <v>545</v>
      </c>
      <c r="E890">
        <v>557.9</v>
      </c>
      <c r="F890">
        <v>560.47413155949698</v>
      </c>
      <c r="G890">
        <v>5412</v>
      </c>
      <c r="H890">
        <v>353</v>
      </c>
      <c r="I890">
        <v>3033286</v>
      </c>
      <c r="J890">
        <v>3221</v>
      </c>
      <c r="K890">
        <v>59.52</v>
      </c>
      <c r="L890">
        <v>24.1</v>
      </c>
      <c r="M890">
        <v>12.9</v>
      </c>
    </row>
    <row r="891" spans="1:13" x14ac:dyDescent="0.3">
      <c r="A891" s="1">
        <v>45509</v>
      </c>
      <c r="B891">
        <v>546.70000000000005</v>
      </c>
      <c r="C891">
        <v>546.70000000000005</v>
      </c>
      <c r="D891">
        <v>525.15</v>
      </c>
      <c r="E891">
        <v>530.85</v>
      </c>
      <c r="F891">
        <v>532.64322880044995</v>
      </c>
      <c r="G891">
        <v>7111</v>
      </c>
      <c r="H891">
        <v>525</v>
      </c>
      <c r="I891">
        <v>3787626</v>
      </c>
      <c r="J891">
        <v>3927</v>
      </c>
      <c r="K891">
        <v>55.22</v>
      </c>
      <c r="L891">
        <v>21.55</v>
      </c>
      <c r="M891">
        <v>-15.85</v>
      </c>
    </row>
    <row r="892" spans="1:13" x14ac:dyDescent="0.3">
      <c r="A892" s="1">
        <v>45510</v>
      </c>
      <c r="B892">
        <v>538.15</v>
      </c>
      <c r="C892">
        <v>553.65</v>
      </c>
      <c r="D892">
        <v>519.45000000000005</v>
      </c>
      <c r="E892">
        <v>521.70000000000005</v>
      </c>
      <c r="F892">
        <v>539.61018237081998</v>
      </c>
      <c r="G892">
        <v>3948</v>
      </c>
      <c r="H892">
        <v>228</v>
      </c>
      <c r="I892">
        <v>2130381</v>
      </c>
      <c r="J892">
        <v>1774</v>
      </c>
      <c r="K892">
        <v>44.93</v>
      </c>
      <c r="L892">
        <v>34.200000000000003</v>
      </c>
      <c r="M892">
        <v>-16.45</v>
      </c>
    </row>
    <row r="893" spans="1:13" x14ac:dyDescent="0.3">
      <c r="A893" s="1">
        <v>45511</v>
      </c>
      <c r="B893">
        <v>538</v>
      </c>
      <c r="C893">
        <v>565</v>
      </c>
      <c r="D893">
        <v>537.95000000000005</v>
      </c>
      <c r="E893">
        <v>557.29999999999995</v>
      </c>
      <c r="F893">
        <v>552.76645291933801</v>
      </c>
      <c r="G893">
        <v>5926</v>
      </c>
      <c r="H893">
        <v>422</v>
      </c>
      <c r="I893">
        <v>3275694</v>
      </c>
      <c r="J893">
        <v>2967</v>
      </c>
      <c r="K893">
        <v>50.07</v>
      </c>
      <c r="L893">
        <v>27.05</v>
      </c>
      <c r="M893">
        <v>19.3</v>
      </c>
    </row>
    <row r="894" spans="1:13" x14ac:dyDescent="0.3">
      <c r="A894" s="1">
        <v>45512</v>
      </c>
      <c r="B894">
        <v>569</v>
      </c>
      <c r="C894">
        <v>569</v>
      </c>
      <c r="D894">
        <v>554.65</v>
      </c>
      <c r="E894">
        <v>555.79999999999995</v>
      </c>
      <c r="F894">
        <v>560.50206746463505</v>
      </c>
      <c r="G894">
        <v>4595</v>
      </c>
      <c r="H894">
        <v>413</v>
      </c>
      <c r="I894">
        <v>2575507</v>
      </c>
      <c r="J894">
        <v>2605</v>
      </c>
      <c r="K894">
        <v>56.69</v>
      </c>
      <c r="L894">
        <v>14.35</v>
      </c>
      <c r="M894">
        <v>-13.2</v>
      </c>
    </row>
    <row r="895" spans="1:13" x14ac:dyDescent="0.3">
      <c r="A895" s="1">
        <v>45513</v>
      </c>
      <c r="B895">
        <v>580.5</v>
      </c>
      <c r="C895">
        <v>580.5</v>
      </c>
      <c r="D895">
        <v>550.35</v>
      </c>
      <c r="E895">
        <v>553.9</v>
      </c>
      <c r="F895">
        <v>557.73452380952301</v>
      </c>
      <c r="G895">
        <v>1680</v>
      </c>
      <c r="H895">
        <v>145</v>
      </c>
      <c r="I895">
        <v>936994</v>
      </c>
      <c r="J895">
        <v>995</v>
      </c>
      <c r="K895">
        <v>59.23</v>
      </c>
      <c r="L895">
        <v>30.15</v>
      </c>
      <c r="M895">
        <v>-26.6</v>
      </c>
    </row>
    <row r="896" spans="1:13" x14ac:dyDescent="0.3">
      <c r="A896" s="1">
        <v>45516</v>
      </c>
      <c r="B896">
        <v>518</v>
      </c>
      <c r="C896">
        <v>549.04999999999995</v>
      </c>
      <c r="D896">
        <v>518</v>
      </c>
      <c r="E896">
        <v>541.85</v>
      </c>
      <c r="F896">
        <v>542.39636738374304</v>
      </c>
      <c r="G896">
        <v>7763</v>
      </c>
      <c r="H896">
        <v>511</v>
      </c>
      <c r="I896">
        <v>4210623</v>
      </c>
      <c r="J896">
        <v>5995</v>
      </c>
      <c r="K896">
        <v>77.23</v>
      </c>
      <c r="L896">
        <v>31.05</v>
      </c>
      <c r="M896">
        <v>23.85</v>
      </c>
    </row>
    <row r="897" spans="1:13" x14ac:dyDescent="0.3">
      <c r="A897" s="1">
        <v>45517</v>
      </c>
      <c r="B897">
        <v>525</v>
      </c>
      <c r="C897">
        <v>541.95000000000005</v>
      </c>
      <c r="D897">
        <v>524</v>
      </c>
      <c r="E897">
        <v>528.25</v>
      </c>
      <c r="F897">
        <v>533.846050870147</v>
      </c>
      <c r="G897">
        <v>2988</v>
      </c>
      <c r="H897">
        <v>360</v>
      </c>
      <c r="I897">
        <v>1595132</v>
      </c>
      <c r="J897">
        <v>2248</v>
      </c>
      <c r="K897">
        <v>75.23</v>
      </c>
      <c r="L897">
        <v>17.95</v>
      </c>
      <c r="M897">
        <v>3.25</v>
      </c>
    </row>
    <row r="898" spans="1:13" x14ac:dyDescent="0.3">
      <c r="A898" s="1">
        <v>45518</v>
      </c>
      <c r="B898">
        <v>534.35</v>
      </c>
      <c r="C898">
        <v>535.5</v>
      </c>
      <c r="D898">
        <v>520</v>
      </c>
      <c r="E898">
        <v>521.70000000000005</v>
      </c>
      <c r="F898">
        <v>524.60548086866504</v>
      </c>
      <c r="G898">
        <v>1934</v>
      </c>
      <c r="H898">
        <v>189</v>
      </c>
      <c r="I898">
        <v>1014587</v>
      </c>
      <c r="J898">
        <v>748</v>
      </c>
      <c r="K898">
        <v>38.68</v>
      </c>
      <c r="L898">
        <v>15.5</v>
      </c>
      <c r="M898">
        <v>-12.65</v>
      </c>
    </row>
    <row r="899" spans="1:13" x14ac:dyDescent="0.3">
      <c r="A899" s="1">
        <v>45520</v>
      </c>
      <c r="B899">
        <v>532.15</v>
      </c>
      <c r="C899">
        <v>537.29999999999995</v>
      </c>
      <c r="D899">
        <v>527.20000000000005</v>
      </c>
      <c r="E899">
        <v>531.5</v>
      </c>
      <c r="F899">
        <v>530.83882482152603</v>
      </c>
      <c r="G899">
        <v>3642</v>
      </c>
      <c r="H899">
        <v>221</v>
      </c>
      <c r="I899">
        <v>1933315</v>
      </c>
      <c r="J899">
        <v>2846</v>
      </c>
      <c r="K899">
        <v>78.14</v>
      </c>
      <c r="L899">
        <v>10.1</v>
      </c>
      <c r="M899">
        <v>-0.65</v>
      </c>
    </row>
    <row r="900" spans="1:13" x14ac:dyDescent="0.3">
      <c r="A900" s="1">
        <v>45523</v>
      </c>
      <c r="B900">
        <v>549.70000000000005</v>
      </c>
      <c r="C900">
        <v>549.70000000000005</v>
      </c>
      <c r="D900">
        <v>531</v>
      </c>
      <c r="E900">
        <v>534.29999999999995</v>
      </c>
      <c r="F900">
        <v>533.70293867120904</v>
      </c>
      <c r="G900">
        <v>4696</v>
      </c>
      <c r="H900">
        <v>432</v>
      </c>
      <c r="I900">
        <v>2506269</v>
      </c>
      <c r="J900">
        <v>2721</v>
      </c>
      <c r="K900">
        <v>57.94</v>
      </c>
      <c r="L900">
        <v>18.7</v>
      </c>
      <c r="M900">
        <v>-15.4</v>
      </c>
    </row>
    <row r="901" spans="1:13" x14ac:dyDescent="0.3">
      <c r="A901" s="1">
        <v>45524</v>
      </c>
      <c r="B901">
        <v>534.29999999999995</v>
      </c>
      <c r="C901">
        <v>546.6</v>
      </c>
      <c r="D901">
        <v>534.29999999999995</v>
      </c>
      <c r="E901">
        <v>544.5</v>
      </c>
      <c r="F901">
        <v>540.85660643041501</v>
      </c>
      <c r="G901">
        <v>8522</v>
      </c>
      <c r="H901">
        <v>666</v>
      </c>
      <c r="I901">
        <v>4609180</v>
      </c>
      <c r="J901">
        <v>5616</v>
      </c>
      <c r="K901">
        <v>65.900000000000006</v>
      </c>
      <c r="L901">
        <v>12.3</v>
      </c>
      <c r="M901">
        <v>10.199999999999999</v>
      </c>
    </row>
    <row r="902" spans="1:13" x14ac:dyDescent="0.3">
      <c r="A902" s="1">
        <v>45525</v>
      </c>
      <c r="B902">
        <v>560</v>
      </c>
      <c r="C902">
        <v>569</v>
      </c>
      <c r="D902">
        <v>542.95000000000005</v>
      </c>
      <c r="E902">
        <v>550.4</v>
      </c>
      <c r="F902">
        <v>548.86963850908398</v>
      </c>
      <c r="G902">
        <v>5339</v>
      </c>
      <c r="H902">
        <v>590</v>
      </c>
      <c r="I902">
        <v>2930415</v>
      </c>
      <c r="J902">
        <v>3132</v>
      </c>
      <c r="K902">
        <v>58.66</v>
      </c>
      <c r="L902">
        <v>26.05</v>
      </c>
      <c r="M902">
        <v>-9.6</v>
      </c>
    </row>
    <row r="903" spans="1:13" x14ac:dyDescent="0.3">
      <c r="A903" s="1">
        <v>45526</v>
      </c>
      <c r="B903">
        <v>564.15</v>
      </c>
      <c r="C903">
        <v>564.15</v>
      </c>
      <c r="D903">
        <v>548.20000000000005</v>
      </c>
      <c r="E903">
        <v>550.6</v>
      </c>
      <c r="F903">
        <v>551.29109274563803</v>
      </c>
      <c r="G903">
        <v>2178</v>
      </c>
      <c r="H903">
        <v>143</v>
      </c>
      <c r="I903">
        <v>1200712</v>
      </c>
      <c r="J903">
        <v>1414</v>
      </c>
      <c r="K903">
        <v>64.92</v>
      </c>
      <c r="L903">
        <v>15.95</v>
      </c>
      <c r="M903">
        <v>-13.55</v>
      </c>
    </row>
    <row r="904" spans="1:13" x14ac:dyDescent="0.3">
      <c r="A904" s="1">
        <v>45527</v>
      </c>
      <c r="B904">
        <v>547.15</v>
      </c>
      <c r="C904">
        <v>577.45000000000005</v>
      </c>
      <c r="D904">
        <v>546</v>
      </c>
      <c r="E904">
        <v>575.9</v>
      </c>
      <c r="F904">
        <v>563.94780123643898</v>
      </c>
      <c r="G904">
        <v>17146</v>
      </c>
      <c r="H904">
        <v>1345</v>
      </c>
      <c r="I904">
        <v>9669449</v>
      </c>
      <c r="J904">
        <v>13041</v>
      </c>
      <c r="K904">
        <v>76.06</v>
      </c>
      <c r="L904">
        <v>31.45</v>
      </c>
      <c r="M904">
        <v>28.75</v>
      </c>
    </row>
    <row r="905" spans="1:13" x14ac:dyDescent="0.3">
      <c r="A905" s="1">
        <v>45530</v>
      </c>
      <c r="B905">
        <v>576.04999999999995</v>
      </c>
      <c r="C905">
        <v>597.1</v>
      </c>
      <c r="D905">
        <v>576.04999999999995</v>
      </c>
      <c r="E905">
        <v>590.29999999999995</v>
      </c>
      <c r="F905">
        <v>587.67269315269095</v>
      </c>
      <c r="G905">
        <v>21848</v>
      </c>
      <c r="H905">
        <v>1254</v>
      </c>
      <c r="I905">
        <v>12839473</v>
      </c>
      <c r="J905">
        <v>13539</v>
      </c>
      <c r="K905">
        <v>61.97</v>
      </c>
      <c r="L905">
        <v>21.05</v>
      </c>
      <c r="M905">
        <v>14.25</v>
      </c>
    </row>
    <row r="906" spans="1:13" x14ac:dyDescent="0.3">
      <c r="A906" s="1">
        <v>45531</v>
      </c>
      <c r="B906">
        <v>597.85</v>
      </c>
      <c r="C906">
        <v>597.85</v>
      </c>
      <c r="D906">
        <v>584.5</v>
      </c>
      <c r="E906">
        <v>594.29999999999995</v>
      </c>
      <c r="F906">
        <v>591.31873631529504</v>
      </c>
      <c r="G906">
        <v>3197</v>
      </c>
      <c r="H906">
        <v>262</v>
      </c>
      <c r="I906">
        <v>1890446</v>
      </c>
      <c r="J906">
        <v>2291</v>
      </c>
      <c r="K906">
        <v>71.66</v>
      </c>
      <c r="L906">
        <v>13.35</v>
      </c>
      <c r="M906">
        <v>-3.55</v>
      </c>
    </row>
    <row r="907" spans="1:13" x14ac:dyDescent="0.3">
      <c r="A907" s="1">
        <v>45532</v>
      </c>
      <c r="B907">
        <v>596</v>
      </c>
      <c r="C907">
        <v>599.70000000000005</v>
      </c>
      <c r="D907">
        <v>584</v>
      </c>
      <c r="E907">
        <v>592.4</v>
      </c>
      <c r="F907">
        <v>588.78589580686105</v>
      </c>
      <c r="G907">
        <v>3148</v>
      </c>
      <c r="H907">
        <v>209</v>
      </c>
      <c r="I907">
        <v>1853498</v>
      </c>
      <c r="J907">
        <v>1995</v>
      </c>
      <c r="K907">
        <v>63.37</v>
      </c>
      <c r="L907">
        <v>15.7</v>
      </c>
      <c r="M907">
        <v>-3.6</v>
      </c>
    </row>
    <row r="908" spans="1:13" x14ac:dyDescent="0.3">
      <c r="A908" s="1">
        <v>45533</v>
      </c>
      <c r="B908">
        <v>580.54999999999995</v>
      </c>
      <c r="C908">
        <v>587</v>
      </c>
      <c r="D908">
        <v>580.54999999999995</v>
      </c>
      <c r="E908">
        <v>584.5</v>
      </c>
      <c r="F908">
        <v>584.00278551532006</v>
      </c>
      <c r="G908">
        <v>1436</v>
      </c>
      <c r="H908">
        <v>115</v>
      </c>
      <c r="I908">
        <v>838628</v>
      </c>
      <c r="J908">
        <v>907</v>
      </c>
      <c r="K908">
        <v>63.16</v>
      </c>
      <c r="L908">
        <v>6.45</v>
      </c>
      <c r="M908">
        <v>3.95</v>
      </c>
    </row>
    <row r="909" spans="1:13" x14ac:dyDescent="0.3">
      <c r="A909" s="1">
        <v>45534</v>
      </c>
      <c r="B909">
        <v>590</v>
      </c>
      <c r="C909">
        <v>590</v>
      </c>
      <c r="D909">
        <v>572.04999999999995</v>
      </c>
      <c r="E909">
        <v>579.54999999999995</v>
      </c>
      <c r="F909">
        <v>578.135992023928</v>
      </c>
      <c r="G909">
        <v>5015</v>
      </c>
      <c r="H909">
        <v>500</v>
      </c>
      <c r="I909">
        <v>2899352</v>
      </c>
      <c r="J909">
        <v>3846</v>
      </c>
      <c r="K909">
        <v>76.69</v>
      </c>
      <c r="L909">
        <v>17.95</v>
      </c>
      <c r="M909">
        <v>-10.45</v>
      </c>
    </row>
    <row r="910" spans="1:13" x14ac:dyDescent="0.3">
      <c r="A910" s="1">
        <v>45537</v>
      </c>
      <c r="B910">
        <v>597.9</v>
      </c>
      <c r="C910">
        <v>597.9</v>
      </c>
      <c r="D910">
        <v>571.25</v>
      </c>
      <c r="E910">
        <v>576.29999999999995</v>
      </c>
      <c r="F910">
        <v>575.48259303721397</v>
      </c>
      <c r="G910">
        <v>1666</v>
      </c>
      <c r="H910">
        <v>143</v>
      </c>
      <c r="I910">
        <v>958754</v>
      </c>
      <c r="J910">
        <v>770</v>
      </c>
      <c r="K910">
        <v>46.22</v>
      </c>
      <c r="L910">
        <v>26.65</v>
      </c>
      <c r="M910">
        <v>-21.6</v>
      </c>
    </row>
    <row r="911" spans="1:13" x14ac:dyDescent="0.3">
      <c r="A911" s="1">
        <v>45538</v>
      </c>
      <c r="B911">
        <v>578</v>
      </c>
      <c r="C911">
        <v>578.79999999999995</v>
      </c>
      <c r="D911">
        <v>561.35</v>
      </c>
      <c r="E911">
        <v>564.4</v>
      </c>
      <c r="F911">
        <v>567.59942583732004</v>
      </c>
      <c r="G911">
        <v>5225</v>
      </c>
      <c r="H911">
        <v>501</v>
      </c>
      <c r="I911">
        <v>2965707</v>
      </c>
      <c r="J911">
        <v>3958</v>
      </c>
      <c r="K911">
        <v>75.75</v>
      </c>
      <c r="L911">
        <v>17.45</v>
      </c>
      <c r="M911">
        <v>-13.6</v>
      </c>
    </row>
    <row r="912" spans="1:13" x14ac:dyDescent="0.3">
      <c r="A912" s="1">
        <v>45539</v>
      </c>
      <c r="B912">
        <v>562</v>
      </c>
      <c r="C912">
        <v>569.5</v>
      </c>
      <c r="D912">
        <v>555</v>
      </c>
      <c r="E912">
        <v>557.54999999999995</v>
      </c>
      <c r="F912">
        <v>559.92261251372099</v>
      </c>
      <c r="G912">
        <v>1822</v>
      </c>
      <c r="H912">
        <v>157</v>
      </c>
      <c r="I912">
        <v>1020179</v>
      </c>
      <c r="J912">
        <v>1017</v>
      </c>
      <c r="K912">
        <v>55.82</v>
      </c>
      <c r="L912">
        <v>14.5</v>
      </c>
      <c r="M912">
        <v>-4.45</v>
      </c>
    </row>
    <row r="913" spans="1:13" x14ac:dyDescent="0.3">
      <c r="A913" s="1">
        <v>45540</v>
      </c>
      <c r="B913">
        <v>558</v>
      </c>
      <c r="C913">
        <v>569.54999999999995</v>
      </c>
      <c r="D913">
        <v>555.79999999999995</v>
      </c>
      <c r="E913">
        <v>557.5</v>
      </c>
      <c r="F913">
        <v>564.64477713507904</v>
      </c>
      <c r="G913">
        <v>2939</v>
      </c>
      <c r="H913">
        <v>162</v>
      </c>
      <c r="I913">
        <v>1659491</v>
      </c>
      <c r="J913">
        <v>2238</v>
      </c>
      <c r="K913">
        <v>76.150000000000006</v>
      </c>
      <c r="L913">
        <v>13.75</v>
      </c>
      <c r="M913">
        <v>-0.5</v>
      </c>
    </row>
    <row r="914" spans="1:13" x14ac:dyDescent="0.3">
      <c r="A914" s="1">
        <v>45541</v>
      </c>
      <c r="B914">
        <v>582.54999999999995</v>
      </c>
      <c r="C914">
        <v>582.54999999999995</v>
      </c>
      <c r="D914">
        <v>542</v>
      </c>
      <c r="E914">
        <v>547.29999999999995</v>
      </c>
      <c r="F914">
        <v>551.10267471958502</v>
      </c>
      <c r="G914">
        <v>1159</v>
      </c>
      <c r="H914">
        <v>154</v>
      </c>
      <c r="I914">
        <v>638728</v>
      </c>
      <c r="J914">
        <v>778</v>
      </c>
      <c r="K914">
        <v>67.13</v>
      </c>
      <c r="L914">
        <v>40.549999999999997</v>
      </c>
      <c r="M914">
        <v>-35.25</v>
      </c>
    </row>
    <row r="915" spans="1:13" x14ac:dyDescent="0.3">
      <c r="A915" s="1">
        <v>45544</v>
      </c>
      <c r="B915">
        <v>532.35</v>
      </c>
      <c r="C915">
        <v>542.5</v>
      </c>
      <c r="D915">
        <v>529.85</v>
      </c>
      <c r="E915">
        <v>534.79999999999995</v>
      </c>
      <c r="F915">
        <v>535.44122501375296</v>
      </c>
      <c r="G915">
        <v>5453</v>
      </c>
      <c r="H915">
        <v>665</v>
      </c>
      <c r="I915">
        <v>2919761</v>
      </c>
      <c r="J915">
        <v>3479</v>
      </c>
      <c r="K915">
        <v>63.8</v>
      </c>
      <c r="L915">
        <v>12.65</v>
      </c>
      <c r="M915">
        <v>2.4500000000000002</v>
      </c>
    </row>
    <row r="916" spans="1:13" x14ac:dyDescent="0.3">
      <c r="A916" s="1">
        <v>45545</v>
      </c>
      <c r="B916">
        <v>537.1</v>
      </c>
      <c r="C916">
        <v>547.4</v>
      </c>
      <c r="D916">
        <v>531.1</v>
      </c>
      <c r="E916">
        <v>536.35</v>
      </c>
      <c r="F916">
        <v>539.39665731053799</v>
      </c>
      <c r="G916">
        <v>7838</v>
      </c>
      <c r="H916">
        <v>455</v>
      </c>
      <c r="I916">
        <v>4227791</v>
      </c>
      <c r="J916">
        <v>5616</v>
      </c>
      <c r="K916">
        <v>71.650000000000006</v>
      </c>
      <c r="L916">
        <v>16.3</v>
      </c>
      <c r="M916">
        <v>-0.75</v>
      </c>
    </row>
    <row r="917" spans="1:13" x14ac:dyDescent="0.3">
      <c r="A917" s="1">
        <v>45546</v>
      </c>
      <c r="B917">
        <v>536</v>
      </c>
      <c r="C917">
        <v>545.25</v>
      </c>
      <c r="D917">
        <v>530.95000000000005</v>
      </c>
      <c r="E917">
        <v>534.5</v>
      </c>
      <c r="F917">
        <v>538.48530465949796</v>
      </c>
      <c r="G917">
        <v>1395</v>
      </c>
      <c r="H917">
        <v>154</v>
      </c>
      <c r="I917">
        <v>751187</v>
      </c>
      <c r="J917">
        <v>1018</v>
      </c>
      <c r="K917">
        <v>72.97</v>
      </c>
      <c r="L917">
        <v>14.3</v>
      </c>
      <c r="M917">
        <v>-1.5</v>
      </c>
    </row>
    <row r="918" spans="1:13" x14ac:dyDescent="0.3">
      <c r="A918" s="1">
        <v>45547</v>
      </c>
      <c r="B918">
        <v>540</v>
      </c>
      <c r="C918">
        <v>543.85</v>
      </c>
      <c r="D918">
        <v>526</v>
      </c>
      <c r="E918">
        <v>534.95000000000005</v>
      </c>
      <c r="F918">
        <v>531.78351573187399</v>
      </c>
      <c r="G918">
        <v>5848</v>
      </c>
      <c r="H918">
        <v>657</v>
      </c>
      <c r="I918">
        <v>3109870</v>
      </c>
      <c r="J918">
        <v>4103</v>
      </c>
      <c r="K918">
        <v>70.16</v>
      </c>
      <c r="L918">
        <v>17.850000000000001</v>
      </c>
      <c r="M918">
        <v>-5.05</v>
      </c>
    </row>
    <row r="919" spans="1:13" x14ac:dyDescent="0.3">
      <c r="A919" s="1">
        <v>45548</v>
      </c>
      <c r="B919">
        <v>540</v>
      </c>
      <c r="C919">
        <v>543.9</v>
      </c>
      <c r="D919">
        <v>534.95000000000005</v>
      </c>
      <c r="E919">
        <v>537.5</v>
      </c>
      <c r="F919">
        <v>540.56559139784895</v>
      </c>
      <c r="G919">
        <v>930</v>
      </c>
      <c r="H919">
        <v>105</v>
      </c>
      <c r="I919">
        <v>502726</v>
      </c>
      <c r="J919">
        <v>537</v>
      </c>
      <c r="K919">
        <v>57.74</v>
      </c>
      <c r="L919">
        <v>8.9499999999999993</v>
      </c>
      <c r="M919">
        <v>-2.5</v>
      </c>
    </row>
    <row r="920" spans="1:13" x14ac:dyDescent="0.3">
      <c r="A920" s="1">
        <v>45551</v>
      </c>
      <c r="B920">
        <v>537.54999999999995</v>
      </c>
      <c r="C920">
        <v>537.54999999999995</v>
      </c>
      <c r="D920">
        <v>522</v>
      </c>
      <c r="E920">
        <v>527.70000000000005</v>
      </c>
      <c r="F920">
        <v>528.270887728459</v>
      </c>
      <c r="G920">
        <v>7660</v>
      </c>
      <c r="H920">
        <v>636</v>
      </c>
      <c r="I920">
        <v>4046555</v>
      </c>
      <c r="J920">
        <v>5658</v>
      </c>
      <c r="K920">
        <v>73.86</v>
      </c>
      <c r="L920">
        <v>15.55</v>
      </c>
      <c r="M920">
        <v>-9.85</v>
      </c>
    </row>
    <row r="921" spans="1:13" x14ac:dyDescent="0.3">
      <c r="A921" s="1">
        <v>45552</v>
      </c>
      <c r="B921">
        <v>530.25</v>
      </c>
      <c r="C921">
        <v>535.04999999999995</v>
      </c>
      <c r="D921">
        <v>518</v>
      </c>
      <c r="E921">
        <v>522.85</v>
      </c>
      <c r="F921">
        <v>522.97461059190005</v>
      </c>
      <c r="G921">
        <v>6420</v>
      </c>
      <c r="H921">
        <v>669</v>
      </c>
      <c r="I921">
        <v>3357497</v>
      </c>
      <c r="J921">
        <v>3662</v>
      </c>
      <c r="K921">
        <v>57.04</v>
      </c>
      <c r="L921">
        <v>17.05</v>
      </c>
      <c r="M921">
        <v>-7.4</v>
      </c>
    </row>
    <row r="922" spans="1:13" x14ac:dyDescent="0.3">
      <c r="A922" s="1">
        <v>45553</v>
      </c>
      <c r="B922">
        <v>522</v>
      </c>
      <c r="C922">
        <v>525</v>
      </c>
      <c r="D922">
        <v>515.5</v>
      </c>
      <c r="E922">
        <v>517.85</v>
      </c>
      <c r="F922">
        <v>519.30726495726401</v>
      </c>
      <c r="G922">
        <v>7020</v>
      </c>
      <c r="H922">
        <v>608</v>
      </c>
      <c r="I922">
        <v>3645537</v>
      </c>
      <c r="J922">
        <v>4517</v>
      </c>
      <c r="K922">
        <v>64.34</v>
      </c>
      <c r="L922">
        <v>9.5</v>
      </c>
      <c r="M922">
        <v>-4.1500000000000004</v>
      </c>
    </row>
    <row r="923" spans="1:13" x14ac:dyDescent="0.3">
      <c r="A923" s="1">
        <v>45554</v>
      </c>
      <c r="B923">
        <v>517.85</v>
      </c>
      <c r="C923">
        <v>528</v>
      </c>
      <c r="D923">
        <v>509.4</v>
      </c>
      <c r="E923">
        <v>510.1</v>
      </c>
      <c r="F923">
        <v>514.54381654381598</v>
      </c>
      <c r="G923">
        <v>2442</v>
      </c>
      <c r="H923">
        <v>257</v>
      </c>
      <c r="I923">
        <v>1256516</v>
      </c>
      <c r="J923">
        <v>1209</v>
      </c>
      <c r="K923">
        <v>49.51</v>
      </c>
      <c r="L923">
        <v>18.600000000000001</v>
      </c>
      <c r="M923">
        <v>-7.75</v>
      </c>
    </row>
    <row r="924" spans="1:13" x14ac:dyDescent="0.3">
      <c r="A924" s="1">
        <v>45555</v>
      </c>
      <c r="B924">
        <v>520.29999999999995</v>
      </c>
      <c r="C924">
        <v>522.1</v>
      </c>
      <c r="D924">
        <v>503.3</v>
      </c>
      <c r="E924">
        <v>515.85</v>
      </c>
      <c r="F924">
        <v>513.75126694973198</v>
      </c>
      <c r="G924">
        <v>7301</v>
      </c>
      <c r="H924">
        <v>459</v>
      </c>
      <c r="I924">
        <v>3750898</v>
      </c>
      <c r="J924">
        <v>4712</v>
      </c>
      <c r="K924">
        <v>64.540000000000006</v>
      </c>
      <c r="L924">
        <v>18.8</v>
      </c>
      <c r="M924">
        <v>-4.45</v>
      </c>
    </row>
    <row r="925" spans="1:13" x14ac:dyDescent="0.3">
      <c r="A925" s="1">
        <v>45558</v>
      </c>
      <c r="B925">
        <v>510.4</v>
      </c>
      <c r="C925">
        <v>572</v>
      </c>
      <c r="D925">
        <v>510.4</v>
      </c>
      <c r="E925">
        <v>567.79999999999995</v>
      </c>
      <c r="F925">
        <v>552.55458719895</v>
      </c>
      <c r="G925">
        <v>10671</v>
      </c>
      <c r="H925">
        <v>728</v>
      </c>
      <c r="I925">
        <v>5896310</v>
      </c>
      <c r="J925">
        <v>4431</v>
      </c>
      <c r="K925">
        <v>41.52</v>
      </c>
      <c r="L925">
        <v>61.6</v>
      </c>
      <c r="M925">
        <v>57.4</v>
      </c>
    </row>
    <row r="926" spans="1:13" x14ac:dyDescent="0.3">
      <c r="A926" s="1">
        <v>45559</v>
      </c>
      <c r="B926">
        <v>579.20000000000005</v>
      </c>
      <c r="C926">
        <v>579.20000000000005</v>
      </c>
      <c r="D926">
        <v>559.65</v>
      </c>
      <c r="E926">
        <v>569.54999999999995</v>
      </c>
      <c r="F926">
        <v>566.336329431438</v>
      </c>
      <c r="G926">
        <v>4784</v>
      </c>
      <c r="H926">
        <v>493</v>
      </c>
      <c r="I926">
        <v>2709353</v>
      </c>
      <c r="J926">
        <v>1945</v>
      </c>
      <c r="K926">
        <v>40.659999999999997</v>
      </c>
      <c r="L926">
        <v>19.55</v>
      </c>
      <c r="M926">
        <v>-9.65</v>
      </c>
    </row>
    <row r="927" spans="1:13" x14ac:dyDescent="0.3">
      <c r="A927" s="1">
        <v>45560</v>
      </c>
      <c r="B927">
        <v>550</v>
      </c>
      <c r="C927">
        <v>565.65</v>
      </c>
      <c r="D927">
        <v>546.35</v>
      </c>
      <c r="E927">
        <v>548.20000000000005</v>
      </c>
      <c r="F927">
        <v>553.63702762781804</v>
      </c>
      <c r="G927">
        <v>6298</v>
      </c>
      <c r="H927">
        <v>643</v>
      </c>
      <c r="I927">
        <v>3486806</v>
      </c>
      <c r="J927">
        <v>3318</v>
      </c>
      <c r="K927">
        <v>52.68</v>
      </c>
      <c r="L927">
        <v>19.3</v>
      </c>
      <c r="M927">
        <v>-1.8</v>
      </c>
    </row>
    <row r="928" spans="1:13" x14ac:dyDescent="0.3">
      <c r="A928" s="1">
        <v>45561</v>
      </c>
      <c r="B928">
        <v>548.20000000000005</v>
      </c>
      <c r="C928">
        <v>548.75</v>
      </c>
      <c r="D928">
        <v>539.04999999999995</v>
      </c>
      <c r="E928">
        <v>541.70000000000005</v>
      </c>
      <c r="F928">
        <v>544.45494699646599</v>
      </c>
      <c r="G928">
        <v>2264</v>
      </c>
      <c r="H928">
        <v>216</v>
      </c>
      <c r="I928">
        <v>1232646</v>
      </c>
      <c r="J928">
        <v>1268</v>
      </c>
      <c r="K928">
        <v>56.01</v>
      </c>
      <c r="L928">
        <v>9.6999999999999993</v>
      </c>
      <c r="M928">
        <v>-6.5</v>
      </c>
    </row>
    <row r="929" spans="1:13" x14ac:dyDescent="0.3">
      <c r="A929" s="1">
        <v>45562</v>
      </c>
      <c r="B929">
        <v>539.65</v>
      </c>
      <c r="C929">
        <v>555.85</v>
      </c>
      <c r="D929">
        <v>537.70000000000005</v>
      </c>
      <c r="E929">
        <v>541.04999999999995</v>
      </c>
      <c r="F929">
        <v>545.58145695364203</v>
      </c>
      <c r="G929">
        <v>1510</v>
      </c>
      <c r="H929">
        <v>140</v>
      </c>
      <c r="I929">
        <v>823828</v>
      </c>
      <c r="J929">
        <v>786</v>
      </c>
      <c r="K929">
        <v>52.05</v>
      </c>
      <c r="L929">
        <v>18.149999999999999</v>
      </c>
      <c r="M929">
        <v>1.4</v>
      </c>
    </row>
    <row r="930" spans="1:13" x14ac:dyDescent="0.3">
      <c r="A930" s="1">
        <v>45565</v>
      </c>
      <c r="B930">
        <v>551.6</v>
      </c>
      <c r="C930">
        <v>551.6</v>
      </c>
      <c r="D930">
        <v>529.15</v>
      </c>
      <c r="E930">
        <v>531.35</v>
      </c>
      <c r="F930">
        <v>533.675962815405</v>
      </c>
      <c r="G930">
        <v>2259</v>
      </c>
      <c r="H930">
        <v>147</v>
      </c>
      <c r="I930">
        <v>1205574</v>
      </c>
      <c r="J930">
        <v>1155</v>
      </c>
      <c r="K930">
        <v>51.13</v>
      </c>
      <c r="L930">
        <v>22.45</v>
      </c>
      <c r="M930">
        <v>-20.25</v>
      </c>
    </row>
    <row r="931" spans="1:13" x14ac:dyDescent="0.3">
      <c r="A931" s="1">
        <v>45566</v>
      </c>
      <c r="B931">
        <v>530</v>
      </c>
      <c r="C931">
        <v>548.95000000000005</v>
      </c>
      <c r="D931">
        <v>522.65</v>
      </c>
      <c r="E931">
        <v>541.65</v>
      </c>
      <c r="F931">
        <v>538.06453048509104</v>
      </c>
      <c r="G931">
        <v>2247</v>
      </c>
      <c r="H931">
        <v>115</v>
      </c>
      <c r="I931">
        <v>1209031</v>
      </c>
      <c r="J931">
        <v>1495</v>
      </c>
      <c r="K931">
        <v>66.53</v>
      </c>
      <c r="L931">
        <v>26.3</v>
      </c>
      <c r="M931">
        <v>11.65</v>
      </c>
    </row>
    <row r="932" spans="1:13" x14ac:dyDescent="0.3">
      <c r="A932" s="1">
        <v>45568</v>
      </c>
      <c r="B932">
        <v>550</v>
      </c>
      <c r="C932">
        <v>550</v>
      </c>
      <c r="D932">
        <v>523.79999999999995</v>
      </c>
      <c r="E932">
        <v>526</v>
      </c>
      <c r="F932">
        <v>530.56144957983099</v>
      </c>
      <c r="G932">
        <v>1904</v>
      </c>
      <c r="H932">
        <v>268</v>
      </c>
      <c r="I932">
        <v>1010189</v>
      </c>
      <c r="J932">
        <v>1098</v>
      </c>
      <c r="K932">
        <v>57.67</v>
      </c>
      <c r="L932">
        <v>26.2</v>
      </c>
      <c r="M932">
        <v>-24</v>
      </c>
    </row>
    <row r="933" spans="1:13" x14ac:dyDescent="0.3">
      <c r="A933" s="1">
        <v>45569</v>
      </c>
      <c r="B933">
        <v>537.9</v>
      </c>
      <c r="C933">
        <v>537.9</v>
      </c>
      <c r="D933">
        <v>516.1</v>
      </c>
      <c r="E933">
        <v>525.1</v>
      </c>
      <c r="F933">
        <v>528.55955497382104</v>
      </c>
      <c r="G933">
        <v>1528</v>
      </c>
      <c r="H933">
        <v>263</v>
      </c>
      <c r="I933">
        <v>807639</v>
      </c>
      <c r="J933">
        <v>1211</v>
      </c>
      <c r="K933">
        <v>79.25</v>
      </c>
      <c r="L933">
        <v>21.8</v>
      </c>
      <c r="M933">
        <v>-12.8</v>
      </c>
    </row>
    <row r="934" spans="1:13" x14ac:dyDescent="0.3">
      <c r="A934" s="1">
        <v>45572</v>
      </c>
      <c r="B934">
        <v>525.75</v>
      </c>
      <c r="C934">
        <v>529.95000000000005</v>
      </c>
      <c r="D934">
        <v>500.8</v>
      </c>
      <c r="E934">
        <v>511.65</v>
      </c>
      <c r="F934">
        <v>512.51372163512701</v>
      </c>
      <c r="G934">
        <v>12207</v>
      </c>
      <c r="H934">
        <v>1030</v>
      </c>
      <c r="I934">
        <v>6256255</v>
      </c>
      <c r="J934">
        <v>7286</v>
      </c>
      <c r="K934">
        <v>59.69</v>
      </c>
      <c r="L934">
        <v>29.15</v>
      </c>
      <c r="M934">
        <v>-14.1</v>
      </c>
    </row>
    <row r="935" spans="1:13" x14ac:dyDescent="0.3">
      <c r="A935" s="1">
        <v>45573</v>
      </c>
      <c r="B935">
        <v>505</v>
      </c>
      <c r="C935">
        <v>521.35</v>
      </c>
      <c r="D935">
        <v>497.05</v>
      </c>
      <c r="E935">
        <v>514.1</v>
      </c>
      <c r="F935">
        <v>509.68893462086402</v>
      </c>
      <c r="G935">
        <v>6317</v>
      </c>
      <c r="H935">
        <v>567</v>
      </c>
      <c r="I935">
        <v>3219705</v>
      </c>
      <c r="J935">
        <v>3822</v>
      </c>
      <c r="K935">
        <v>60.5</v>
      </c>
      <c r="L935">
        <v>24.3</v>
      </c>
      <c r="M935">
        <v>9.1</v>
      </c>
    </row>
    <row r="936" spans="1:13" x14ac:dyDescent="0.3">
      <c r="A936" s="1">
        <v>45574</v>
      </c>
      <c r="B936">
        <v>530</v>
      </c>
      <c r="C936">
        <v>537.25</v>
      </c>
      <c r="D936">
        <v>523</v>
      </c>
      <c r="E936">
        <v>533.5</v>
      </c>
      <c r="F936">
        <v>530.33764198981498</v>
      </c>
      <c r="G936">
        <v>2553</v>
      </c>
      <c r="H936">
        <v>174</v>
      </c>
      <c r="I936">
        <v>1353952</v>
      </c>
      <c r="J936">
        <v>1324</v>
      </c>
      <c r="K936">
        <v>51.86</v>
      </c>
      <c r="L936">
        <v>14.25</v>
      </c>
      <c r="M936">
        <v>3.5</v>
      </c>
    </row>
    <row r="937" spans="1:13" x14ac:dyDescent="0.3">
      <c r="A937" s="1">
        <v>45575</v>
      </c>
      <c r="B937">
        <v>537</v>
      </c>
      <c r="C937">
        <v>560.45000000000005</v>
      </c>
      <c r="D937">
        <v>525</v>
      </c>
      <c r="E937">
        <v>548.85</v>
      </c>
      <c r="F937">
        <v>544.11234720505399</v>
      </c>
      <c r="G937">
        <v>7281</v>
      </c>
      <c r="H937">
        <v>665</v>
      </c>
      <c r="I937">
        <v>3961682</v>
      </c>
      <c r="J937">
        <v>4746</v>
      </c>
      <c r="K937">
        <v>65.180000000000007</v>
      </c>
      <c r="L937">
        <v>35.450000000000003</v>
      </c>
      <c r="M937">
        <v>11.85</v>
      </c>
    </row>
    <row r="938" spans="1:13" x14ac:dyDescent="0.3">
      <c r="A938" s="1">
        <v>45576</v>
      </c>
      <c r="B938">
        <v>550</v>
      </c>
      <c r="C938">
        <v>559.5</v>
      </c>
      <c r="D938">
        <v>545.04999999999995</v>
      </c>
      <c r="E938">
        <v>555.9</v>
      </c>
      <c r="F938">
        <v>552.76252723311495</v>
      </c>
      <c r="G938">
        <v>918</v>
      </c>
      <c r="H938">
        <v>104</v>
      </c>
      <c r="I938">
        <v>507436</v>
      </c>
      <c r="J938">
        <v>441</v>
      </c>
      <c r="K938">
        <v>48.04</v>
      </c>
      <c r="L938">
        <v>14.45</v>
      </c>
      <c r="M938">
        <v>5.9</v>
      </c>
    </row>
    <row r="939" spans="1:13" x14ac:dyDescent="0.3">
      <c r="A939" s="1">
        <v>45579</v>
      </c>
      <c r="B939">
        <v>556.79999999999995</v>
      </c>
      <c r="C939">
        <v>561</v>
      </c>
      <c r="D939">
        <v>547.70000000000005</v>
      </c>
      <c r="E939">
        <v>553.95000000000005</v>
      </c>
      <c r="F939">
        <v>552.80394780863105</v>
      </c>
      <c r="G939">
        <v>2989</v>
      </c>
      <c r="H939">
        <v>362</v>
      </c>
      <c r="I939">
        <v>1652331</v>
      </c>
      <c r="J939">
        <v>1844</v>
      </c>
      <c r="K939">
        <v>61.69</v>
      </c>
      <c r="L939">
        <v>13.3</v>
      </c>
      <c r="M939">
        <v>-2.85</v>
      </c>
    </row>
    <row r="940" spans="1:13" x14ac:dyDescent="0.3">
      <c r="A940" s="1">
        <v>45580</v>
      </c>
      <c r="B940">
        <v>525</v>
      </c>
      <c r="C940">
        <v>558.29999999999995</v>
      </c>
      <c r="D940">
        <v>525</v>
      </c>
      <c r="E940">
        <v>555.6</v>
      </c>
      <c r="F940">
        <v>552.21818181818105</v>
      </c>
      <c r="G940">
        <v>1045</v>
      </c>
      <c r="H940">
        <v>188</v>
      </c>
      <c r="I940">
        <v>577068</v>
      </c>
      <c r="J940">
        <v>501</v>
      </c>
      <c r="K940">
        <v>47.94</v>
      </c>
      <c r="L940">
        <v>33.299999999999997</v>
      </c>
      <c r="M940">
        <v>30.6</v>
      </c>
    </row>
    <row r="941" spans="1:13" x14ac:dyDescent="0.3">
      <c r="A941" s="1">
        <v>45581</v>
      </c>
      <c r="B941">
        <v>545</v>
      </c>
      <c r="C941">
        <v>565</v>
      </c>
      <c r="D941">
        <v>545</v>
      </c>
      <c r="E941">
        <v>558.15</v>
      </c>
      <c r="F941">
        <v>557.52888243831603</v>
      </c>
      <c r="G941">
        <v>6890</v>
      </c>
      <c r="H941">
        <v>619</v>
      </c>
      <c r="I941">
        <v>3841374</v>
      </c>
      <c r="J941">
        <v>4056</v>
      </c>
      <c r="K941">
        <v>58.87</v>
      </c>
      <c r="L941">
        <v>20</v>
      </c>
      <c r="M941">
        <v>13.15</v>
      </c>
    </row>
    <row r="942" spans="1:13" x14ac:dyDescent="0.3">
      <c r="A942" s="1">
        <v>45582</v>
      </c>
      <c r="B942">
        <v>566.9</v>
      </c>
      <c r="C942">
        <v>566.9</v>
      </c>
      <c r="D942">
        <v>553.45000000000005</v>
      </c>
      <c r="E942">
        <v>559.25</v>
      </c>
      <c r="F942">
        <v>560.41304693715097</v>
      </c>
      <c r="G942">
        <v>6285</v>
      </c>
      <c r="H942">
        <v>731</v>
      </c>
      <c r="I942">
        <v>3522196</v>
      </c>
      <c r="J942">
        <v>4474</v>
      </c>
      <c r="K942">
        <v>71.19</v>
      </c>
      <c r="L942">
        <v>13.45</v>
      </c>
      <c r="M942">
        <v>-7.65</v>
      </c>
    </row>
    <row r="943" spans="1:13" x14ac:dyDescent="0.3">
      <c r="A943" s="1">
        <v>45583</v>
      </c>
      <c r="B943">
        <v>563.6</v>
      </c>
      <c r="C943">
        <v>563.6</v>
      </c>
      <c r="D943">
        <v>528.54999999999995</v>
      </c>
      <c r="E943">
        <v>551.04999999999995</v>
      </c>
      <c r="F943">
        <v>548.32631578947303</v>
      </c>
      <c r="G943">
        <v>2280</v>
      </c>
      <c r="H943">
        <v>197</v>
      </c>
      <c r="I943">
        <v>1250184</v>
      </c>
      <c r="J943">
        <v>1560</v>
      </c>
      <c r="K943">
        <v>68.42</v>
      </c>
      <c r="L943">
        <v>35.049999999999997</v>
      </c>
      <c r="M943">
        <v>-12.55</v>
      </c>
    </row>
    <row r="944" spans="1:13" x14ac:dyDescent="0.3">
      <c r="A944" s="1">
        <v>45586</v>
      </c>
      <c r="B944">
        <v>562.95000000000005</v>
      </c>
      <c r="C944">
        <v>585</v>
      </c>
      <c r="D944">
        <v>548.85</v>
      </c>
      <c r="E944">
        <v>579.04999999999995</v>
      </c>
      <c r="F944">
        <v>567.73817802503402</v>
      </c>
      <c r="G944">
        <v>17256</v>
      </c>
      <c r="H944">
        <v>1322</v>
      </c>
      <c r="I944">
        <v>9796890</v>
      </c>
      <c r="J944">
        <v>10872</v>
      </c>
      <c r="K944">
        <v>63</v>
      </c>
      <c r="L944">
        <v>36.15</v>
      </c>
      <c r="M944">
        <v>16.100000000000001</v>
      </c>
    </row>
    <row r="945" spans="1:13" x14ac:dyDescent="0.3">
      <c r="A945" s="1">
        <v>45587</v>
      </c>
      <c r="B945">
        <v>575.75</v>
      </c>
      <c r="C945">
        <v>591.85</v>
      </c>
      <c r="D945">
        <v>560</v>
      </c>
      <c r="E945">
        <v>568.75</v>
      </c>
      <c r="F945">
        <v>574.50711806232596</v>
      </c>
      <c r="G945">
        <v>25639</v>
      </c>
      <c r="H945">
        <v>1474</v>
      </c>
      <c r="I945">
        <v>14729788</v>
      </c>
      <c r="J945">
        <v>18444</v>
      </c>
      <c r="K945">
        <v>71.94</v>
      </c>
      <c r="L945">
        <v>31.85</v>
      </c>
      <c r="M945">
        <v>-7</v>
      </c>
    </row>
    <row r="946" spans="1:13" x14ac:dyDescent="0.3">
      <c r="A946" s="1">
        <v>45588</v>
      </c>
      <c r="B946">
        <v>612.04999999999995</v>
      </c>
      <c r="C946">
        <v>667.6</v>
      </c>
      <c r="D946">
        <v>586.20000000000005</v>
      </c>
      <c r="E946">
        <v>640.04999999999995</v>
      </c>
      <c r="F946">
        <v>631.47751007523595</v>
      </c>
      <c r="G946">
        <v>80147</v>
      </c>
      <c r="H946">
        <v>5063</v>
      </c>
      <c r="I946">
        <v>50611028</v>
      </c>
      <c r="J946">
        <v>25182</v>
      </c>
      <c r="K946">
        <v>31.42</v>
      </c>
      <c r="L946">
        <v>81.400000000000006</v>
      </c>
      <c r="M946">
        <v>28</v>
      </c>
    </row>
    <row r="947" spans="1:13" x14ac:dyDescent="0.3">
      <c r="A947" s="1">
        <v>45589</v>
      </c>
      <c r="B947">
        <v>649</v>
      </c>
      <c r="C947">
        <v>658.6</v>
      </c>
      <c r="D947">
        <v>629.04999999999995</v>
      </c>
      <c r="E947">
        <v>648.1</v>
      </c>
      <c r="F947">
        <v>644.20008109403204</v>
      </c>
      <c r="G947">
        <v>27129</v>
      </c>
      <c r="H947">
        <v>1738</v>
      </c>
      <c r="I947">
        <v>17476504</v>
      </c>
      <c r="J947">
        <v>11242</v>
      </c>
      <c r="K947">
        <v>41.44</v>
      </c>
      <c r="L947">
        <v>29.55</v>
      </c>
      <c r="M947">
        <v>-0.9</v>
      </c>
    </row>
    <row r="948" spans="1:13" x14ac:dyDescent="0.3">
      <c r="A948" s="1">
        <v>45590</v>
      </c>
      <c r="B948">
        <v>666.95</v>
      </c>
      <c r="C948">
        <v>698.3</v>
      </c>
      <c r="D948">
        <v>643.6</v>
      </c>
      <c r="E948">
        <v>655.9</v>
      </c>
      <c r="F948">
        <v>667.54597901543696</v>
      </c>
      <c r="G948">
        <v>31547</v>
      </c>
      <c r="H948">
        <v>2415</v>
      </c>
      <c r="I948">
        <v>21059073</v>
      </c>
      <c r="J948">
        <v>8965</v>
      </c>
      <c r="K948">
        <v>28.42</v>
      </c>
      <c r="L948">
        <v>54.7</v>
      </c>
      <c r="M948">
        <v>-11.05</v>
      </c>
    </row>
    <row r="949" spans="1:13" x14ac:dyDescent="0.3">
      <c r="A949" s="1">
        <v>45593</v>
      </c>
      <c r="B949">
        <v>656.05</v>
      </c>
      <c r="C949">
        <v>737</v>
      </c>
      <c r="D949">
        <v>656.05</v>
      </c>
      <c r="E949">
        <v>713.8</v>
      </c>
      <c r="F949">
        <v>712.61748894361904</v>
      </c>
      <c r="G949">
        <v>37761</v>
      </c>
      <c r="H949">
        <v>2457</v>
      </c>
      <c r="I949">
        <v>26909149</v>
      </c>
      <c r="J949">
        <v>10526</v>
      </c>
      <c r="K949">
        <v>27.88</v>
      </c>
      <c r="L949">
        <v>80.95</v>
      </c>
      <c r="M949">
        <v>57.75</v>
      </c>
    </row>
    <row r="950" spans="1:13" x14ac:dyDescent="0.3">
      <c r="A950" s="1">
        <v>45594</v>
      </c>
      <c r="B950">
        <v>734</v>
      </c>
      <c r="C950">
        <v>844.9</v>
      </c>
      <c r="D950">
        <v>727.5</v>
      </c>
      <c r="E950">
        <v>815.4</v>
      </c>
      <c r="F950">
        <v>785.43206903123996</v>
      </c>
      <c r="G950">
        <v>173139</v>
      </c>
      <c r="H950">
        <v>7775</v>
      </c>
      <c r="I950">
        <v>135988923</v>
      </c>
      <c r="J950">
        <v>69263</v>
      </c>
      <c r="K950">
        <v>40</v>
      </c>
      <c r="L950">
        <v>117.4</v>
      </c>
      <c r="M950">
        <v>81.400000000000006</v>
      </c>
    </row>
    <row r="951" spans="1:13" x14ac:dyDescent="0.3">
      <c r="A951" s="1">
        <v>45595</v>
      </c>
      <c r="B951">
        <v>816.9</v>
      </c>
      <c r="C951">
        <v>834.4</v>
      </c>
      <c r="D951">
        <v>773</v>
      </c>
      <c r="E951">
        <v>807.95</v>
      </c>
      <c r="F951">
        <v>804.26208388338296</v>
      </c>
      <c r="G951">
        <v>62873</v>
      </c>
      <c r="H951">
        <v>3935</v>
      </c>
      <c r="I951">
        <v>50566370</v>
      </c>
      <c r="J951">
        <v>13633</v>
      </c>
      <c r="K951">
        <v>21.68</v>
      </c>
      <c r="L951">
        <v>61.4</v>
      </c>
      <c r="M951">
        <v>-8.9499999999999993</v>
      </c>
    </row>
    <row r="952" spans="1:13" x14ac:dyDescent="0.3">
      <c r="A952" s="1">
        <v>45596</v>
      </c>
      <c r="B952">
        <v>795.85</v>
      </c>
      <c r="C952">
        <v>842</v>
      </c>
      <c r="D952">
        <v>785</v>
      </c>
      <c r="E952">
        <v>832.3</v>
      </c>
      <c r="F952">
        <v>816.63557843308297</v>
      </c>
      <c r="G952">
        <v>11462</v>
      </c>
      <c r="H952">
        <v>836</v>
      </c>
      <c r="I952">
        <v>9360277</v>
      </c>
      <c r="J952">
        <v>4155</v>
      </c>
      <c r="K952">
        <v>36.25</v>
      </c>
      <c r="L952">
        <v>57</v>
      </c>
      <c r="M952">
        <v>36.450000000000003</v>
      </c>
    </row>
    <row r="953" spans="1:13" x14ac:dyDescent="0.3">
      <c r="A953" s="1">
        <v>45597</v>
      </c>
      <c r="B953">
        <v>851</v>
      </c>
      <c r="C953">
        <v>851</v>
      </c>
      <c r="D953">
        <v>804.25</v>
      </c>
      <c r="E953">
        <v>817</v>
      </c>
      <c r="F953">
        <v>820.01060396495996</v>
      </c>
      <c r="G953">
        <v>4338</v>
      </c>
      <c r="H953">
        <v>497</v>
      </c>
      <c r="I953">
        <v>3557206</v>
      </c>
      <c r="J953">
        <v>3119</v>
      </c>
      <c r="K953">
        <v>71.900000000000006</v>
      </c>
      <c r="L953">
        <v>46.75</v>
      </c>
      <c r="M953">
        <v>-34</v>
      </c>
    </row>
    <row r="954" spans="1:13" x14ac:dyDescent="0.3">
      <c r="A954" s="1">
        <v>45600</v>
      </c>
      <c r="B954">
        <v>800.1</v>
      </c>
      <c r="C954">
        <v>811.65</v>
      </c>
      <c r="D954">
        <v>753.1</v>
      </c>
      <c r="E954">
        <v>796.55</v>
      </c>
      <c r="F954">
        <v>776.57289569069599</v>
      </c>
      <c r="G954">
        <v>34762</v>
      </c>
      <c r="H954">
        <v>1925</v>
      </c>
      <c r="I954">
        <v>26995227</v>
      </c>
      <c r="J954">
        <v>21262</v>
      </c>
      <c r="K954">
        <v>61.16</v>
      </c>
      <c r="L954">
        <v>58.55</v>
      </c>
      <c r="M954">
        <v>-3.55</v>
      </c>
    </row>
    <row r="955" spans="1:13" x14ac:dyDescent="0.3">
      <c r="A955" s="1">
        <v>45601</v>
      </c>
      <c r="B955">
        <v>751.2</v>
      </c>
      <c r="C955">
        <v>835</v>
      </c>
      <c r="D955">
        <v>751.2</v>
      </c>
      <c r="E955">
        <v>815.45</v>
      </c>
      <c r="F955">
        <v>817.66446873734697</v>
      </c>
      <c r="G955">
        <v>17289</v>
      </c>
      <c r="H955">
        <v>1075</v>
      </c>
      <c r="I955">
        <v>14136601</v>
      </c>
      <c r="J955">
        <v>10004</v>
      </c>
      <c r="K955">
        <v>57.86</v>
      </c>
      <c r="L955">
        <v>83.8</v>
      </c>
      <c r="M955">
        <v>64.25</v>
      </c>
    </row>
    <row r="956" spans="1:13" x14ac:dyDescent="0.3">
      <c r="A956" s="1">
        <v>45602</v>
      </c>
      <c r="B956">
        <v>770.25</v>
      </c>
      <c r="C956">
        <v>896.95</v>
      </c>
      <c r="D956">
        <v>770.25</v>
      </c>
      <c r="E956">
        <v>861.7</v>
      </c>
      <c r="F956">
        <v>860.64238861386104</v>
      </c>
      <c r="G956">
        <v>16160</v>
      </c>
      <c r="H956">
        <v>1480</v>
      </c>
      <c r="I956">
        <v>13907981</v>
      </c>
      <c r="J956">
        <v>7516</v>
      </c>
      <c r="K956">
        <v>46.51</v>
      </c>
      <c r="L956">
        <v>126.7</v>
      </c>
      <c r="M956">
        <v>91.45</v>
      </c>
    </row>
    <row r="957" spans="1:13" x14ac:dyDescent="0.3">
      <c r="A957" s="1">
        <v>45603</v>
      </c>
      <c r="B957">
        <v>855.9</v>
      </c>
      <c r="C957">
        <v>934.8</v>
      </c>
      <c r="D957">
        <v>843.15</v>
      </c>
      <c r="E957">
        <v>894.45</v>
      </c>
      <c r="F957">
        <v>897.08846871069795</v>
      </c>
      <c r="G957">
        <v>46118</v>
      </c>
      <c r="H957">
        <v>2249</v>
      </c>
      <c r="I957">
        <v>41371926</v>
      </c>
      <c r="J957">
        <v>14395</v>
      </c>
      <c r="K957">
        <v>31.21</v>
      </c>
      <c r="L957">
        <v>91.65</v>
      </c>
      <c r="M957">
        <v>38.549999999999997</v>
      </c>
    </row>
    <row r="958" spans="1:13" x14ac:dyDescent="0.3">
      <c r="A958" s="1">
        <v>45604</v>
      </c>
      <c r="B958">
        <v>897.95</v>
      </c>
      <c r="C958">
        <v>897.95</v>
      </c>
      <c r="D958">
        <v>824.3</v>
      </c>
      <c r="E958">
        <v>828.85</v>
      </c>
      <c r="F958">
        <v>858.11793637505195</v>
      </c>
      <c r="G958">
        <v>9556</v>
      </c>
      <c r="H958">
        <v>769</v>
      </c>
      <c r="I958">
        <v>8200175</v>
      </c>
      <c r="J958">
        <v>4523</v>
      </c>
      <c r="K958">
        <v>47.33</v>
      </c>
      <c r="L958">
        <v>73.650000000000006</v>
      </c>
      <c r="M958">
        <v>-69.099999999999994</v>
      </c>
    </row>
    <row r="959" spans="1:13" x14ac:dyDescent="0.3">
      <c r="A959" s="1">
        <v>45607</v>
      </c>
      <c r="B959">
        <v>847.95</v>
      </c>
      <c r="C959">
        <v>847.95</v>
      </c>
      <c r="D959">
        <v>791</v>
      </c>
      <c r="E959">
        <v>816.4</v>
      </c>
      <c r="F959">
        <v>809.87518796992401</v>
      </c>
      <c r="G959">
        <v>7980</v>
      </c>
      <c r="H959">
        <v>596</v>
      </c>
      <c r="I959">
        <v>6462804</v>
      </c>
      <c r="J959">
        <v>3553</v>
      </c>
      <c r="K959">
        <v>44.52</v>
      </c>
      <c r="L959">
        <v>56.95</v>
      </c>
      <c r="M959">
        <v>-31.55</v>
      </c>
    </row>
    <row r="960" spans="1:13" x14ac:dyDescent="0.3">
      <c r="A960" s="1">
        <v>45608</v>
      </c>
      <c r="B960">
        <v>817.3</v>
      </c>
      <c r="C960">
        <v>849.45</v>
      </c>
      <c r="D960">
        <v>804.15</v>
      </c>
      <c r="E960">
        <v>809.55</v>
      </c>
      <c r="F960">
        <v>821.37916748865598</v>
      </c>
      <c r="G960">
        <v>10138</v>
      </c>
      <c r="H960">
        <v>714</v>
      </c>
      <c r="I960">
        <v>8327142</v>
      </c>
      <c r="J960">
        <v>5023</v>
      </c>
      <c r="K960">
        <v>49.55</v>
      </c>
      <c r="L960">
        <v>45.3</v>
      </c>
      <c r="M960">
        <v>-7.75</v>
      </c>
    </row>
    <row r="961" spans="1:13" x14ac:dyDescent="0.3">
      <c r="A961" s="1">
        <v>45609</v>
      </c>
      <c r="B961">
        <v>805</v>
      </c>
      <c r="C961">
        <v>819.8</v>
      </c>
      <c r="D961">
        <v>767.95</v>
      </c>
      <c r="E961">
        <v>785.9</v>
      </c>
      <c r="F961">
        <v>783.64879750321199</v>
      </c>
      <c r="G961">
        <v>10894</v>
      </c>
      <c r="H961">
        <v>663</v>
      </c>
      <c r="I961">
        <v>8537070</v>
      </c>
      <c r="J961">
        <v>6928</v>
      </c>
      <c r="K961">
        <v>63.59</v>
      </c>
      <c r="L961">
        <v>51.85</v>
      </c>
      <c r="M961">
        <v>-19.100000000000001</v>
      </c>
    </row>
    <row r="962" spans="1:13" x14ac:dyDescent="0.3">
      <c r="A962" s="1">
        <v>45610</v>
      </c>
      <c r="B962">
        <v>786.05</v>
      </c>
      <c r="C962">
        <v>798.9</v>
      </c>
      <c r="D962">
        <v>746.8</v>
      </c>
      <c r="E962">
        <v>754.05</v>
      </c>
      <c r="F962">
        <v>772.70559038662395</v>
      </c>
      <c r="G962">
        <v>11484</v>
      </c>
      <c r="H962">
        <v>786</v>
      </c>
      <c r="I962">
        <v>8873751</v>
      </c>
      <c r="J962">
        <v>6818</v>
      </c>
      <c r="K962">
        <v>59.37</v>
      </c>
      <c r="L962">
        <v>52.1</v>
      </c>
      <c r="M962">
        <v>-32</v>
      </c>
    </row>
    <row r="963" spans="1:13" x14ac:dyDescent="0.3">
      <c r="A963" s="1">
        <v>45614</v>
      </c>
      <c r="B963">
        <v>740.15</v>
      </c>
      <c r="C963">
        <v>829.45</v>
      </c>
      <c r="D963">
        <v>720.3</v>
      </c>
      <c r="E963">
        <v>829.45</v>
      </c>
      <c r="F963">
        <v>776.40591839784702</v>
      </c>
      <c r="G963">
        <v>6691</v>
      </c>
      <c r="H963">
        <v>680</v>
      </c>
      <c r="I963">
        <v>5194932</v>
      </c>
      <c r="J963">
        <v>2606</v>
      </c>
      <c r="K963">
        <v>38.950000000000003</v>
      </c>
      <c r="L963">
        <v>109.15</v>
      </c>
      <c r="M963">
        <v>89.3</v>
      </c>
    </row>
    <row r="964" spans="1:13" x14ac:dyDescent="0.3">
      <c r="A964" s="1">
        <v>45615</v>
      </c>
      <c r="B964">
        <v>868.95</v>
      </c>
      <c r="C964">
        <v>907</v>
      </c>
      <c r="D964">
        <v>832.65</v>
      </c>
      <c r="E964">
        <v>860.3</v>
      </c>
      <c r="F964">
        <v>872.83124615068698</v>
      </c>
      <c r="G964">
        <v>9742</v>
      </c>
      <c r="H964">
        <v>729</v>
      </c>
      <c r="I964">
        <v>8503122</v>
      </c>
      <c r="J964">
        <v>5351</v>
      </c>
      <c r="K964">
        <v>54.93</v>
      </c>
      <c r="L964">
        <v>74.349999999999994</v>
      </c>
      <c r="M964">
        <v>-8.65</v>
      </c>
    </row>
    <row r="965" spans="1:13" x14ac:dyDescent="0.3">
      <c r="A965" s="1">
        <v>45617</v>
      </c>
      <c r="B965">
        <v>899</v>
      </c>
      <c r="C965">
        <v>936.35</v>
      </c>
      <c r="D965">
        <v>841.1</v>
      </c>
      <c r="E965">
        <v>921.75</v>
      </c>
      <c r="F965">
        <v>886.77659574467998</v>
      </c>
      <c r="G965">
        <v>9964</v>
      </c>
      <c r="H965">
        <v>889</v>
      </c>
      <c r="I965">
        <v>8835842</v>
      </c>
      <c r="J965">
        <v>4493</v>
      </c>
      <c r="K965">
        <v>45.09</v>
      </c>
      <c r="L965">
        <v>95.25</v>
      </c>
      <c r="M965">
        <v>22.75</v>
      </c>
    </row>
    <row r="966" spans="1:13" x14ac:dyDescent="0.3">
      <c r="A966" s="1">
        <v>45618</v>
      </c>
      <c r="B966">
        <v>940.05</v>
      </c>
      <c r="C966">
        <v>964.6</v>
      </c>
      <c r="D966">
        <v>892</v>
      </c>
      <c r="E966">
        <v>930.75</v>
      </c>
      <c r="F966">
        <v>927.26842105263097</v>
      </c>
      <c r="G966">
        <v>19380</v>
      </c>
      <c r="H966">
        <v>1305</v>
      </c>
      <c r="I966">
        <v>17970462</v>
      </c>
      <c r="J966">
        <v>10256</v>
      </c>
      <c r="K966">
        <v>52.92</v>
      </c>
      <c r="L966">
        <v>72.599999999999994</v>
      </c>
      <c r="M966">
        <v>-9.3000000000000007</v>
      </c>
    </row>
    <row r="967" spans="1:13" x14ac:dyDescent="0.3">
      <c r="A967" s="1">
        <v>45621</v>
      </c>
      <c r="B967">
        <v>950.55</v>
      </c>
      <c r="C967">
        <v>962.65</v>
      </c>
      <c r="D967">
        <v>897.6</v>
      </c>
      <c r="E967">
        <v>910.4</v>
      </c>
      <c r="F967">
        <v>922.090162986937</v>
      </c>
      <c r="G967">
        <v>17302</v>
      </c>
      <c r="H967">
        <v>401</v>
      </c>
      <c r="I967">
        <v>15954004</v>
      </c>
      <c r="J967">
        <v>3915</v>
      </c>
      <c r="K967">
        <v>22.63</v>
      </c>
      <c r="L967">
        <v>65.05</v>
      </c>
      <c r="M967">
        <v>-40.15</v>
      </c>
    </row>
    <row r="968" spans="1:13" x14ac:dyDescent="0.3">
      <c r="A968" s="1">
        <v>45622</v>
      </c>
      <c r="B968">
        <v>900.05</v>
      </c>
      <c r="C968">
        <v>975</v>
      </c>
      <c r="D968">
        <v>895.95</v>
      </c>
      <c r="E968">
        <v>960.15</v>
      </c>
      <c r="F968">
        <v>935.05404038438996</v>
      </c>
      <c r="G968">
        <v>25703</v>
      </c>
      <c r="H968">
        <v>1423</v>
      </c>
      <c r="I968">
        <v>24033694</v>
      </c>
      <c r="J968">
        <v>13997</v>
      </c>
      <c r="K968">
        <v>54.46</v>
      </c>
      <c r="L968">
        <v>79.05</v>
      </c>
      <c r="M968">
        <v>60.1</v>
      </c>
    </row>
    <row r="969" spans="1:13" x14ac:dyDescent="0.3">
      <c r="A969" s="1">
        <v>45623</v>
      </c>
      <c r="B969">
        <v>967.35</v>
      </c>
      <c r="C969">
        <v>972.85</v>
      </c>
      <c r="D969">
        <v>911.85</v>
      </c>
      <c r="E969">
        <v>918.5</v>
      </c>
      <c r="F969">
        <v>933.83477972838602</v>
      </c>
      <c r="G969">
        <v>15095</v>
      </c>
      <c r="H969">
        <v>1159</v>
      </c>
      <c r="I969">
        <v>14096236</v>
      </c>
      <c r="J969">
        <v>10456</v>
      </c>
      <c r="K969">
        <v>69.27</v>
      </c>
      <c r="L969">
        <v>61</v>
      </c>
      <c r="M969">
        <v>-48.85</v>
      </c>
    </row>
    <row r="970" spans="1:13" x14ac:dyDescent="0.3">
      <c r="A970" s="1">
        <v>45624</v>
      </c>
      <c r="B970">
        <v>937.25</v>
      </c>
      <c r="C970">
        <v>937.25</v>
      </c>
      <c r="D970">
        <v>905.3</v>
      </c>
      <c r="E970">
        <v>921.95</v>
      </c>
      <c r="F970">
        <v>919.843517534537</v>
      </c>
      <c r="G970">
        <v>3764</v>
      </c>
      <c r="H970">
        <v>315</v>
      </c>
      <c r="I970">
        <v>3462291</v>
      </c>
      <c r="J970">
        <v>1440</v>
      </c>
      <c r="K970">
        <v>38.26</v>
      </c>
      <c r="L970">
        <v>31.95</v>
      </c>
      <c r="M970">
        <v>-15.3</v>
      </c>
    </row>
    <row r="971" spans="1:13" x14ac:dyDescent="0.3">
      <c r="A971" s="1">
        <v>45625</v>
      </c>
      <c r="B971">
        <v>907.05</v>
      </c>
      <c r="C971">
        <v>932</v>
      </c>
      <c r="D971">
        <v>891.7</v>
      </c>
      <c r="E971">
        <v>922.55</v>
      </c>
      <c r="F971">
        <v>909.215036258694</v>
      </c>
      <c r="G971">
        <v>13514</v>
      </c>
      <c r="H971">
        <v>991</v>
      </c>
      <c r="I971">
        <v>12287132</v>
      </c>
      <c r="J971">
        <v>7594</v>
      </c>
      <c r="K971">
        <v>56.19</v>
      </c>
      <c r="L971">
        <v>40.299999999999997</v>
      </c>
      <c r="M971">
        <v>15.5</v>
      </c>
    </row>
    <row r="972" spans="1:13" x14ac:dyDescent="0.3">
      <c r="A972" s="1">
        <v>45628</v>
      </c>
      <c r="B972">
        <v>938.95</v>
      </c>
      <c r="C972">
        <v>938.95</v>
      </c>
      <c r="D972">
        <v>892</v>
      </c>
      <c r="E972">
        <v>894.15</v>
      </c>
      <c r="F972">
        <v>905.50959567728705</v>
      </c>
      <c r="G972">
        <v>5367</v>
      </c>
      <c r="H972">
        <v>465</v>
      </c>
      <c r="I972">
        <v>4859870</v>
      </c>
      <c r="J972">
        <v>2372</v>
      </c>
      <c r="K972">
        <v>44.2</v>
      </c>
      <c r="L972">
        <v>46.95</v>
      </c>
      <c r="M972">
        <v>-44.8</v>
      </c>
    </row>
    <row r="973" spans="1:13" x14ac:dyDescent="0.3">
      <c r="A973" s="1">
        <v>45629</v>
      </c>
      <c r="B973">
        <v>904.4</v>
      </c>
      <c r="C973">
        <v>962</v>
      </c>
      <c r="D973">
        <v>899.6</v>
      </c>
      <c r="E973">
        <v>930.8</v>
      </c>
      <c r="F973">
        <v>925.74095151377105</v>
      </c>
      <c r="G973">
        <v>13179</v>
      </c>
      <c r="H973">
        <v>566</v>
      </c>
      <c r="I973">
        <v>12200340</v>
      </c>
      <c r="J973">
        <v>6882</v>
      </c>
      <c r="K973">
        <v>52.22</v>
      </c>
      <c r="L973">
        <v>62.4</v>
      </c>
      <c r="M973">
        <v>26.4</v>
      </c>
    </row>
    <row r="974" spans="1:13" x14ac:dyDescent="0.3">
      <c r="A974" s="1">
        <v>45630</v>
      </c>
      <c r="B974">
        <v>912.35</v>
      </c>
      <c r="C974">
        <v>960</v>
      </c>
      <c r="D974">
        <v>912.35</v>
      </c>
      <c r="E974">
        <v>950.15</v>
      </c>
      <c r="F974">
        <v>942.13380952380896</v>
      </c>
      <c r="G974">
        <v>10500</v>
      </c>
      <c r="H974">
        <v>784</v>
      </c>
      <c r="I974">
        <v>9892405</v>
      </c>
      <c r="J974">
        <v>6454</v>
      </c>
      <c r="K974">
        <v>61.47</v>
      </c>
      <c r="L974">
        <v>47.65</v>
      </c>
      <c r="M974">
        <v>37.799999999999997</v>
      </c>
    </row>
    <row r="975" spans="1:13" x14ac:dyDescent="0.3">
      <c r="A975" s="1">
        <v>45631</v>
      </c>
      <c r="B975">
        <v>973.05</v>
      </c>
      <c r="C975">
        <v>1002</v>
      </c>
      <c r="D975">
        <v>952</v>
      </c>
      <c r="E975">
        <v>980.15</v>
      </c>
      <c r="F975">
        <v>977.52005402768896</v>
      </c>
      <c r="G975">
        <v>26653</v>
      </c>
      <c r="H975">
        <v>2232</v>
      </c>
      <c r="I975">
        <v>26053842</v>
      </c>
      <c r="J975">
        <v>13725</v>
      </c>
      <c r="K975">
        <v>51.5</v>
      </c>
      <c r="L975">
        <v>50</v>
      </c>
      <c r="M975">
        <v>7.1</v>
      </c>
    </row>
    <row r="976" spans="1:13" x14ac:dyDescent="0.3">
      <c r="A976" s="1">
        <v>45632</v>
      </c>
      <c r="B976">
        <v>998</v>
      </c>
      <c r="C976">
        <v>1001</v>
      </c>
      <c r="D976">
        <v>958.35</v>
      </c>
      <c r="E976">
        <v>965.15</v>
      </c>
      <c r="F976">
        <v>976.97530299565506</v>
      </c>
      <c r="G976">
        <v>17492</v>
      </c>
      <c r="H976">
        <v>1680</v>
      </c>
      <c r="I976">
        <v>17089252</v>
      </c>
      <c r="J976">
        <v>7599</v>
      </c>
      <c r="K976">
        <v>43.44</v>
      </c>
      <c r="L976">
        <v>42.65</v>
      </c>
      <c r="M976">
        <v>-32.85</v>
      </c>
    </row>
    <row r="977" spans="1:13" x14ac:dyDescent="0.3">
      <c r="A977" s="1">
        <v>45635</v>
      </c>
      <c r="B977">
        <v>1018.95</v>
      </c>
      <c r="C977">
        <v>1018.95</v>
      </c>
      <c r="D977">
        <v>920</v>
      </c>
      <c r="E977">
        <v>928.25</v>
      </c>
      <c r="F977">
        <v>944.65256495669496</v>
      </c>
      <c r="G977">
        <v>9006</v>
      </c>
      <c r="H977">
        <v>1207</v>
      </c>
      <c r="I977">
        <v>8507541</v>
      </c>
      <c r="J977">
        <v>2684</v>
      </c>
      <c r="K977">
        <v>29.8</v>
      </c>
      <c r="L977">
        <v>98.95</v>
      </c>
      <c r="M977">
        <v>-90.7</v>
      </c>
    </row>
    <row r="978" spans="1:13" x14ac:dyDescent="0.3">
      <c r="A978" s="1">
        <v>45636</v>
      </c>
      <c r="B978">
        <v>939.85</v>
      </c>
      <c r="C978">
        <v>942.55</v>
      </c>
      <c r="D978">
        <v>910.85</v>
      </c>
      <c r="E978">
        <v>928</v>
      </c>
      <c r="F978">
        <v>923.48275620846402</v>
      </c>
      <c r="G978">
        <v>14295</v>
      </c>
      <c r="H978">
        <v>1663</v>
      </c>
      <c r="I978">
        <v>13201186</v>
      </c>
      <c r="J978">
        <v>4445</v>
      </c>
      <c r="K978">
        <v>31.09</v>
      </c>
      <c r="L978">
        <v>31.7</v>
      </c>
      <c r="M978">
        <v>-11.85</v>
      </c>
    </row>
    <row r="979" spans="1:13" x14ac:dyDescent="0.3">
      <c r="A979" s="1">
        <v>45637</v>
      </c>
      <c r="B979">
        <v>942.85</v>
      </c>
      <c r="C979">
        <v>947.95</v>
      </c>
      <c r="D979">
        <v>916</v>
      </c>
      <c r="E979">
        <v>923.35</v>
      </c>
      <c r="F979">
        <v>930.36910788615103</v>
      </c>
      <c r="G979">
        <v>8889</v>
      </c>
      <c r="H979">
        <v>820</v>
      </c>
      <c r="I979">
        <v>8270051</v>
      </c>
      <c r="J979">
        <v>2563</v>
      </c>
      <c r="K979">
        <v>28.83</v>
      </c>
      <c r="L979">
        <v>31.95</v>
      </c>
      <c r="M979">
        <v>-19.5</v>
      </c>
    </row>
    <row r="980" spans="1:13" x14ac:dyDescent="0.3">
      <c r="A980" s="1">
        <v>45638</v>
      </c>
      <c r="B980">
        <v>926.7</v>
      </c>
      <c r="C980">
        <v>930</v>
      </c>
      <c r="D980">
        <v>901.9</v>
      </c>
      <c r="E980">
        <v>908</v>
      </c>
      <c r="F980">
        <v>914.23140852671304</v>
      </c>
      <c r="G980">
        <v>9265</v>
      </c>
      <c r="H980">
        <v>914</v>
      </c>
      <c r="I980">
        <v>8470354</v>
      </c>
      <c r="J980">
        <v>5068</v>
      </c>
      <c r="K980">
        <v>54.7</v>
      </c>
      <c r="L980">
        <v>28.1</v>
      </c>
      <c r="M980">
        <v>-18.7</v>
      </c>
    </row>
    <row r="981" spans="1:13" x14ac:dyDescent="0.3">
      <c r="A981" s="1">
        <v>45639</v>
      </c>
      <c r="B981">
        <v>929.95</v>
      </c>
      <c r="C981">
        <v>953</v>
      </c>
      <c r="D981">
        <v>901.85</v>
      </c>
      <c r="E981">
        <v>935.45</v>
      </c>
      <c r="F981">
        <v>930.082845819966</v>
      </c>
      <c r="G981">
        <v>10598</v>
      </c>
      <c r="H981">
        <v>1084</v>
      </c>
      <c r="I981">
        <v>9857018</v>
      </c>
      <c r="J981">
        <v>3334</v>
      </c>
      <c r="K981">
        <v>31.46</v>
      </c>
      <c r="L981">
        <v>51.15</v>
      </c>
      <c r="M981">
        <v>5.5</v>
      </c>
    </row>
    <row r="982" spans="1:13" x14ac:dyDescent="0.3">
      <c r="A982" s="1">
        <v>45642</v>
      </c>
      <c r="B982">
        <v>935.15</v>
      </c>
      <c r="C982">
        <v>1092.8499999999999</v>
      </c>
      <c r="D982">
        <v>935.15</v>
      </c>
      <c r="E982">
        <v>1053.2</v>
      </c>
      <c r="F982">
        <v>1037.3445453209199</v>
      </c>
      <c r="G982">
        <v>88447</v>
      </c>
      <c r="H982">
        <v>6989</v>
      </c>
      <c r="I982">
        <v>91750013</v>
      </c>
      <c r="J982">
        <v>31646</v>
      </c>
      <c r="K982">
        <v>35.78</v>
      </c>
      <c r="L982">
        <v>157.69999999999999</v>
      </c>
      <c r="M982">
        <v>118.05</v>
      </c>
    </row>
    <row r="983" spans="1:13" x14ac:dyDescent="0.3">
      <c r="A983" s="1">
        <v>45643</v>
      </c>
      <c r="B983">
        <v>1049.95</v>
      </c>
      <c r="C983">
        <v>1090.8</v>
      </c>
      <c r="D983">
        <v>1041.55</v>
      </c>
      <c r="E983">
        <v>1063.05</v>
      </c>
      <c r="F983">
        <v>1063.8168342864601</v>
      </c>
      <c r="G983">
        <v>30426</v>
      </c>
      <c r="H983">
        <v>3127</v>
      </c>
      <c r="I983">
        <v>32367691</v>
      </c>
      <c r="J983">
        <v>9341</v>
      </c>
      <c r="K983">
        <v>30.7</v>
      </c>
      <c r="L983">
        <v>49.25</v>
      </c>
      <c r="M983">
        <v>13.1</v>
      </c>
    </row>
    <row r="984" spans="1:13" x14ac:dyDescent="0.3">
      <c r="A984" s="1">
        <v>45644</v>
      </c>
      <c r="B984">
        <v>1069.95</v>
      </c>
      <c r="C984">
        <v>1069.95</v>
      </c>
      <c r="D984">
        <v>995.05</v>
      </c>
      <c r="E984">
        <v>1017.8</v>
      </c>
      <c r="F984">
        <v>1015.78743389924</v>
      </c>
      <c r="G984">
        <v>28744</v>
      </c>
      <c r="H984">
        <v>2530</v>
      </c>
      <c r="I984">
        <v>29197794</v>
      </c>
      <c r="J984">
        <v>12229</v>
      </c>
      <c r="K984">
        <v>42.54</v>
      </c>
      <c r="L984">
        <v>74.900000000000006</v>
      </c>
      <c r="M984">
        <v>-52.15</v>
      </c>
    </row>
    <row r="985" spans="1:13" x14ac:dyDescent="0.3">
      <c r="A985" s="1">
        <v>45645</v>
      </c>
      <c r="B985">
        <v>967.1</v>
      </c>
      <c r="C985">
        <v>1059</v>
      </c>
      <c r="D985">
        <v>967.1</v>
      </c>
      <c r="E985">
        <v>1045.45</v>
      </c>
      <c r="F985">
        <v>1032.7115137281201</v>
      </c>
      <c r="G985">
        <v>17883</v>
      </c>
      <c r="H985">
        <v>1644</v>
      </c>
      <c r="I985">
        <v>18467980</v>
      </c>
      <c r="J985">
        <v>4992</v>
      </c>
      <c r="K985">
        <v>27.91</v>
      </c>
      <c r="L985">
        <v>91.9</v>
      </c>
      <c r="M985">
        <v>78.349999999999994</v>
      </c>
    </row>
    <row r="986" spans="1:13" x14ac:dyDescent="0.3">
      <c r="A986" s="1">
        <v>45646</v>
      </c>
      <c r="B986">
        <v>1051</v>
      </c>
      <c r="C986">
        <v>1056.55</v>
      </c>
      <c r="D986">
        <v>984.35</v>
      </c>
      <c r="E986">
        <v>991.45</v>
      </c>
      <c r="F986">
        <v>1009.22472783825</v>
      </c>
      <c r="G986">
        <v>6430</v>
      </c>
      <c r="H986">
        <v>787</v>
      </c>
      <c r="I986">
        <v>6489315</v>
      </c>
      <c r="J986">
        <v>2731</v>
      </c>
      <c r="K986">
        <v>42.47</v>
      </c>
      <c r="L986">
        <v>72.2</v>
      </c>
      <c r="M986">
        <v>-59.55</v>
      </c>
    </row>
    <row r="987" spans="1:13" x14ac:dyDescent="0.3">
      <c r="A987" s="1">
        <v>45649</v>
      </c>
      <c r="B987">
        <v>994.15</v>
      </c>
      <c r="C987">
        <v>1009.6</v>
      </c>
      <c r="D987">
        <v>964.05</v>
      </c>
      <c r="E987">
        <v>969.65</v>
      </c>
      <c r="F987">
        <v>984.26661235889605</v>
      </c>
      <c r="G987">
        <v>8593</v>
      </c>
      <c r="H987">
        <v>920</v>
      </c>
      <c r="I987">
        <v>8457803</v>
      </c>
      <c r="J987">
        <v>2509</v>
      </c>
      <c r="K987">
        <v>29.2</v>
      </c>
      <c r="L987">
        <v>45.55</v>
      </c>
      <c r="M987">
        <v>-24.5</v>
      </c>
    </row>
    <row r="988" spans="1:13" x14ac:dyDescent="0.3">
      <c r="A988" s="1">
        <v>45650</v>
      </c>
      <c r="B988">
        <v>979.6</v>
      </c>
      <c r="C988">
        <v>1029</v>
      </c>
      <c r="D988">
        <v>964.95</v>
      </c>
      <c r="E988">
        <v>1016.05</v>
      </c>
      <c r="F988">
        <v>1001.00737257633</v>
      </c>
      <c r="G988">
        <v>17226</v>
      </c>
      <c r="H988">
        <v>1379</v>
      </c>
      <c r="I988">
        <v>17243353</v>
      </c>
      <c r="J988">
        <v>6413</v>
      </c>
      <c r="K988">
        <v>37.229999999999997</v>
      </c>
      <c r="L988">
        <v>64.05</v>
      </c>
      <c r="M988">
        <v>36.450000000000003</v>
      </c>
    </row>
    <row r="989" spans="1:13" x14ac:dyDescent="0.3">
      <c r="A989" s="1">
        <v>45652</v>
      </c>
      <c r="B989">
        <v>1010</v>
      </c>
      <c r="C989">
        <v>1054</v>
      </c>
      <c r="D989">
        <v>983</v>
      </c>
      <c r="E989">
        <v>991.1</v>
      </c>
      <c r="F989">
        <v>1004.56448698539</v>
      </c>
      <c r="G989">
        <v>20477</v>
      </c>
      <c r="H989">
        <v>2111</v>
      </c>
      <c r="I989">
        <v>20570467</v>
      </c>
      <c r="J989">
        <v>7853</v>
      </c>
      <c r="K989">
        <v>38.35</v>
      </c>
      <c r="L989">
        <v>71</v>
      </c>
      <c r="M989">
        <v>-18.899999999999999</v>
      </c>
    </row>
    <row r="990" spans="1:13" x14ac:dyDescent="0.3">
      <c r="A990" s="1">
        <v>45653</v>
      </c>
      <c r="B990">
        <v>983.05</v>
      </c>
      <c r="C990">
        <v>1005.1</v>
      </c>
      <c r="D990">
        <v>967.95</v>
      </c>
      <c r="E990">
        <v>975.2</v>
      </c>
      <c r="F990">
        <v>986.99610412608399</v>
      </c>
      <c r="G990">
        <v>5647</v>
      </c>
      <c r="H990">
        <v>543</v>
      </c>
      <c r="I990">
        <v>5573567</v>
      </c>
      <c r="J990">
        <v>2300</v>
      </c>
      <c r="K990">
        <v>40.729999999999997</v>
      </c>
      <c r="L990">
        <v>37.15</v>
      </c>
      <c r="M990">
        <v>-7.85</v>
      </c>
    </row>
    <row r="991" spans="1:13" x14ac:dyDescent="0.3">
      <c r="A991" s="1">
        <v>45656</v>
      </c>
      <c r="B991">
        <v>956.7</v>
      </c>
      <c r="C991">
        <v>1019.35</v>
      </c>
      <c r="D991">
        <v>952.25</v>
      </c>
      <c r="E991">
        <v>965.05</v>
      </c>
      <c r="F991">
        <v>982.25356745513398</v>
      </c>
      <c r="G991">
        <v>20673</v>
      </c>
      <c r="H991">
        <v>2032</v>
      </c>
      <c r="I991">
        <v>20306128</v>
      </c>
      <c r="J991">
        <v>6730</v>
      </c>
      <c r="K991">
        <v>32.549999999999997</v>
      </c>
      <c r="L991">
        <v>67.099999999999994</v>
      </c>
      <c r="M991">
        <v>8.35</v>
      </c>
    </row>
    <row r="992" spans="1:13" x14ac:dyDescent="0.3">
      <c r="A992" s="1">
        <v>45657</v>
      </c>
      <c r="B992">
        <v>987.4</v>
      </c>
      <c r="C992">
        <v>987.4</v>
      </c>
      <c r="D992">
        <v>948.1</v>
      </c>
      <c r="E992">
        <v>964.55</v>
      </c>
      <c r="F992">
        <v>957.99103848181301</v>
      </c>
      <c r="G992">
        <v>3794</v>
      </c>
      <c r="H992">
        <v>507</v>
      </c>
      <c r="I992">
        <v>3634618</v>
      </c>
      <c r="J992">
        <v>1451</v>
      </c>
      <c r="K992">
        <v>38.24</v>
      </c>
      <c r="L992">
        <v>39.299999999999997</v>
      </c>
      <c r="M992">
        <v>-22.85</v>
      </c>
    </row>
    <row r="993" spans="1:13" x14ac:dyDescent="0.3">
      <c r="A993" s="1">
        <v>45658</v>
      </c>
      <c r="B993">
        <v>964.6</v>
      </c>
      <c r="C993">
        <v>990</v>
      </c>
      <c r="D993">
        <v>951.05</v>
      </c>
      <c r="E993">
        <v>974.1</v>
      </c>
      <c r="F993">
        <v>963.73451554870201</v>
      </c>
      <c r="G993">
        <v>7782</v>
      </c>
      <c r="H993">
        <v>882</v>
      </c>
      <c r="I993">
        <v>7499782</v>
      </c>
      <c r="J993">
        <v>4134</v>
      </c>
      <c r="K993">
        <v>53.12</v>
      </c>
      <c r="L993">
        <v>38.950000000000003</v>
      </c>
      <c r="M993">
        <v>9.5</v>
      </c>
    </row>
    <row r="994" spans="1:13" x14ac:dyDescent="0.3">
      <c r="A994" s="1">
        <v>45659</v>
      </c>
      <c r="B994">
        <v>1009.95</v>
      </c>
      <c r="C994">
        <v>1057.75</v>
      </c>
      <c r="D994">
        <v>993.6</v>
      </c>
      <c r="E994">
        <v>1047.0999999999999</v>
      </c>
      <c r="F994">
        <v>1036.82492276004</v>
      </c>
      <c r="G994">
        <v>11652</v>
      </c>
      <c r="H994">
        <v>1209</v>
      </c>
      <c r="I994">
        <v>12081084</v>
      </c>
      <c r="J994">
        <v>5038</v>
      </c>
      <c r="K994">
        <v>43.24</v>
      </c>
      <c r="L994">
        <v>64.150000000000006</v>
      </c>
      <c r="M994">
        <v>37.15</v>
      </c>
    </row>
    <row r="995" spans="1:13" x14ac:dyDescent="0.3">
      <c r="A995" s="1">
        <v>45660</v>
      </c>
      <c r="B995">
        <v>1046.8499999999999</v>
      </c>
      <c r="C995">
        <v>1061.55</v>
      </c>
      <c r="D995">
        <v>1025.0999999999999</v>
      </c>
      <c r="E995">
        <v>1040.2</v>
      </c>
      <c r="F995">
        <v>1040.52079712663</v>
      </c>
      <c r="G995">
        <v>8631</v>
      </c>
      <c r="H995">
        <v>1169</v>
      </c>
      <c r="I995">
        <v>8980735</v>
      </c>
      <c r="J995">
        <v>4458</v>
      </c>
      <c r="K995">
        <v>51.65</v>
      </c>
      <c r="L995">
        <v>36.450000000000003</v>
      </c>
      <c r="M995">
        <v>-6.65</v>
      </c>
    </row>
    <row r="996" spans="1:13" x14ac:dyDescent="0.3">
      <c r="A996" s="1">
        <v>45663</v>
      </c>
      <c r="B996">
        <v>1019.4</v>
      </c>
      <c r="C996">
        <v>1046.75</v>
      </c>
      <c r="D996">
        <v>976.65</v>
      </c>
      <c r="E996">
        <v>997</v>
      </c>
      <c r="F996">
        <v>999.80334606292001</v>
      </c>
      <c r="G996">
        <v>27495</v>
      </c>
      <c r="H996">
        <v>2372</v>
      </c>
      <c r="I996">
        <v>27489593</v>
      </c>
      <c r="J996">
        <v>14564</v>
      </c>
      <c r="K996">
        <v>52.97</v>
      </c>
      <c r="L996">
        <v>70.099999999999994</v>
      </c>
      <c r="M996">
        <v>-22.4</v>
      </c>
    </row>
    <row r="997" spans="1:13" x14ac:dyDescent="0.3">
      <c r="A997" s="1">
        <v>45664</v>
      </c>
      <c r="B997">
        <v>1035.95</v>
      </c>
      <c r="C997">
        <v>1047.95</v>
      </c>
      <c r="D997">
        <v>996.85</v>
      </c>
      <c r="E997">
        <v>1033.5</v>
      </c>
      <c r="F997">
        <v>1023.4290685621201</v>
      </c>
      <c r="G997">
        <v>13506</v>
      </c>
      <c r="H997">
        <v>1708</v>
      </c>
      <c r="I997">
        <v>13822433</v>
      </c>
      <c r="J997">
        <v>6189</v>
      </c>
      <c r="K997">
        <v>45.82</v>
      </c>
      <c r="L997">
        <v>51.1</v>
      </c>
      <c r="M997">
        <v>-2.4500000000000002</v>
      </c>
    </row>
    <row r="998" spans="1:13" x14ac:dyDescent="0.3">
      <c r="A998" s="1">
        <v>45665</v>
      </c>
      <c r="B998">
        <v>1017.2</v>
      </c>
      <c r="C998">
        <v>1088.3499999999999</v>
      </c>
      <c r="D998">
        <v>989.3</v>
      </c>
      <c r="E998">
        <v>998.8</v>
      </c>
      <c r="F998">
        <v>1016.99760642844</v>
      </c>
      <c r="G998">
        <v>17547</v>
      </c>
      <c r="H998">
        <v>1698</v>
      </c>
      <c r="I998">
        <v>17845257</v>
      </c>
      <c r="J998">
        <v>5093</v>
      </c>
      <c r="K998">
        <v>29.02</v>
      </c>
      <c r="L998">
        <v>99.05</v>
      </c>
      <c r="M998">
        <v>-18.399999999999999</v>
      </c>
    </row>
    <row r="999" spans="1:13" x14ac:dyDescent="0.3">
      <c r="A999" s="1">
        <v>45666</v>
      </c>
      <c r="B999">
        <v>1049.4000000000001</v>
      </c>
      <c r="C999">
        <v>1049.4000000000001</v>
      </c>
      <c r="D999">
        <v>959.5</v>
      </c>
      <c r="E999">
        <v>966.05</v>
      </c>
      <c r="F999">
        <v>980.01595814257598</v>
      </c>
      <c r="G999">
        <v>7645</v>
      </c>
      <c r="H999">
        <v>858</v>
      </c>
      <c r="I999">
        <v>7492222</v>
      </c>
      <c r="J999">
        <v>3300</v>
      </c>
      <c r="K999">
        <v>43.17</v>
      </c>
      <c r="L999">
        <v>89.9</v>
      </c>
      <c r="M999">
        <v>-83.35</v>
      </c>
    </row>
    <row r="1000" spans="1:13" x14ac:dyDescent="0.3">
      <c r="A1000" s="1">
        <v>45667</v>
      </c>
      <c r="B1000">
        <v>961.8</v>
      </c>
      <c r="C1000">
        <v>970.3</v>
      </c>
      <c r="D1000">
        <v>915</v>
      </c>
      <c r="E1000">
        <v>946.05</v>
      </c>
      <c r="F1000">
        <v>936.31434153966302</v>
      </c>
      <c r="G1000">
        <v>12795</v>
      </c>
      <c r="H1000">
        <v>1152</v>
      </c>
      <c r="I1000">
        <v>11980142</v>
      </c>
      <c r="J1000">
        <v>4066</v>
      </c>
      <c r="K1000">
        <v>31.78</v>
      </c>
      <c r="L1000">
        <v>55.3</v>
      </c>
      <c r="M1000">
        <v>-15.75</v>
      </c>
    </row>
    <row r="1001" spans="1:13" x14ac:dyDescent="0.3">
      <c r="A1001" s="1">
        <v>45670</v>
      </c>
      <c r="B1001">
        <v>935</v>
      </c>
      <c r="C1001">
        <v>935.95</v>
      </c>
      <c r="D1001">
        <v>883.05</v>
      </c>
      <c r="E1001">
        <v>890.75</v>
      </c>
      <c r="F1001">
        <v>905.481477861401</v>
      </c>
      <c r="G1001">
        <v>20462</v>
      </c>
      <c r="H1001">
        <v>2476</v>
      </c>
      <c r="I1001">
        <v>18527962</v>
      </c>
      <c r="J1001">
        <v>9339</v>
      </c>
      <c r="K1001">
        <v>45.64</v>
      </c>
      <c r="L1001">
        <v>52.9</v>
      </c>
      <c r="M1001">
        <v>-44.25</v>
      </c>
    </row>
    <row r="1002" spans="1:13" x14ac:dyDescent="0.3">
      <c r="A1002" s="1">
        <v>45671</v>
      </c>
      <c r="B1002">
        <v>890.75</v>
      </c>
      <c r="C1002">
        <v>920.85</v>
      </c>
      <c r="D1002">
        <v>876</v>
      </c>
      <c r="E1002">
        <v>880.15</v>
      </c>
      <c r="F1002">
        <v>895.94890058841702</v>
      </c>
      <c r="G1002">
        <v>6458</v>
      </c>
      <c r="H1002">
        <v>854</v>
      </c>
      <c r="I1002">
        <v>5786038</v>
      </c>
      <c r="J1002">
        <v>2423</v>
      </c>
      <c r="K1002">
        <v>37.520000000000003</v>
      </c>
      <c r="L1002">
        <v>44.85</v>
      </c>
      <c r="M1002">
        <v>-10.6</v>
      </c>
    </row>
    <row r="1003" spans="1:13" x14ac:dyDescent="0.3">
      <c r="A1003" s="1">
        <v>45672</v>
      </c>
      <c r="B1003">
        <v>880</v>
      </c>
      <c r="C1003">
        <v>923.85</v>
      </c>
      <c r="D1003">
        <v>860.85</v>
      </c>
      <c r="E1003">
        <v>901.1</v>
      </c>
      <c r="F1003">
        <v>891.19394760614205</v>
      </c>
      <c r="G1003">
        <v>11070</v>
      </c>
      <c r="H1003">
        <v>1449</v>
      </c>
      <c r="I1003">
        <v>9865517</v>
      </c>
      <c r="J1003">
        <v>4164</v>
      </c>
      <c r="K1003">
        <v>37.619999999999997</v>
      </c>
      <c r="L1003">
        <v>63</v>
      </c>
      <c r="M1003">
        <v>21.1</v>
      </c>
    </row>
    <row r="1004" spans="1:13" x14ac:dyDescent="0.3">
      <c r="A1004" s="1">
        <v>45673</v>
      </c>
      <c r="B1004">
        <v>918.95</v>
      </c>
      <c r="C1004">
        <v>923.95</v>
      </c>
      <c r="D1004">
        <v>904.15</v>
      </c>
      <c r="E1004">
        <v>908.65</v>
      </c>
      <c r="F1004">
        <v>913.25186596792105</v>
      </c>
      <c r="G1004">
        <v>6297</v>
      </c>
      <c r="H1004">
        <v>891</v>
      </c>
      <c r="I1004">
        <v>5750747</v>
      </c>
      <c r="J1004">
        <v>2060</v>
      </c>
      <c r="K1004">
        <v>32.71</v>
      </c>
      <c r="L1004">
        <v>19.8</v>
      </c>
      <c r="M1004">
        <v>-10.3</v>
      </c>
    </row>
    <row r="1005" spans="1:13" x14ac:dyDescent="0.3">
      <c r="A1005" s="1">
        <v>45674</v>
      </c>
      <c r="B1005">
        <v>922.95</v>
      </c>
      <c r="C1005">
        <v>922.95</v>
      </c>
      <c r="D1005">
        <v>875</v>
      </c>
      <c r="E1005">
        <v>881.95</v>
      </c>
      <c r="F1005">
        <v>887.338902147971</v>
      </c>
      <c r="G1005">
        <v>2933</v>
      </c>
      <c r="H1005">
        <v>500</v>
      </c>
      <c r="I1005">
        <v>2602565</v>
      </c>
      <c r="J1005">
        <v>1102</v>
      </c>
      <c r="K1005">
        <v>37.57</v>
      </c>
      <c r="L1005">
        <v>47.95</v>
      </c>
      <c r="M1005">
        <v>-41</v>
      </c>
    </row>
    <row r="1006" spans="1:13" x14ac:dyDescent="0.3">
      <c r="A1006" s="1">
        <v>45677</v>
      </c>
      <c r="B1006">
        <v>882</v>
      </c>
      <c r="C1006">
        <v>896.35</v>
      </c>
      <c r="D1006">
        <v>876.65</v>
      </c>
      <c r="E1006">
        <v>884.85</v>
      </c>
      <c r="F1006">
        <v>885.98007607317504</v>
      </c>
      <c r="G1006">
        <v>5521</v>
      </c>
      <c r="H1006">
        <v>577</v>
      </c>
      <c r="I1006">
        <v>4891496</v>
      </c>
      <c r="J1006">
        <v>2804</v>
      </c>
      <c r="K1006">
        <v>50.79</v>
      </c>
      <c r="L1006">
        <v>19.7</v>
      </c>
      <c r="M1006">
        <v>2.85</v>
      </c>
    </row>
    <row r="1007" spans="1:13" x14ac:dyDescent="0.3">
      <c r="A1007" s="1">
        <v>45678</v>
      </c>
      <c r="B1007">
        <v>885.05</v>
      </c>
      <c r="C1007">
        <v>896.95</v>
      </c>
      <c r="D1007">
        <v>841.35</v>
      </c>
      <c r="E1007">
        <v>852.35</v>
      </c>
      <c r="F1007">
        <v>864.79854368932001</v>
      </c>
      <c r="G1007">
        <v>8240</v>
      </c>
      <c r="H1007">
        <v>1145</v>
      </c>
      <c r="I1007">
        <v>7125940</v>
      </c>
      <c r="J1007">
        <v>4164</v>
      </c>
      <c r="K1007">
        <v>50.53</v>
      </c>
      <c r="L1007">
        <v>55.6</v>
      </c>
      <c r="M1007">
        <v>-32.700000000000003</v>
      </c>
    </row>
    <row r="1008" spans="1:13" x14ac:dyDescent="0.3">
      <c r="A1008" s="1">
        <v>45679</v>
      </c>
      <c r="B1008">
        <v>841.2</v>
      </c>
      <c r="C1008">
        <v>900</v>
      </c>
      <c r="D1008">
        <v>821.65</v>
      </c>
      <c r="E1008">
        <v>869.65</v>
      </c>
      <c r="F1008">
        <v>842.37491279475296</v>
      </c>
      <c r="G1008">
        <v>14334</v>
      </c>
      <c r="H1008">
        <v>1503</v>
      </c>
      <c r="I1008">
        <v>12074602</v>
      </c>
      <c r="J1008">
        <v>7611</v>
      </c>
      <c r="K1008">
        <v>53.1</v>
      </c>
      <c r="L1008">
        <v>78.349999999999994</v>
      </c>
      <c r="M1008">
        <v>28.45</v>
      </c>
    </row>
    <row r="1009" spans="1:13" x14ac:dyDescent="0.3">
      <c r="A1009" s="1">
        <v>45680</v>
      </c>
      <c r="B1009">
        <v>840.05</v>
      </c>
      <c r="C1009">
        <v>917</v>
      </c>
      <c r="D1009">
        <v>840.05</v>
      </c>
      <c r="E1009">
        <v>886.85</v>
      </c>
      <c r="F1009">
        <v>891.84988284721601</v>
      </c>
      <c r="G1009">
        <v>12377</v>
      </c>
      <c r="H1009">
        <v>1629</v>
      </c>
      <c r="I1009">
        <v>11038426</v>
      </c>
      <c r="J1009">
        <v>4879</v>
      </c>
      <c r="K1009">
        <v>39.42</v>
      </c>
      <c r="L1009">
        <v>76.95</v>
      </c>
      <c r="M1009">
        <v>46.8</v>
      </c>
    </row>
    <row r="1010" spans="1:13" x14ac:dyDescent="0.3">
      <c r="A1010" s="1">
        <v>45681</v>
      </c>
      <c r="B1010">
        <v>916</v>
      </c>
      <c r="C1010">
        <v>916</v>
      </c>
      <c r="D1010">
        <v>849.75</v>
      </c>
      <c r="E1010">
        <v>851.9</v>
      </c>
      <c r="F1010">
        <v>870.26047283284902</v>
      </c>
      <c r="G1010">
        <v>4822</v>
      </c>
      <c r="H1010">
        <v>726</v>
      </c>
      <c r="I1010">
        <v>4196396</v>
      </c>
      <c r="J1010">
        <v>1761</v>
      </c>
      <c r="K1010">
        <v>36.520000000000003</v>
      </c>
      <c r="L1010">
        <v>66.25</v>
      </c>
      <c r="M1010">
        <v>-64.099999999999994</v>
      </c>
    </row>
    <row r="1011" spans="1:13" x14ac:dyDescent="0.3">
      <c r="A1011" s="1">
        <v>45684</v>
      </c>
      <c r="B1011">
        <v>856</v>
      </c>
      <c r="C1011">
        <v>868.15</v>
      </c>
      <c r="D1011">
        <v>823.4</v>
      </c>
      <c r="E1011">
        <v>844.35</v>
      </c>
      <c r="F1011">
        <v>842.07381694531</v>
      </c>
      <c r="G1011">
        <v>7058</v>
      </c>
      <c r="H1011">
        <v>743</v>
      </c>
      <c r="I1011">
        <v>5943357</v>
      </c>
      <c r="J1011">
        <v>2127</v>
      </c>
      <c r="K1011">
        <v>30.14</v>
      </c>
      <c r="L1011">
        <v>44.75</v>
      </c>
      <c r="M1011">
        <v>-11.65</v>
      </c>
    </row>
    <row r="1012" spans="1:13" x14ac:dyDescent="0.3">
      <c r="A1012" s="1">
        <v>45685</v>
      </c>
      <c r="B1012">
        <v>820.05</v>
      </c>
      <c r="C1012">
        <v>873.55</v>
      </c>
      <c r="D1012">
        <v>770.45</v>
      </c>
      <c r="E1012">
        <v>861.2</v>
      </c>
      <c r="F1012">
        <v>822.17288038002005</v>
      </c>
      <c r="G1012">
        <v>13894</v>
      </c>
      <c r="H1012">
        <v>1288</v>
      </c>
      <c r="I1012">
        <v>11423270</v>
      </c>
      <c r="J1012">
        <v>5116</v>
      </c>
      <c r="K1012">
        <v>36.82</v>
      </c>
      <c r="L1012">
        <v>103.1</v>
      </c>
      <c r="M1012">
        <v>41.15</v>
      </c>
    </row>
    <row r="1013" spans="1:13" x14ac:dyDescent="0.3">
      <c r="A1013" s="1">
        <v>45686</v>
      </c>
      <c r="B1013">
        <v>907.55</v>
      </c>
      <c r="C1013">
        <v>907.55</v>
      </c>
      <c r="D1013">
        <v>806</v>
      </c>
      <c r="E1013">
        <v>818.45</v>
      </c>
      <c r="F1013">
        <v>835.94570871261305</v>
      </c>
      <c r="G1013">
        <v>27684</v>
      </c>
      <c r="H1013">
        <v>2810</v>
      </c>
      <c r="I1013">
        <v>23142321</v>
      </c>
      <c r="J1013">
        <v>12057</v>
      </c>
      <c r="K1013">
        <v>43.55</v>
      </c>
      <c r="L1013">
        <v>101.55</v>
      </c>
      <c r="M1013">
        <v>-89.1</v>
      </c>
    </row>
    <row r="1014" spans="1:13" x14ac:dyDescent="0.3">
      <c r="A1014" s="1">
        <v>45687</v>
      </c>
      <c r="B1014">
        <v>820.05</v>
      </c>
      <c r="C1014">
        <v>865</v>
      </c>
      <c r="D1014">
        <v>815.05</v>
      </c>
      <c r="E1014">
        <v>825.95</v>
      </c>
      <c r="F1014">
        <v>844.92096511710099</v>
      </c>
      <c r="G1014">
        <v>14133</v>
      </c>
      <c r="H1014">
        <v>1276</v>
      </c>
      <c r="I1014">
        <v>11941268</v>
      </c>
      <c r="J1014">
        <v>4653</v>
      </c>
      <c r="K1014">
        <v>32.92</v>
      </c>
      <c r="L1014">
        <v>49.95</v>
      </c>
      <c r="M1014">
        <v>5.9</v>
      </c>
    </row>
    <row r="1015" spans="1:13" x14ac:dyDescent="0.3">
      <c r="A1015" s="1">
        <v>45688</v>
      </c>
      <c r="B1015">
        <v>825.95</v>
      </c>
      <c r="C1015">
        <v>858</v>
      </c>
      <c r="D1015">
        <v>825.95</v>
      </c>
      <c r="E1015">
        <v>845.15</v>
      </c>
      <c r="F1015">
        <v>845.97959391898701</v>
      </c>
      <c r="G1015">
        <v>9801</v>
      </c>
      <c r="H1015">
        <v>819</v>
      </c>
      <c r="I1015">
        <v>8291446</v>
      </c>
      <c r="J1015">
        <v>3667</v>
      </c>
      <c r="K1015">
        <v>37.409999999999997</v>
      </c>
      <c r="L1015">
        <v>32.049999999999997</v>
      </c>
      <c r="M1015">
        <v>19.2</v>
      </c>
    </row>
    <row r="1016" spans="1:13" x14ac:dyDescent="0.3">
      <c r="A1016" s="1">
        <v>45689</v>
      </c>
      <c r="B1016">
        <v>854.65</v>
      </c>
      <c r="C1016">
        <v>854.65</v>
      </c>
      <c r="D1016">
        <v>765.2</v>
      </c>
      <c r="E1016">
        <v>791.45</v>
      </c>
      <c r="F1016">
        <v>794.79719473532498</v>
      </c>
      <c r="G1016">
        <v>10409</v>
      </c>
      <c r="H1016">
        <v>1167</v>
      </c>
      <c r="I1016">
        <v>8273044</v>
      </c>
      <c r="J1016">
        <v>4707</v>
      </c>
      <c r="K1016">
        <v>45.22</v>
      </c>
      <c r="L1016">
        <v>89.45</v>
      </c>
      <c r="M1016">
        <v>-63.2</v>
      </c>
    </row>
    <row r="1017" spans="1:13" x14ac:dyDescent="0.3">
      <c r="A1017" s="1">
        <v>45691</v>
      </c>
      <c r="B1017">
        <v>786.95</v>
      </c>
      <c r="C1017">
        <v>787</v>
      </c>
      <c r="D1017">
        <v>727.15</v>
      </c>
      <c r="E1017">
        <v>734.75</v>
      </c>
      <c r="F1017">
        <v>747.91234546703197</v>
      </c>
      <c r="G1017">
        <v>11648</v>
      </c>
      <c r="H1017">
        <v>1413</v>
      </c>
      <c r="I1017">
        <v>8711683</v>
      </c>
      <c r="J1017">
        <v>4238</v>
      </c>
      <c r="K1017">
        <v>36.380000000000003</v>
      </c>
      <c r="L1017">
        <v>59.85</v>
      </c>
      <c r="M1017">
        <v>-52.2</v>
      </c>
    </row>
    <row r="1018" spans="1:13" x14ac:dyDescent="0.3">
      <c r="A1018" s="1">
        <v>45692</v>
      </c>
      <c r="B1018">
        <v>758.4</v>
      </c>
      <c r="C1018">
        <v>775.2</v>
      </c>
      <c r="D1018">
        <v>745.05</v>
      </c>
      <c r="E1018">
        <v>752.85</v>
      </c>
      <c r="F1018">
        <v>757.914187062049</v>
      </c>
      <c r="G1018">
        <v>9847</v>
      </c>
      <c r="H1018">
        <v>819</v>
      </c>
      <c r="I1018">
        <v>7463181</v>
      </c>
      <c r="J1018">
        <v>1777</v>
      </c>
      <c r="K1018">
        <v>18.05</v>
      </c>
      <c r="L1018">
        <v>30.15</v>
      </c>
      <c r="M1018">
        <v>-5.55</v>
      </c>
    </row>
    <row r="1019" spans="1:13" x14ac:dyDescent="0.3">
      <c r="A1019" s="1">
        <v>45693</v>
      </c>
      <c r="B1019">
        <v>897.95</v>
      </c>
      <c r="C1019">
        <v>897.95</v>
      </c>
      <c r="D1019">
        <v>754</v>
      </c>
      <c r="E1019">
        <v>757.5</v>
      </c>
      <c r="F1019">
        <v>770.751475940153</v>
      </c>
      <c r="G1019">
        <v>12365</v>
      </c>
      <c r="H1019">
        <v>1240</v>
      </c>
      <c r="I1019">
        <v>9530342</v>
      </c>
      <c r="J1019">
        <v>4906</v>
      </c>
      <c r="K1019">
        <v>39.68</v>
      </c>
      <c r="L1019">
        <v>143.94999999999999</v>
      </c>
      <c r="M1019">
        <v>-140.44999999999999</v>
      </c>
    </row>
    <row r="1020" spans="1:13" x14ac:dyDescent="0.3">
      <c r="A1020" s="1">
        <v>45694</v>
      </c>
      <c r="B1020">
        <v>768.7</v>
      </c>
      <c r="C1020">
        <v>773.15</v>
      </c>
      <c r="D1020">
        <v>741.65</v>
      </c>
      <c r="E1020">
        <v>746.05</v>
      </c>
      <c r="F1020">
        <v>759.05213596692602</v>
      </c>
      <c r="G1020">
        <v>4354</v>
      </c>
      <c r="H1020">
        <v>512</v>
      </c>
      <c r="I1020">
        <v>3304913</v>
      </c>
      <c r="J1020">
        <v>2012</v>
      </c>
      <c r="K1020">
        <v>46.21</v>
      </c>
      <c r="L1020">
        <v>31.5</v>
      </c>
      <c r="M1020">
        <v>-22.65</v>
      </c>
    </row>
    <row r="1021" spans="1:13" x14ac:dyDescent="0.3">
      <c r="A1021" s="1">
        <v>45695</v>
      </c>
      <c r="B1021">
        <v>761</v>
      </c>
      <c r="C1021">
        <v>782.35</v>
      </c>
      <c r="D1021">
        <v>745</v>
      </c>
      <c r="E1021">
        <v>773.65</v>
      </c>
      <c r="F1021">
        <v>763.70928175492304</v>
      </c>
      <c r="G1021">
        <v>8479</v>
      </c>
      <c r="H1021">
        <v>875</v>
      </c>
      <c r="I1021">
        <v>6475491</v>
      </c>
      <c r="J1021">
        <v>2637</v>
      </c>
      <c r="K1021">
        <v>31.1</v>
      </c>
      <c r="L1021">
        <v>37.35</v>
      </c>
      <c r="M1021">
        <v>12.65</v>
      </c>
    </row>
    <row r="1022" spans="1:13" x14ac:dyDescent="0.3">
      <c r="A1022" s="1">
        <v>45698</v>
      </c>
      <c r="B1022">
        <v>789.15</v>
      </c>
      <c r="C1022">
        <v>789.15</v>
      </c>
      <c r="D1022">
        <v>728.15</v>
      </c>
      <c r="E1022">
        <v>736</v>
      </c>
      <c r="F1022">
        <v>748.47019701342697</v>
      </c>
      <c r="G1022">
        <v>15938</v>
      </c>
      <c r="H1022">
        <v>1596</v>
      </c>
      <c r="I1022">
        <v>11929118</v>
      </c>
      <c r="J1022">
        <v>9275</v>
      </c>
      <c r="K1022">
        <v>58.19</v>
      </c>
      <c r="L1022">
        <v>61</v>
      </c>
      <c r="M1022">
        <v>-53.15</v>
      </c>
    </row>
    <row r="1023" spans="1:13" x14ac:dyDescent="0.3">
      <c r="A1023" s="1">
        <v>45699</v>
      </c>
      <c r="B1023">
        <v>715.05</v>
      </c>
      <c r="C1023">
        <v>739.9</v>
      </c>
      <c r="D1023">
        <v>692.95</v>
      </c>
      <c r="E1023">
        <v>708.75</v>
      </c>
      <c r="F1023">
        <v>715.06261778310704</v>
      </c>
      <c r="G1023">
        <v>11674</v>
      </c>
      <c r="H1023">
        <v>1051</v>
      </c>
      <c r="I1023">
        <v>8347641</v>
      </c>
      <c r="J1023">
        <v>4686</v>
      </c>
      <c r="K1023">
        <v>40.14</v>
      </c>
      <c r="L1023">
        <v>46.95</v>
      </c>
      <c r="M1023">
        <v>-6.3</v>
      </c>
    </row>
    <row r="1024" spans="1:13" x14ac:dyDescent="0.3">
      <c r="A1024" s="1">
        <v>45700</v>
      </c>
      <c r="B1024">
        <v>701</v>
      </c>
      <c r="C1024">
        <v>745</v>
      </c>
      <c r="D1024">
        <v>683.9</v>
      </c>
      <c r="E1024">
        <v>727.65</v>
      </c>
      <c r="F1024">
        <v>711.77653631284898</v>
      </c>
      <c r="G1024">
        <v>14320</v>
      </c>
      <c r="H1024">
        <v>1385</v>
      </c>
      <c r="I1024">
        <v>10192640</v>
      </c>
      <c r="J1024">
        <v>5933</v>
      </c>
      <c r="K1024">
        <v>41.43</v>
      </c>
      <c r="L1024">
        <v>61.1</v>
      </c>
      <c r="M1024">
        <v>26.65</v>
      </c>
    </row>
    <row r="1025" spans="1:13" x14ac:dyDescent="0.3">
      <c r="A1025" s="1">
        <v>45701</v>
      </c>
      <c r="B1025">
        <v>759.95</v>
      </c>
      <c r="C1025">
        <v>759.95</v>
      </c>
      <c r="D1025">
        <v>698.65</v>
      </c>
      <c r="E1025">
        <v>704.85</v>
      </c>
      <c r="F1025">
        <v>722.45277028099599</v>
      </c>
      <c r="G1025">
        <v>6299</v>
      </c>
      <c r="H1025">
        <v>834</v>
      </c>
      <c r="I1025">
        <v>4550730</v>
      </c>
      <c r="J1025">
        <v>3626</v>
      </c>
      <c r="K1025">
        <v>57.56</v>
      </c>
      <c r="L1025">
        <v>61.3</v>
      </c>
      <c r="M1025">
        <v>-55.1</v>
      </c>
    </row>
    <row r="1026" spans="1:13" x14ac:dyDescent="0.3">
      <c r="A1026" s="1">
        <v>45702</v>
      </c>
      <c r="B1026">
        <v>708.2</v>
      </c>
      <c r="C1026">
        <v>708.2</v>
      </c>
      <c r="D1026">
        <v>658.1</v>
      </c>
      <c r="E1026">
        <v>668.1</v>
      </c>
      <c r="F1026">
        <v>678.48466257668701</v>
      </c>
      <c r="G1026">
        <v>7661</v>
      </c>
      <c r="H1026">
        <v>1127</v>
      </c>
      <c r="I1026">
        <v>5197871</v>
      </c>
      <c r="J1026">
        <v>2795</v>
      </c>
      <c r="K1026">
        <v>36.479999999999997</v>
      </c>
      <c r="L1026">
        <v>50.1</v>
      </c>
      <c r="M1026">
        <v>-40.1</v>
      </c>
    </row>
    <row r="1027" spans="1:13" x14ac:dyDescent="0.3">
      <c r="A1027" s="1">
        <v>45705</v>
      </c>
      <c r="B1027">
        <v>615</v>
      </c>
      <c r="C1027">
        <v>684.15</v>
      </c>
      <c r="D1027">
        <v>615</v>
      </c>
      <c r="E1027">
        <v>644.4</v>
      </c>
      <c r="F1027">
        <v>656.35789222698997</v>
      </c>
      <c r="G1027">
        <v>16776</v>
      </c>
      <c r="H1027">
        <v>2260</v>
      </c>
      <c r="I1027">
        <v>11011060</v>
      </c>
      <c r="J1027">
        <v>8119</v>
      </c>
      <c r="K1027">
        <v>48.4</v>
      </c>
      <c r="L1027">
        <v>69.150000000000006</v>
      </c>
      <c r="M1027">
        <v>29.4</v>
      </c>
    </row>
    <row r="1028" spans="1:13" x14ac:dyDescent="0.3">
      <c r="A1028" s="1">
        <v>45706</v>
      </c>
      <c r="B1028">
        <v>638.95000000000005</v>
      </c>
      <c r="C1028">
        <v>655.5</v>
      </c>
      <c r="D1028">
        <v>607.35</v>
      </c>
      <c r="E1028">
        <v>622.6</v>
      </c>
      <c r="F1028">
        <v>626.97842029840604</v>
      </c>
      <c r="G1028">
        <v>23726</v>
      </c>
      <c r="H1028">
        <v>2860</v>
      </c>
      <c r="I1028">
        <v>14875690</v>
      </c>
      <c r="J1028">
        <v>9142</v>
      </c>
      <c r="K1028">
        <v>38.53</v>
      </c>
      <c r="L1028">
        <v>48.15</v>
      </c>
      <c r="M1028">
        <v>-16.350000000000001</v>
      </c>
    </row>
    <row r="1029" spans="1:13" x14ac:dyDescent="0.3">
      <c r="A1029" s="1">
        <v>45707</v>
      </c>
      <c r="B1029">
        <v>605.79999999999995</v>
      </c>
      <c r="C1029">
        <v>647.95000000000005</v>
      </c>
      <c r="D1029">
        <v>605.79999999999995</v>
      </c>
      <c r="E1029">
        <v>638.70000000000005</v>
      </c>
      <c r="F1029">
        <v>636.291956627285</v>
      </c>
      <c r="G1029">
        <v>12358</v>
      </c>
      <c r="H1029">
        <v>1450</v>
      </c>
      <c r="I1029">
        <v>7863296</v>
      </c>
      <c r="J1029">
        <v>4625</v>
      </c>
      <c r="K1029">
        <v>37.43</v>
      </c>
      <c r="L1029">
        <v>42.15</v>
      </c>
      <c r="M1029">
        <v>32.9</v>
      </c>
    </row>
    <row r="1030" spans="1:13" x14ac:dyDescent="0.3">
      <c r="A1030" s="1">
        <v>45708</v>
      </c>
      <c r="B1030">
        <v>651.5</v>
      </c>
      <c r="C1030">
        <v>651.5</v>
      </c>
      <c r="D1030">
        <v>628.1</v>
      </c>
      <c r="E1030">
        <v>636.75</v>
      </c>
      <c r="F1030">
        <v>639.11677115987402</v>
      </c>
      <c r="G1030">
        <v>7656</v>
      </c>
      <c r="H1030">
        <v>965</v>
      </c>
      <c r="I1030">
        <v>4893078</v>
      </c>
      <c r="J1030">
        <v>4149</v>
      </c>
      <c r="K1030">
        <v>54.19</v>
      </c>
      <c r="L1030">
        <v>23.4</v>
      </c>
      <c r="M1030">
        <v>-14.75</v>
      </c>
    </row>
    <row r="1031" spans="1:13" x14ac:dyDescent="0.3">
      <c r="A1031" s="1">
        <v>45709</v>
      </c>
      <c r="B1031">
        <v>657</v>
      </c>
      <c r="C1031">
        <v>685</v>
      </c>
      <c r="D1031">
        <v>631.4</v>
      </c>
      <c r="E1031">
        <v>655.55</v>
      </c>
      <c r="F1031">
        <v>661.62954998008695</v>
      </c>
      <c r="G1031">
        <v>12555</v>
      </c>
      <c r="H1031">
        <v>1429</v>
      </c>
      <c r="I1031">
        <v>8306759</v>
      </c>
      <c r="J1031">
        <v>6133</v>
      </c>
      <c r="K1031">
        <v>48.85</v>
      </c>
      <c r="L1031">
        <v>53.6</v>
      </c>
      <c r="M1031">
        <v>-1.45</v>
      </c>
    </row>
    <row r="1032" spans="1:13" x14ac:dyDescent="0.3">
      <c r="A1032" s="1">
        <v>45712</v>
      </c>
      <c r="B1032">
        <v>694.75</v>
      </c>
      <c r="C1032">
        <v>694.75</v>
      </c>
      <c r="D1032">
        <v>627</v>
      </c>
      <c r="E1032">
        <v>659.6</v>
      </c>
      <c r="F1032">
        <v>660.61575443786899</v>
      </c>
      <c r="G1032">
        <v>5408</v>
      </c>
      <c r="H1032">
        <v>590</v>
      </c>
      <c r="I1032">
        <v>3572610</v>
      </c>
      <c r="J1032">
        <v>2568</v>
      </c>
      <c r="K1032">
        <v>47.49</v>
      </c>
      <c r="L1032">
        <v>67.75</v>
      </c>
      <c r="M1032">
        <v>-35.15</v>
      </c>
    </row>
    <row r="1033" spans="1:13" x14ac:dyDescent="0.3">
      <c r="A1033" s="1">
        <v>45713</v>
      </c>
      <c r="B1033">
        <v>660</v>
      </c>
      <c r="C1033">
        <v>661.2</v>
      </c>
      <c r="D1033">
        <v>643.4</v>
      </c>
      <c r="E1033">
        <v>649.15</v>
      </c>
      <c r="F1033">
        <v>652.28242229367595</v>
      </c>
      <c r="G1033">
        <v>1866</v>
      </c>
      <c r="H1033">
        <v>218</v>
      </c>
      <c r="I1033">
        <v>1217159</v>
      </c>
      <c r="J1033">
        <v>925</v>
      </c>
      <c r="K1033">
        <v>49.57</v>
      </c>
      <c r="L1033">
        <v>17.8</v>
      </c>
      <c r="M1033">
        <v>-10.85</v>
      </c>
    </row>
    <row r="1034" spans="1:13" x14ac:dyDescent="0.3">
      <c r="A1034" s="1">
        <v>45715</v>
      </c>
      <c r="B1034">
        <v>605.1</v>
      </c>
      <c r="C1034">
        <v>649.15</v>
      </c>
      <c r="D1034">
        <v>599</v>
      </c>
      <c r="E1034">
        <v>602.85</v>
      </c>
      <c r="F1034">
        <v>613.0678264032</v>
      </c>
      <c r="G1034">
        <v>16498</v>
      </c>
      <c r="H1034">
        <v>1473</v>
      </c>
      <c r="I1034">
        <v>10114393</v>
      </c>
      <c r="J1034">
        <v>9259</v>
      </c>
      <c r="K1034">
        <v>56.12</v>
      </c>
      <c r="L1034">
        <v>50.15</v>
      </c>
      <c r="M1034">
        <v>-2.25</v>
      </c>
    </row>
    <row r="1035" spans="1:13" x14ac:dyDescent="0.3">
      <c r="A1035" s="1">
        <v>45716</v>
      </c>
      <c r="B1035">
        <v>595.04999999999995</v>
      </c>
      <c r="C1035">
        <v>608.25</v>
      </c>
      <c r="D1035">
        <v>564.6</v>
      </c>
      <c r="E1035">
        <v>568.54999999999995</v>
      </c>
      <c r="F1035">
        <v>581.37382747838797</v>
      </c>
      <c r="G1035">
        <v>10874</v>
      </c>
      <c r="H1035">
        <v>1144</v>
      </c>
      <c r="I1035">
        <v>6321859</v>
      </c>
      <c r="J1035">
        <v>4925</v>
      </c>
      <c r="K1035">
        <v>45.29</v>
      </c>
      <c r="L1035">
        <v>43.65</v>
      </c>
      <c r="M1035">
        <v>-26.5</v>
      </c>
    </row>
    <row r="1036" spans="1:13" x14ac:dyDescent="0.3">
      <c r="A1036" s="1">
        <v>45719</v>
      </c>
      <c r="B1036">
        <v>570</v>
      </c>
      <c r="C1036">
        <v>594.9</v>
      </c>
      <c r="D1036">
        <v>533.4</v>
      </c>
      <c r="E1036">
        <v>550.5</v>
      </c>
      <c r="F1036">
        <v>550.40710249415395</v>
      </c>
      <c r="G1036">
        <v>20528</v>
      </c>
      <c r="H1036">
        <v>2269</v>
      </c>
      <c r="I1036">
        <v>11298757</v>
      </c>
      <c r="J1036">
        <v>10597</v>
      </c>
      <c r="K1036">
        <v>51.62</v>
      </c>
      <c r="L1036">
        <v>61.5</v>
      </c>
      <c r="M1036">
        <v>-19.5</v>
      </c>
    </row>
    <row r="1037" spans="1:13" x14ac:dyDescent="0.3">
      <c r="A1037" s="1">
        <v>45720</v>
      </c>
      <c r="B1037">
        <v>540.04999999999995</v>
      </c>
      <c r="C1037">
        <v>609.75</v>
      </c>
      <c r="D1037">
        <v>540.04999999999995</v>
      </c>
      <c r="E1037">
        <v>597.20000000000005</v>
      </c>
      <c r="F1037">
        <v>590.62584341183901</v>
      </c>
      <c r="G1037">
        <v>7855</v>
      </c>
      <c r="H1037">
        <v>1238</v>
      </c>
      <c r="I1037">
        <v>4639366</v>
      </c>
      <c r="J1037">
        <v>2792</v>
      </c>
      <c r="K1037">
        <v>35.54</v>
      </c>
      <c r="L1037">
        <v>69.7</v>
      </c>
      <c r="M1037">
        <v>57.15</v>
      </c>
    </row>
    <row r="1038" spans="1:13" x14ac:dyDescent="0.3">
      <c r="A1038" s="1">
        <v>45721</v>
      </c>
      <c r="B1038">
        <v>613.95000000000005</v>
      </c>
      <c r="C1038">
        <v>630</v>
      </c>
      <c r="D1038">
        <v>594</v>
      </c>
      <c r="E1038">
        <v>620.20000000000005</v>
      </c>
      <c r="F1038">
        <v>618.21130056837103</v>
      </c>
      <c r="G1038">
        <v>8973</v>
      </c>
      <c r="H1038">
        <v>1403</v>
      </c>
      <c r="I1038">
        <v>5547210</v>
      </c>
      <c r="J1038">
        <v>3930</v>
      </c>
      <c r="K1038">
        <v>43.8</v>
      </c>
      <c r="L1038">
        <v>36</v>
      </c>
      <c r="M1038">
        <v>6.25</v>
      </c>
    </row>
    <row r="1039" spans="1:13" x14ac:dyDescent="0.3">
      <c r="A1039" s="1">
        <v>45722</v>
      </c>
      <c r="B1039">
        <v>618.4</v>
      </c>
      <c r="C1039">
        <v>646.15</v>
      </c>
      <c r="D1039">
        <v>618.4</v>
      </c>
      <c r="E1039">
        <v>638.65</v>
      </c>
      <c r="F1039">
        <v>637.98765207917097</v>
      </c>
      <c r="G1039">
        <v>5507</v>
      </c>
      <c r="H1039">
        <v>721</v>
      </c>
      <c r="I1039">
        <v>3513398</v>
      </c>
      <c r="J1039">
        <v>3146</v>
      </c>
      <c r="K1039">
        <v>57.13</v>
      </c>
      <c r="L1039">
        <v>27.75</v>
      </c>
      <c r="M1039">
        <v>20.25</v>
      </c>
    </row>
    <row r="1040" spans="1:13" x14ac:dyDescent="0.3">
      <c r="A1040" s="1">
        <v>45723</v>
      </c>
      <c r="B1040">
        <v>641.6</v>
      </c>
      <c r="C1040">
        <v>649.04999999999995</v>
      </c>
      <c r="D1040">
        <v>633.15</v>
      </c>
      <c r="E1040">
        <v>639.4</v>
      </c>
      <c r="F1040">
        <v>641.10761327713305</v>
      </c>
      <c r="G1040">
        <v>7592</v>
      </c>
      <c r="H1040">
        <v>878</v>
      </c>
      <c r="I1040">
        <v>4867289</v>
      </c>
      <c r="J1040">
        <v>3688</v>
      </c>
      <c r="K1040">
        <v>48.58</v>
      </c>
      <c r="L1040">
        <v>15.9</v>
      </c>
      <c r="M1040">
        <v>-2.2000000000000002</v>
      </c>
    </row>
    <row r="1041" spans="1:13" x14ac:dyDescent="0.3">
      <c r="A1041" s="1">
        <v>45726</v>
      </c>
      <c r="B1041">
        <v>651.70000000000005</v>
      </c>
      <c r="C1041">
        <v>651.70000000000005</v>
      </c>
      <c r="D1041">
        <v>600.04999999999995</v>
      </c>
      <c r="E1041">
        <v>611.20000000000005</v>
      </c>
      <c r="F1041">
        <v>628.83526490066197</v>
      </c>
      <c r="G1041">
        <v>3624</v>
      </c>
      <c r="H1041">
        <v>508</v>
      </c>
      <c r="I1041">
        <v>2278899</v>
      </c>
      <c r="J1041">
        <v>1426</v>
      </c>
      <c r="K1041">
        <v>39.35</v>
      </c>
      <c r="L1041">
        <v>51.65</v>
      </c>
      <c r="M1041">
        <v>-40.5</v>
      </c>
    </row>
    <row r="1042" spans="1:13" x14ac:dyDescent="0.3">
      <c r="A1042" s="1">
        <v>45727</v>
      </c>
      <c r="B1042">
        <v>563.79999999999995</v>
      </c>
      <c r="C1042">
        <v>648.35</v>
      </c>
      <c r="D1042">
        <v>563.79999999999995</v>
      </c>
      <c r="E1042">
        <v>606.95000000000005</v>
      </c>
      <c r="F1042">
        <v>610.14949537426401</v>
      </c>
      <c r="G1042">
        <v>4756</v>
      </c>
      <c r="H1042">
        <v>494</v>
      </c>
      <c r="I1042">
        <v>2901871</v>
      </c>
      <c r="J1042">
        <v>1577</v>
      </c>
      <c r="K1042">
        <v>33.159999999999997</v>
      </c>
      <c r="L1042">
        <v>84.55</v>
      </c>
      <c r="M1042">
        <v>43.15</v>
      </c>
    </row>
    <row r="1043" spans="1:13" x14ac:dyDescent="0.3">
      <c r="A1043" s="1">
        <v>45728</v>
      </c>
      <c r="B1043">
        <v>603</v>
      </c>
      <c r="C1043">
        <v>613.35</v>
      </c>
      <c r="D1043">
        <v>582.75</v>
      </c>
      <c r="E1043">
        <v>590.35</v>
      </c>
      <c r="F1043">
        <v>598.30230464529996</v>
      </c>
      <c r="G1043">
        <v>5554</v>
      </c>
      <c r="H1043">
        <v>772</v>
      </c>
      <c r="I1043">
        <v>3322971</v>
      </c>
      <c r="J1043">
        <v>3180</v>
      </c>
      <c r="K1043">
        <v>57.26</v>
      </c>
      <c r="L1043">
        <v>30.6</v>
      </c>
      <c r="M1043">
        <v>-12.65</v>
      </c>
    </row>
    <row r="1044" spans="1:13" x14ac:dyDescent="0.3">
      <c r="A1044" s="1">
        <v>45729</v>
      </c>
      <c r="B1044">
        <v>608.95000000000005</v>
      </c>
      <c r="C1044">
        <v>608.95000000000005</v>
      </c>
      <c r="D1044">
        <v>570.65</v>
      </c>
      <c r="E1044">
        <v>578.1</v>
      </c>
      <c r="F1044">
        <v>579.48854883434296</v>
      </c>
      <c r="G1044">
        <v>9737</v>
      </c>
      <c r="H1044">
        <v>790</v>
      </c>
      <c r="I1044">
        <v>5642480</v>
      </c>
      <c r="J1044">
        <v>6215</v>
      </c>
      <c r="K1044">
        <v>63.83</v>
      </c>
      <c r="L1044">
        <v>38.299999999999997</v>
      </c>
      <c r="M1044">
        <v>-30.85</v>
      </c>
    </row>
    <row r="1045" spans="1:13" x14ac:dyDescent="0.3">
      <c r="A1045" s="1">
        <v>45733</v>
      </c>
      <c r="B1045">
        <v>571.15</v>
      </c>
      <c r="C1045">
        <v>574.15</v>
      </c>
      <c r="D1045">
        <v>542</v>
      </c>
      <c r="E1045">
        <v>547.5</v>
      </c>
      <c r="F1045">
        <v>553.80385297845305</v>
      </c>
      <c r="G1045">
        <v>19725</v>
      </c>
      <c r="H1045">
        <v>1562</v>
      </c>
      <c r="I1045">
        <v>10923781</v>
      </c>
      <c r="J1045">
        <v>8659</v>
      </c>
      <c r="K1045">
        <v>43.9</v>
      </c>
      <c r="L1045">
        <v>32.15</v>
      </c>
      <c r="M1045">
        <v>-23.65</v>
      </c>
    </row>
    <row r="1046" spans="1:13" x14ac:dyDescent="0.3">
      <c r="A1046" s="1">
        <v>45734</v>
      </c>
      <c r="B1046">
        <v>547.5</v>
      </c>
      <c r="C1046">
        <v>574.35</v>
      </c>
      <c r="D1046">
        <v>547.5</v>
      </c>
      <c r="E1046">
        <v>570.75</v>
      </c>
      <c r="F1046">
        <v>562.734352773826</v>
      </c>
      <c r="G1046">
        <v>2812</v>
      </c>
      <c r="H1046">
        <v>299</v>
      </c>
      <c r="I1046">
        <v>1582409</v>
      </c>
      <c r="J1046">
        <v>1255</v>
      </c>
      <c r="K1046">
        <v>44.63</v>
      </c>
      <c r="L1046">
        <v>26.85</v>
      </c>
      <c r="M1046">
        <v>23.25</v>
      </c>
    </row>
    <row r="1047" spans="1:13" x14ac:dyDescent="0.3">
      <c r="A1047" s="1">
        <v>45735</v>
      </c>
      <c r="B1047">
        <v>597.95000000000005</v>
      </c>
      <c r="C1047">
        <v>597.95000000000005</v>
      </c>
      <c r="D1047">
        <v>569.5</v>
      </c>
      <c r="E1047">
        <v>576.25</v>
      </c>
      <c r="F1047">
        <v>581.50040381198505</v>
      </c>
      <c r="G1047">
        <v>6191</v>
      </c>
      <c r="H1047">
        <v>637</v>
      </c>
      <c r="I1047">
        <v>3600069</v>
      </c>
      <c r="J1047">
        <v>3131</v>
      </c>
      <c r="K1047">
        <v>50.57</v>
      </c>
      <c r="L1047">
        <v>28.45</v>
      </c>
      <c r="M1047">
        <v>-21.7</v>
      </c>
    </row>
    <row r="1048" spans="1:13" x14ac:dyDescent="0.3">
      <c r="A1048" s="1">
        <v>45736</v>
      </c>
      <c r="B1048">
        <v>571.35</v>
      </c>
      <c r="C1048">
        <v>583.95000000000005</v>
      </c>
      <c r="D1048">
        <v>526.20000000000005</v>
      </c>
      <c r="E1048">
        <v>540</v>
      </c>
      <c r="F1048">
        <v>551.06398292329095</v>
      </c>
      <c r="G1048">
        <v>36541</v>
      </c>
      <c r="H1048">
        <v>2638</v>
      </c>
      <c r="I1048">
        <v>20136429</v>
      </c>
      <c r="J1048">
        <v>21090</v>
      </c>
      <c r="K1048">
        <v>57.72</v>
      </c>
      <c r="L1048">
        <v>57.75</v>
      </c>
      <c r="M1048">
        <v>-31.35</v>
      </c>
    </row>
    <row r="1049" spans="1:13" x14ac:dyDescent="0.3">
      <c r="A1049" s="1">
        <v>45737</v>
      </c>
      <c r="B1049">
        <v>556.79999999999995</v>
      </c>
      <c r="C1049">
        <v>580.9</v>
      </c>
      <c r="D1049">
        <v>544.79999999999995</v>
      </c>
      <c r="E1049">
        <v>573.75</v>
      </c>
      <c r="F1049">
        <v>567.12036862892603</v>
      </c>
      <c r="G1049">
        <v>15951</v>
      </c>
      <c r="H1049">
        <v>972</v>
      </c>
      <c r="I1049">
        <v>9046137</v>
      </c>
      <c r="J1049">
        <v>9799</v>
      </c>
      <c r="K1049">
        <v>61.43</v>
      </c>
      <c r="L1049">
        <v>36.1</v>
      </c>
      <c r="M1049">
        <v>16.95</v>
      </c>
    </row>
    <row r="1050" spans="1:13" x14ac:dyDescent="0.3">
      <c r="A1050" s="1">
        <v>45740</v>
      </c>
      <c r="B1050">
        <v>585.29999999999995</v>
      </c>
      <c r="C1050">
        <v>596.25</v>
      </c>
      <c r="D1050">
        <v>575.20000000000005</v>
      </c>
      <c r="E1050">
        <v>576.29999999999995</v>
      </c>
      <c r="F1050">
        <v>582.56552125800795</v>
      </c>
      <c r="G1050">
        <v>13736</v>
      </c>
      <c r="H1050">
        <v>1064</v>
      </c>
      <c r="I1050">
        <v>8002120</v>
      </c>
      <c r="J1050">
        <v>7162</v>
      </c>
      <c r="K1050">
        <v>52.14</v>
      </c>
      <c r="L1050">
        <v>21.05</v>
      </c>
      <c r="M1050">
        <v>-9</v>
      </c>
    </row>
    <row r="1051" spans="1:13" x14ac:dyDescent="0.3">
      <c r="A1051" s="1">
        <v>45741</v>
      </c>
      <c r="B1051">
        <v>585</v>
      </c>
      <c r="C1051">
        <v>585.9</v>
      </c>
      <c r="D1051">
        <v>541.85</v>
      </c>
      <c r="E1051">
        <v>547.04999999999995</v>
      </c>
      <c r="F1051">
        <v>554.86734145467506</v>
      </c>
      <c r="G1051">
        <v>11164</v>
      </c>
      <c r="H1051">
        <v>814</v>
      </c>
      <c r="I1051">
        <v>6194539</v>
      </c>
      <c r="J1051">
        <v>5777</v>
      </c>
      <c r="K1051">
        <v>51.75</v>
      </c>
      <c r="L1051">
        <v>44.05</v>
      </c>
      <c r="M1051">
        <v>-37.950000000000003</v>
      </c>
    </row>
    <row r="1052" spans="1:13" x14ac:dyDescent="0.3">
      <c r="A1052" s="1">
        <v>45742</v>
      </c>
      <c r="B1052">
        <v>565</v>
      </c>
      <c r="C1052">
        <v>591.35</v>
      </c>
      <c r="D1052">
        <v>538.54999999999995</v>
      </c>
      <c r="E1052">
        <v>541.70000000000005</v>
      </c>
      <c r="F1052">
        <v>553.743954218201</v>
      </c>
      <c r="G1052">
        <v>21668</v>
      </c>
      <c r="H1052">
        <v>1166</v>
      </c>
      <c r="I1052">
        <v>11998524</v>
      </c>
      <c r="J1052">
        <v>10518</v>
      </c>
      <c r="K1052">
        <v>48.54</v>
      </c>
      <c r="L1052">
        <v>52.8</v>
      </c>
      <c r="M1052">
        <v>-23.3</v>
      </c>
    </row>
    <row r="1053" spans="1:13" x14ac:dyDescent="0.3">
      <c r="A1053" s="1">
        <v>45743</v>
      </c>
      <c r="B1053">
        <v>543.04999999999995</v>
      </c>
      <c r="C1053">
        <v>575</v>
      </c>
      <c r="D1053">
        <v>534.1</v>
      </c>
      <c r="E1053">
        <v>555.9</v>
      </c>
      <c r="F1053">
        <v>555.15008716495902</v>
      </c>
      <c r="G1053">
        <v>18356</v>
      </c>
      <c r="H1053">
        <v>1561</v>
      </c>
      <c r="I1053">
        <v>10190335</v>
      </c>
      <c r="J1053">
        <v>6802</v>
      </c>
      <c r="K1053">
        <v>37.06</v>
      </c>
      <c r="L1053">
        <v>40.9</v>
      </c>
      <c r="M1053">
        <v>12.85</v>
      </c>
    </row>
    <row r="1054" spans="1:13" x14ac:dyDescent="0.3">
      <c r="A1054" s="1">
        <v>45744</v>
      </c>
      <c r="B1054">
        <v>562.29999999999995</v>
      </c>
      <c r="C1054">
        <v>575.15</v>
      </c>
      <c r="D1054">
        <v>552.65</v>
      </c>
      <c r="E1054">
        <v>564.29999999999995</v>
      </c>
      <c r="F1054">
        <v>567.24763995609203</v>
      </c>
      <c r="G1054">
        <v>9110</v>
      </c>
      <c r="H1054">
        <v>613</v>
      </c>
      <c r="I1054">
        <v>5167626</v>
      </c>
      <c r="J1054">
        <v>5762</v>
      </c>
      <c r="K1054">
        <v>63.25</v>
      </c>
      <c r="L1054">
        <v>22.5</v>
      </c>
      <c r="M1054">
        <v>2</v>
      </c>
    </row>
    <row r="1055" spans="1:13" x14ac:dyDescent="0.3">
      <c r="A1055" s="1">
        <v>45748</v>
      </c>
      <c r="B1055">
        <v>559.15</v>
      </c>
      <c r="C1055">
        <v>577.6</v>
      </c>
      <c r="D1055">
        <v>549.95000000000005</v>
      </c>
      <c r="E1055">
        <v>569.5</v>
      </c>
      <c r="F1055">
        <v>569.38818944844104</v>
      </c>
      <c r="G1055">
        <v>3336</v>
      </c>
      <c r="H1055">
        <v>474</v>
      </c>
      <c r="I1055">
        <v>1899479</v>
      </c>
      <c r="J1055">
        <v>1353</v>
      </c>
      <c r="K1055">
        <v>40.56</v>
      </c>
      <c r="L1055">
        <v>27.65</v>
      </c>
      <c r="M1055">
        <v>10.35</v>
      </c>
    </row>
    <row r="1056" spans="1:13" x14ac:dyDescent="0.3">
      <c r="A1056" s="1">
        <v>45749</v>
      </c>
      <c r="B1056">
        <v>531.1</v>
      </c>
      <c r="C1056">
        <v>577.04999999999995</v>
      </c>
      <c r="D1056">
        <v>531.1</v>
      </c>
      <c r="E1056">
        <v>574.04999999999995</v>
      </c>
      <c r="F1056">
        <v>567.72032902467595</v>
      </c>
      <c r="G1056">
        <v>7659</v>
      </c>
      <c r="H1056">
        <v>635</v>
      </c>
      <c r="I1056">
        <v>4348170</v>
      </c>
      <c r="J1056">
        <v>3677</v>
      </c>
      <c r="K1056">
        <v>48.01</v>
      </c>
      <c r="L1056">
        <v>45.95</v>
      </c>
      <c r="M1056">
        <v>42.95</v>
      </c>
    </row>
    <row r="1057" spans="1:13" x14ac:dyDescent="0.3">
      <c r="A1057" s="1">
        <v>45750</v>
      </c>
      <c r="B1057">
        <v>574.04999999999995</v>
      </c>
      <c r="C1057">
        <v>586</v>
      </c>
      <c r="D1057">
        <v>563.85</v>
      </c>
      <c r="E1057">
        <v>579.5</v>
      </c>
      <c r="F1057">
        <v>577.40288371121005</v>
      </c>
      <c r="G1057">
        <v>9571</v>
      </c>
      <c r="H1057">
        <v>912</v>
      </c>
      <c r="I1057">
        <v>5526323</v>
      </c>
      <c r="J1057">
        <v>4540</v>
      </c>
      <c r="K1057">
        <v>47.43</v>
      </c>
      <c r="L1057">
        <v>22.15</v>
      </c>
      <c r="M1057">
        <v>5.45</v>
      </c>
    </row>
    <row r="1058" spans="1:13" x14ac:dyDescent="0.3">
      <c r="A1058" s="1">
        <v>45751</v>
      </c>
      <c r="B1058">
        <v>596</v>
      </c>
      <c r="C1058">
        <v>610</v>
      </c>
      <c r="D1058">
        <v>545</v>
      </c>
      <c r="E1058">
        <v>553.45000000000005</v>
      </c>
      <c r="F1058">
        <v>578.90008182561996</v>
      </c>
      <c r="G1058">
        <v>10999</v>
      </c>
      <c r="H1058">
        <v>1303</v>
      </c>
      <c r="I1058">
        <v>6367322</v>
      </c>
      <c r="J1058">
        <v>3635</v>
      </c>
      <c r="K1058">
        <v>33.049999999999997</v>
      </c>
      <c r="L1058">
        <v>65</v>
      </c>
      <c r="M1058">
        <v>-42.55</v>
      </c>
    </row>
    <row r="1059" spans="1:13" x14ac:dyDescent="0.3">
      <c r="A1059" s="1">
        <v>45754</v>
      </c>
      <c r="B1059">
        <v>463.55</v>
      </c>
      <c r="C1059">
        <v>533</v>
      </c>
      <c r="D1059">
        <v>460.9</v>
      </c>
      <c r="E1059">
        <v>520.25</v>
      </c>
      <c r="F1059">
        <v>505.92418719929998</v>
      </c>
      <c r="G1059">
        <v>6859</v>
      </c>
      <c r="H1059">
        <v>740</v>
      </c>
      <c r="I1059">
        <v>3470134</v>
      </c>
      <c r="J1059">
        <v>2842</v>
      </c>
      <c r="K1059">
        <v>41.43</v>
      </c>
      <c r="L1059">
        <v>72.099999999999994</v>
      </c>
      <c r="M1059">
        <v>56.7</v>
      </c>
    </row>
    <row r="1060" spans="1:13" x14ac:dyDescent="0.3">
      <c r="A1060" s="1">
        <v>45755</v>
      </c>
      <c r="B1060">
        <v>570</v>
      </c>
      <c r="C1060">
        <v>570</v>
      </c>
      <c r="D1060">
        <v>523.20000000000005</v>
      </c>
      <c r="E1060">
        <v>533.75</v>
      </c>
      <c r="F1060">
        <v>531.04548192770994</v>
      </c>
      <c r="G1060">
        <v>3320</v>
      </c>
      <c r="H1060">
        <v>447</v>
      </c>
      <c r="I1060">
        <v>1763071</v>
      </c>
      <c r="J1060">
        <v>1574</v>
      </c>
      <c r="K1060">
        <v>47.41</v>
      </c>
      <c r="L1060">
        <v>46.8</v>
      </c>
      <c r="M1060">
        <v>-36.25</v>
      </c>
    </row>
    <row r="1061" spans="1:13" x14ac:dyDescent="0.3">
      <c r="A1061" s="1">
        <v>45756</v>
      </c>
      <c r="B1061">
        <v>557</v>
      </c>
      <c r="C1061">
        <v>557</v>
      </c>
      <c r="D1061">
        <v>503</v>
      </c>
      <c r="E1061">
        <v>510.05</v>
      </c>
      <c r="F1061">
        <v>512.19844097995497</v>
      </c>
      <c r="G1061">
        <v>8980</v>
      </c>
      <c r="H1061">
        <v>1199</v>
      </c>
      <c r="I1061">
        <v>4599542</v>
      </c>
      <c r="J1061">
        <v>4678</v>
      </c>
      <c r="K1061">
        <v>52.09</v>
      </c>
      <c r="L1061">
        <v>54</v>
      </c>
      <c r="M1061">
        <v>-46.95</v>
      </c>
    </row>
    <row r="1062" spans="1:13" x14ac:dyDescent="0.3">
      <c r="A1062" s="1">
        <v>45758</v>
      </c>
      <c r="B1062">
        <v>535.29999999999995</v>
      </c>
      <c r="C1062">
        <v>555</v>
      </c>
      <c r="D1062">
        <v>523.65</v>
      </c>
      <c r="E1062">
        <v>544.1</v>
      </c>
      <c r="F1062">
        <v>536.57018603527399</v>
      </c>
      <c r="G1062">
        <v>4139</v>
      </c>
      <c r="H1062">
        <v>345</v>
      </c>
      <c r="I1062">
        <v>2220864</v>
      </c>
      <c r="J1062">
        <v>2475</v>
      </c>
      <c r="K1062">
        <v>59.8</v>
      </c>
      <c r="L1062">
        <v>31.35</v>
      </c>
      <c r="M1062">
        <v>8.8000000000000007</v>
      </c>
    </row>
    <row r="1063" spans="1:13" x14ac:dyDescent="0.3">
      <c r="A1063" s="1">
        <v>45762</v>
      </c>
      <c r="B1063">
        <v>573.85</v>
      </c>
      <c r="C1063">
        <v>607.85</v>
      </c>
      <c r="D1063">
        <v>550.45000000000005</v>
      </c>
      <c r="E1063">
        <v>581.65</v>
      </c>
      <c r="F1063">
        <v>586.22952919020702</v>
      </c>
      <c r="G1063">
        <v>26550</v>
      </c>
      <c r="H1063">
        <v>2270</v>
      </c>
      <c r="I1063">
        <v>15564394</v>
      </c>
      <c r="J1063">
        <v>9822</v>
      </c>
      <c r="K1063">
        <v>36.99</v>
      </c>
      <c r="L1063">
        <v>57.4</v>
      </c>
      <c r="M1063">
        <v>7.8</v>
      </c>
    </row>
    <row r="1064" spans="1:13" x14ac:dyDescent="0.3">
      <c r="A1064" s="1">
        <v>45763</v>
      </c>
      <c r="B1064">
        <v>570.20000000000005</v>
      </c>
      <c r="C1064">
        <v>587.9</v>
      </c>
      <c r="D1064">
        <v>566.15</v>
      </c>
      <c r="E1064">
        <v>572.6</v>
      </c>
      <c r="F1064">
        <v>579.42115525225404</v>
      </c>
      <c r="G1064">
        <v>4103</v>
      </c>
      <c r="H1064">
        <v>331</v>
      </c>
      <c r="I1064">
        <v>2377365</v>
      </c>
      <c r="J1064">
        <v>2145</v>
      </c>
      <c r="K1064">
        <v>52.28</v>
      </c>
      <c r="L1064">
        <v>21.75</v>
      </c>
      <c r="M1064">
        <v>2.4</v>
      </c>
    </row>
    <row r="1065" spans="1:13" x14ac:dyDescent="0.3">
      <c r="A1065" s="1">
        <v>45764</v>
      </c>
      <c r="B1065">
        <v>546.85</v>
      </c>
      <c r="C1065">
        <v>580</v>
      </c>
      <c r="D1065">
        <v>546.85</v>
      </c>
      <c r="E1065">
        <v>573.5</v>
      </c>
      <c r="F1065">
        <v>574.74977738201198</v>
      </c>
      <c r="G1065">
        <v>3369</v>
      </c>
      <c r="H1065">
        <v>294</v>
      </c>
      <c r="I1065">
        <v>1936332</v>
      </c>
      <c r="J1065">
        <v>1074</v>
      </c>
      <c r="K1065">
        <v>31.88</v>
      </c>
      <c r="L1065">
        <v>33.15</v>
      </c>
      <c r="M1065">
        <v>26.65</v>
      </c>
    </row>
    <row r="1066" spans="1:13" x14ac:dyDescent="0.3">
      <c r="A1066" s="1">
        <v>45768</v>
      </c>
      <c r="B1066">
        <v>579.85</v>
      </c>
      <c r="C1066">
        <v>588.15</v>
      </c>
      <c r="D1066">
        <v>571</v>
      </c>
      <c r="E1066">
        <v>579.5</v>
      </c>
      <c r="F1066">
        <v>578.63852935659304</v>
      </c>
      <c r="G1066">
        <v>5331</v>
      </c>
      <c r="H1066">
        <v>556</v>
      </c>
      <c r="I1066">
        <v>3084722</v>
      </c>
      <c r="J1066">
        <v>1784</v>
      </c>
      <c r="K1066">
        <v>33.46</v>
      </c>
      <c r="L1066">
        <v>17.149999999999999</v>
      </c>
      <c r="M1066">
        <v>-0.35</v>
      </c>
    </row>
    <row r="1067" spans="1:13" x14ac:dyDescent="0.3">
      <c r="A1067" s="1">
        <v>45769</v>
      </c>
      <c r="B1067">
        <v>579.5</v>
      </c>
      <c r="C1067">
        <v>595.54999999999995</v>
      </c>
      <c r="D1067">
        <v>572.15</v>
      </c>
      <c r="E1067">
        <v>583.04999999999995</v>
      </c>
      <c r="F1067">
        <v>584.56207535515705</v>
      </c>
      <c r="G1067">
        <v>8095</v>
      </c>
      <c r="H1067">
        <v>373</v>
      </c>
      <c r="I1067">
        <v>4732030</v>
      </c>
      <c r="J1067">
        <v>5151</v>
      </c>
      <c r="K1067">
        <v>63.63</v>
      </c>
      <c r="L1067">
        <v>23.4</v>
      </c>
      <c r="M1067">
        <v>3.55</v>
      </c>
    </row>
    <row r="1068" spans="1:13" x14ac:dyDescent="0.3">
      <c r="A1068" s="1">
        <v>45770</v>
      </c>
      <c r="B1068">
        <v>590.9</v>
      </c>
      <c r="C1068">
        <v>596.1</v>
      </c>
      <c r="D1068">
        <v>572</v>
      </c>
      <c r="E1068">
        <v>576.95000000000005</v>
      </c>
      <c r="F1068">
        <v>579.92812676853396</v>
      </c>
      <c r="G1068">
        <v>3534</v>
      </c>
      <c r="H1068">
        <v>361</v>
      </c>
      <c r="I1068">
        <v>2049466</v>
      </c>
      <c r="J1068">
        <v>1289</v>
      </c>
      <c r="K1068">
        <v>36.47</v>
      </c>
      <c r="L1068">
        <v>24.1</v>
      </c>
      <c r="M1068">
        <v>-13.95</v>
      </c>
    </row>
    <row r="1069" spans="1:13" x14ac:dyDescent="0.3">
      <c r="A1069" s="1">
        <v>45771</v>
      </c>
      <c r="B1069">
        <v>593.79999999999995</v>
      </c>
      <c r="C1069">
        <v>593.79999999999995</v>
      </c>
      <c r="D1069">
        <v>565.20000000000005</v>
      </c>
      <c r="E1069">
        <v>579.75</v>
      </c>
      <c r="F1069">
        <v>578.15241821360098</v>
      </c>
      <c r="G1069">
        <v>12013</v>
      </c>
      <c r="H1069">
        <v>826</v>
      </c>
      <c r="I1069">
        <v>6945345</v>
      </c>
      <c r="J1069">
        <v>4949</v>
      </c>
      <c r="K1069">
        <v>41.2</v>
      </c>
      <c r="L1069">
        <v>28.6</v>
      </c>
      <c r="M1069">
        <v>-14.05</v>
      </c>
    </row>
    <row r="1070" spans="1:13" x14ac:dyDescent="0.3">
      <c r="A1070" s="1">
        <v>45772</v>
      </c>
      <c r="B1070">
        <v>590</v>
      </c>
      <c r="C1070">
        <v>590</v>
      </c>
      <c r="D1070">
        <v>543.20000000000005</v>
      </c>
      <c r="E1070">
        <v>552.25</v>
      </c>
      <c r="F1070">
        <v>556.10104011886995</v>
      </c>
      <c r="G1070">
        <v>4711</v>
      </c>
      <c r="H1070">
        <v>639</v>
      </c>
      <c r="I1070">
        <v>2619792</v>
      </c>
      <c r="J1070">
        <v>2355</v>
      </c>
      <c r="K1070">
        <v>49.99</v>
      </c>
      <c r="L1070">
        <v>46.8</v>
      </c>
      <c r="M1070">
        <v>-37.75</v>
      </c>
    </row>
    <row r="1071" spans="1:13" x14ac:dyDescent="0.3">
      <c r="A1071" s="1">
        <v>45775</v>
      </c>
      <c r="B1071">
        <v>552.25</v>
      </c>
      <c r="C1071">
        <v>555.54999999999995</v>
      </c>
      <c r="D1071">
        <v>542.6</v>
      </c>
      <c r="E1071">
        <v>545.45000000000005</v>
      </c>
      <c r="F1071">
        <v>550.04022277227705</v>
      </c>
      <c r="G1071">
        <v>4848</v>
      </c>
      <c r="H1071">
        <v>528</v>
      </c>
      <c r="I1071">
        <v>2666595</v>
      </c>
      <c r="J1071">
        <v>1913</v>
      </c>
      <c r="K1071">
        <v>39.46</v>
      </c>
      <c r="L1071">
        <v>12.95</v>
      </c>
      <c r="M1071">
        <v>-6.8</v>
      </c>
    </row>
    <row r="1072" spans="1:13" x14ac:dyDescent="0.3">
      <c r="A1072" s="1">
        <v>45776</v>
      </c>
      <c r="B1072">
        <v>550</v>
      </c>
      <c r="C1072">
        <v>560</v>
      </c>
      <c r="D1072">
        <v>540</v>
      </c>
      <c r="E1072">
        <v>545.6</v>
      </c>
      <c r="F1072">
        <v>547.96773234200703</v>
      </c>
      <c r="G1072">
        <v>6725</v>
      </c>
      <c r="H1072">
        <v>604</v>
      </c>
      <c r="I1072">
        <v>3685083</v>
      </c>
      <c r="J1072">
        <v>3073</v>
      </c>
      <c r="K1072">
        <v>45.7</v>
      </c>
      <c r="L1072">
        <v>20</v>
      </c>
      <c r="M1072">
        <v>-4.4000000000000004</v>
      </c>
    </row>
    <row r="1073" spans="1:13" x14ac:dyDescent="0.3">
      <c r="A1073" s="1">
        <v>45777</v>
      </c>
      <c r="B1073">
        <v>542.35</v>
      </c>
      <c r="C1073">
        <v>548.54999999999995</v>
      </c>
      <c r="D1073">
        <v>534.45000000000005</v>
      </c>
      <c r="E1073">
        <v>536.54999999999995</v>
      </c>
      <c r="F1073">
        <v>541.74092207262299</v>
      </c>
      <c r="G1073">
        <v>2451</v>
      </c>
      <c r="H1073">
        <v>283</v>
      </c>
      <c r="I1073">
        <v>1327807</v>
      </c>
      <c r="J1073">
        <v>1296</v>
      </c>
      <c r="K1073">
        <v>52.88</v>
      </c>
      <c r="L1073">
        <v>14.1</v>
      </c>
      <c r="M1073">
        <v>-5.8</v>
      </c>
    </row>
    <row r="1074" spans="1:13" x14ac:dyDescent="0.3">
      <c r="A1074" s="1">
        <v>45779</v>
      </c>
      <c r="B1074">
        <v>534</v>
      </c>
      <c r="C1074">
        <v>541.85</v>
      </c>
      <c r="D1074">
        <v>525.35</v>
      </c>
      <c r="E1074">
        <v>530.65</v>
      </c>
      <c r="F1074">
        <v>533.25844930417395</v>
      </c>
      <c r="G1074">
        <v>1509</v>
      </c>
      <c r="H1074">
        <v>249</v>
      </c>
      <c r="I1074">
        <v>804687</v>
      </c>
      <c r="J1074">
        <v>722</v>
      </c>
      <c r="K1074">
        <v>47.85</v>
      </c>
      <c r="L1074">
        <v>16.5</v>
      </c>
      <c r="M1074">
        <v>-3.35</v>
      </c>
    </row>
    <row r="1075" spans="1:13" x14ac:dyDescent="0.3">
      <c r="A1075" s="1">
        <v>45782</v>
      </c>
      <c r="B1075">
        <v>542</v>
      </c>
      <c r="C1075">
        <v>565.54999999999995</v>
      </c>
      <c r="D1075">
        <v>525.75</v>
      </c>
      <c r="E1075">
        <v>560.15</v>
      </c>
      <c r="F1075">
        <v>554.57475083056397</v>
      </c>
      <c r="G1075">
        <v>4816</v>
      </c>
      <c r="H1075">
        <v>580</v>
      </c>
      <c r="I1075">
        <v>2670832</v>
      </c>
      <c r="J1075">
        <v>1994</v>
      </c>
      <c r="K1075">
        <v>41.4</v>
      </c>
      <c r="L1075">
        <v>39.799999999999997</v>
      </c>
      <c r="M1075">
        <v>18.149999999999999</v>
      </c>
    </row>
    <row r="1076" spans="1:13" x14ac:dyDescent="0.3">
      <c r="A1076" s="1">
        <v>45783</v>
      </c>
      <c r="B1076">
        <v>569.85</v>
      </c>
      <c r="C1076">
        <v>569.85</v>
      </c>
      <c r="D1076">
        <v>528.29999999999995</v>
      </c>
      <c r="E1076">
        <v>531.45000000000005</v>
      </c>
      <c r="F1076">
        <v>543.28928471509801</v>
      </c>
      <c r="G1076">
        <v>10723</v>
      </c>
      <c r="H1076">
        <v>990</v>
      </c>
      <c r="I1076">
        <v>5825691</v>
      </c>
      <c r="J1076">
        <v>6275</v>
      </c>
      <c r="K1076">
        <v>58.52</v>
      </c>
      <c r="L1076">
        <v>41.55</v>
      </c>
      <c r="M1076">
        <v>-38.4</v>
      </c>
    </row>
    <row r="1077" spans="1:13" x14ac:dyDescent="0.3">
      <c r="A1077" s="1">
        <v>45784</v>
      </c>
      <c r="B1077">
        <v>514.95000000000005</v>
      </c>
      <c r="C1077">
        <v>546.54999999999995</v>
      </c>
      <c r="D1077">
        <v>514.95000000000005</v>
      </c>
      <c r="E1077">
        <v>544.04999999999995</v>
      </c>
      <c r="F1077">
        <v>532.89106692803102</v>
      </c>
      <c r="G1077">
        <v>3571</v>
      </c>
      <c r="H1077">
        <v>403</v>
      </c>
      <c r="I1077">
        <v>1902954</v>
      </c>
      <c r="J1077">
        <v>1524</v>
      </c>
      <c r="K1077">
        <v>42.68</v>
      </c>
      <c r="L1077">
        <v>31.6</v>
      </c>
      <c r="M1077">
        <v>29.1</v>
      </c>
    </row>
    <row r="1078" spans="1:13" x14ac:dyDescent="0.3">
      <c r="A1078" s="1">
        <v>45785</v>
      </c>
      <c r="B1078">
        <v>543.79999999999995</v>
      </c>
      <c r="C1078">
        <v>568.95000000000005</v>
      </c>
      <c r="D1078">
        <v>530</v>
      </c>
      <c r="E1078">
        <v>535.25</v>
      </c>
      <c r="F1078">
        <v>552.684070280622</v>
      </c>
      <c r="G1078">
        <v>12009</v>
      </c>
      <c r="H1078">
        <v>1119</v>
      </c>
      <c r="I1078">
        <v>6637183</v>
      </c>
      <c r="J1078">
        <v>6096</v>
      </c>
      <c r="K1078">
        <v>50.76</v>
      </c>
      <c r="L1078">
        <v>38.950000000000003</v>
      </c>
      <c r="M1078">
        <v>-8.5500000000000007</v>
      </c>
    </row>
    <row r="1079" spans="1:13" x14ac:dyDescent="0.3">
      <c r="A1079" s="1">
        <v>45786</v>
      </c>
      <c r="B1079">
        <v>516.75</v>
      </c>
      <c r="C1079">
        <v>551.35</v>
      </c>
      <c r="D1079">
        <v>516.75</v>
      </c>
      <c r="E1079">
        <v>548.20000000000005</v>
      </c>
      <c r="F1079">
        <v>535.79798172124902</v>
      </c>
      <c r="G1079">
        <v>5252</v>
      </c>
      <c r="H1079">
        <v>458</v>
      </c>
      <c r="I1079">
        <v>2814011</v>
      </c>
      <c r="J1079">
        <v>2897</v>
      </c>
      <c r="K1079">
        <v>55.16</v>
      </c>
      <c r="L1079">
        <v>34.6</v>
      </c>
      <c r="M1079">
        <v>31.45</v>
      </c>
    </row>
    <row r="1080" spans="1:13" x14ac:dyDescent="0.3">
      <c r="A1080" s="1">
        <v>45789</v>
      </c>
      <c r="B1080">
        <v>570.04999999999995</v>
      </c>
      <c r="C1080">
        <v>625.6</v>
      </c>
      <c r="D1080">
        <v>570</v>
      </c>
      <c r="E1080">
        <v>612.6</v>
      </c>
      <c r="F1080">
        <v>601.87739022462995</v>
      </c>
      <c r="G1080">
        <v>44295</v>
      </c>
      <c r="H1080">
        <v>3297</v>
      </c>
      <c r="I1080">
        <v>26660159</v>
      </c>
      <c r="J1080">
        <v>21705</v>
      </c>
      <c r="K1080">
        <v>49</v>
      </c>
      <c r="L1080">
        <v>55.6</v>
      </c>
      <c r="M1080">
        <v>42.55</v>
      </c>
    </row>
    <row r="1081" spans="1:13" x14ac:dyDescent="0.3">
      <c r="A1081" s="1">
        <v>45790</v>
      </c>
      <c r="B1081">
        <v>623.85</v>
      </c>
      <c r="C1081">
        <v>735.1</v>
      </c>
      <c r="D1081">
        <v>611</v>
      </c>
      <c r="E1081">
        <v>735.1</v>
      </c>
      <c r="F1081">
        <v>683.07892380730198</v>
      </c>
      <c r="G1081">
        <v>132913</v>
      </c>
      <c r="H1081">
        <v>5280</v>
      </c>
      <c r="I1081">
        <v>90790069</v>
      </c>
      <c r="J1081">
        <v>55820</v>
      </c>
      <c r="K1081">
        <v>42</v>
      </c>
      <c r="L1081">
        <v>124.1</v>
      </c>
      <c r="M1081">
        <v>111.25</v>
      </c>
    </row>
    <row r="1082" spans="1:13" x14ac:dyDescent="0.3">
      <c r="A1082" s="1">
        <v>45791</v>
      </c>
      <c r="B1082">
        <v>795.35</v>
      </c>
      <c r="C1082">
        <v>876.8</v>
      </c>
      <c r="D1082">
        <v>781.25</v>
      </c>
      <c r="E1082">
        <v>846.85</v>
      </c>
      <c r="F1082">
        <v>825.03676986825599</v>
      </c>
      <c r="G1082">
        <v>217923</v>
      </c>
      <c r="H1082">
        <v>13290</v>
      </c>
      <c r="I1082">
        <v>179794488</v>
      </c>
      <c r="J1082">
        <v>74618</v>
      </c>
      <c r="K1082">
        <v>34.24</v>
      </c>
      <c r="L1082">
        <v>95.55</v>
      </c>
      <c r="M1082">
        <v>51.5</v>
      </c>
    </row>
    <row r="1083" spans="1:13" x14ac:dyDescent="0.3">
      <c r="A1083" s="1">
        <v>45792</v>
      </c>
      <c r="B1083">
        <v>836.85</v>
      </c>
      <c r="C1083">
        <v>836.85</v>
      </c>
      <c r="D1083">
        <v>797.25</v>
      </c>
      <c r="E1083">
        <v>817.2</v>
      </c>
      <c r="F1083">
        <v>815.500390850695</v>
      </c>
      <c r="G1083">
        <v>29423</v>
      </c>
      <c r="H1083">
        <v>1876</v>
      </c>
      <c r="I1083">
        <v>23994468</v>
      </c>
      <c r="J1083">
        <v>14531</v>
      </c>
      <c r="K1083">
        <v>49.39</v>
      </c>
      <c r="L1083">
        <v>39.6</v>
      </c>
      <c r="M1083">
        <v>-19.649999999999999</v>
      </c>
    </row>
    <row r="1084" spans="1:13" x14ac:dyDescent="0.3">
      <c r="A1084" s="1">
        <v>45793</v>
      </c>
      <c r="B1084">
        <v>829.85</v>
      </c>
      <c r="C1084">
        <v>855</v>
      </c>
      <c r="D1084">
        <v>812.5</v>
      </c>
      <c r="E1084">
        <v>831.35</v>
      </c>
      <c r="F1084">
        <v>841.44227466109896</v>
      </c>
      <c r="G1084">
        <v>37843</v>
      </c>
      <c r="H1084">
        <v>2359</v>
      </c>
      <c r="I1084">
        <v>31842700</v>
      </c>
      <c r="J1084">
        <v>15957</v>
      </c>
      <c r="K1084">
        <v>42.17</v>
      </c>
      <c r="L1084">
        <v>42.5</v>
      </c>
      <c r="M1084">
        <v>1.5</v>
      </c>
    </row>
    <row r="1085" spans="1:13" x14ac:dyDescent="0.3">
      <c r="A1085" s="1">
        <v>45796</v>
      </c>
      <c r="B1085">
        <v>834.45</v>
      </c>
      <c r="C1085">
        <v>895</v>
      </c>
      <c r="D1085">
        <v>822.7</v>
      </c>
      <c r="E1085">
        <v>859.5</v>
      </c>
      <c r="F1085">
        <v>863.31525740343898</v>
      </c>
      <c r="G1085">
        <v>18201</v>
      </c>
      <c r="H1085">
        <v>1187</v>
      </c>
      <c r="I1085">
        <v>15713201</v>
      </c>
      <c r="J1085">
        <v>6483</v>
      </c>
      <c r="K1085">
        <v>35.619999999999997</v>
      </c>
      <c r="L1085">
        <v>72.3</v>
      </c>
      <c r="M1085">
        <v>25.05</v>
      </c>
    </row>
    <row r="1086" spans="1:13" x14ac:dyDescent="0.3">
      <c r="A1086" s="1">
        <v>45797</v>
      </c>
      <c r="B1086">
        <v>875.85</v>
      </c>
      <c r="C1086">
        <v>880.95</v>
      </c>
      <c r="D1086">
        <v>833.5</v>
      </c>
      <c r="E1086">
        <v>862.75</v>
      </c>
      <c r="F1086">
        <v>858.63378693331299</v>
      </c>
      <c r="G1086">
        <v>13301</v>
      </c>
      <c r="H1086">
        <v>967</v>
      </c>
      <c r="I1086">
        <v>11420688</v>
      </c>
      <c r="J1086">
        <v>4916</v>
      </c>
      <c r="K1086">
        <v>36.96</v>
      </c>
      <c r="L1086">
        <v>47.45</v>
      </c>
      <c r="M1086">
        <v>-13.1</v>
      </c>
    </row>
    <row r="1087" spans="1:13" x14ac:dyDescent="0.3">
      <c r="A1087" s="1">
        <v>45798</v>
      </c>
      <c r="B1087">
        <v>865</v>
      </c>
      <c r="C1087">
        <v>871.05</v>
      </c>
      <c r="D1087">
        <v>835.35</v>
      </c>
      <c r="E1087">
        <v>852.55</v>
      </c>
      <c r="F1087">
        <v>854.84071842801598</v>
      </c>
      <c r="G1087">
        <v>17761</v>
      </c>
      <c r="H1087">
        <v>1280</v>
      </c>
      <c r="I1087">
        <v>15182826</v>
      </c>
      <c r="J1087">
        <v>10344</v>
      </c>
      <c r="K1087">
        <v>58.24</v>
      </c>
      <c r="L1087">
        <v>35.700000000000003</v>
      </c>
      <c r="M1087">
        <v>-12.45</v>
      </c>
    </row>
    <row r="1088" spans="1:13" x14ac:dyDescent="0.3">
      <c r="A1088" s="1">
        <v>45799</v>
      </c>
      <c r="B1088">
        <v>858.05</v>
      </c>
      <c r="C1088">
        <v>863.3</v>
      </c>
      <c r="D1088">
        <v>822.6</v>
      </c>
      <c r="E1088">
        <v>829.55</v>
      </c>
      <c r="F1088">
        <v>837.20349667983498</v>
      </c>
      <c r="G1088">
        <v>11897</v>
      </c>
      <c r="H1088">
        <v>529</v>
      </c>
      <c r="I1088">
        <v>9960210</v>
      </c>
      <c r="J1088">
        <v>3683</v>
      </c>
      <c r="K1088">
        <v>30.96</v>
      </c>
      <c r="L1088">
        <v>40.700000000000003</v>
      </c>
      <c r="M1088">
        <v>-28.5</v>
      </c>
    </row>
    <row r="1089" spans="1:13" x14ac:dyDescent="0.3">
      <c r="A1089" s="1">
        <v>45800</v>
      </c>
      <c r="B1089">
        <v>829.95</v>
      </c>
      <c r="C1089">
        <v>829.95</v>
      </c>
      <c r="D1089">
        <v>796</v>
      </c>
      <c r="E1089">
        <v>819.6</v>
      </c>
      <c r="F1089">
        <v>814.45927963661904</v>
      </c>
      <c r="G1089">
        <v>15631</v>
      </c>
      <c r="H1089">
        <v>627</v>
      </c>
      <c r="I1089">
        <v>12730813</v>
      </c>
      <c r="J1089">
        <v>3612</v>
      </c>
      <c r="K1089">
        <v>23.11</v>
      </c>
      <c r="L1089">
        <v>33.950000000000003</v>
      </c>
      <c r="M1089">
        <v>-10.35</v>
      </c>
    </row>
    <row r="1090" spans="1:13" x14ac:dyDescent="0.3">
      <c r="A1090" s="1">
        <v>45803</v>
      </c>
      <c r="B1090">
        <v>818.3</v>
      </c>
      <c r="C1090">
        <v>860.95</v>
      </c>
      <c r="D1090">
        <v>818.3</v>
      </c>
      <c r="E1090">
        <v>828.9</v>
      </c>
      <c r="F1090">
        <v>842.48558792130495</v>
      </c>
      <c r="G1090">
        <v>19671</v>
      </c>
      <c r="H1090">
        <v>1469</v>
      </c>
      <c r="I1090">
        <v>16572534</v>
      </c>
      <c r="J1090">
        <v>7327</v>
      </c>
      <c r="K1090">
        <v>37.25</v>
      </c>
      <c r="L1090">
        <v>42.65</v>
      </c>
      <c r="M1090">
        <v>10.6</v>
      </c>
    </row>
    <row r="1091" spans="1:13" x14ac:dyDescent="0.3">
      <c r="A1091" s="1">
        <v>45804</v>
      </c>
      <c r="B1091">
        <v>837.45</v>
      </c>
      <c r="C1091">
        <v>911.75</v>
      </c>
      <c r="D1091">
        <v>829.3</v>
      </c>
      <c r="E1091">
        <v>869.85</v>
      </c>
      <c r="F1091">
        <v>891.23266104136599</v>
      </c>
      <c r="G1091">
        <v>38872</v>
      </c>
      <c r="H1091">
        <v>1438</v>
      </c>
      <c r="I1091">
        <v>34643996</v>
      </c>
      <c r="J1091">
        <v>21859</v>
      </c>
      <c r="K1091">
        <v>56.23</v>
      </c>
      <c r="L1091">
        <v>82.45</v>
      </c>
      <c r="M1091">
        <v>32.4</v>
      </c>
    </row>
    <row r="1092" spans="1:13" x14ac:dyDescent="0.3">
      <c r="A1092" s="1">
        <v>45805</v>
      </c>
      <c r="B1092">
        <v>868.45</v>
      </c>
      <c r="C1092">
        <v>888</v>
      </c>
      <c r="D1092">
        <v>858.8</v>
      </c>
      <c r="E1092">
        <v>863.65</v>
      </c>
      <c r="F1092">
        <v>873.40527728836298</v>
      </c>
      <c r="G1092">
        <v>23838</v>
      </c>
      <c r="H1092">
        <v>1269</v>
      </c>
      <c r="I1092">
        <v>20820235</v>
      </c>
      <c r="J1092">
        <v>13567</v>
      </c>
      <c r="K1092">
        <v>56.91</v>
      </c>
      <c r="L1092">
        <v>29.2</v>
      </c>
      <c r="M1092">
        <v>-4.8</v>
      </c>
    </row>
    <row r="1093" spans="1:13" x14ac:dyDescent="0.3">
      <c r="A1093" s="1">
        <v>45806</v>
      </c>
      <c r="B1093">
        <v>873.85</v>
      </c>
      <c r="C1093">
        <v>880</v>
      </c>
      <c r="D1093">
        <v>841.9</v>
      </c>
      <c r="E1093">
        <v>846.4</v>
      </c>
      <c r="F1093">
        <v>853.07358469073904</v>
      </c>
      <c r="G1093">
        <v>17558</v>
      </c>
      <c r="H1093">
        <v>1004</v>
      </c>
      <c r="I1093">
        <v>14978266</v>
      </c>
      <c r="J1093">
        <v>14083</v>
      </c>
      <c r="K1093">
        <v>80.209999999999994</v>
      </c>
      <c r="L1093">
        <v>38.1</v>
      </c>
      <c r="M1093">
        <v>-27.45</v>
      </c>
    </row>
    <row r="1094" spans="1:13" x14ac:dyDescent="0.3">
      <c r="A1094" s="1">
        <v>45807</v>
      </c>
      <c r="B1094">
        <v>847.05</v>
      </c>
      <c r="C1094">
        <v>904.45</v>
      </c>
      <c r="D1094">
        <v>846.4</v>
      </c>
      <c r="E1094">
        <v>867.7</v>
      </c>
      <c r="F1094">
        <v>875.69798885090302</v>
      </c>
      <c r="G1094">
        <v>32469</v>
      </c>
      <c r="H1094">
        <v>1432</v>
      </c>
      <c r="I1094">
        <v>28433038</v>
      </c>
      <c r="J1094">
        <v>8181</v>
      </c>
      <c r="K1094">
        <v>25.2</v>
      </c>
      <c r="L1094">
        <v>58.05</v>
      </c>
      <c r="M1094">
        <v>20.65</v>
      </c>
    </row>
    <row r="1095" spans="1:13" x14ac:dyDescent="0.3">
      <c r="A1095" s="1">
        <v>45810</v>
      </c>
      <c r="B1095">
        <v>884.75</v>
      </c>
      <c r="C1095">
        <v>884.75</v>
      </c>
      <c r="D1095">
        <v>848.7</v>
      </c>
      <c r="E1095">
        <v>853.15</v>
      </c>
      <c r="F1095">
        <v>858.60341261633903</v>
      </c>
      <c r="G1095">
        <v>3868</v>
      </c>
      <c r="H1095">
        <v>314</v>
      </c>
      <c r="I1095">
        <v>3321078</v>
      </c>
      <c r="J1095">
        <v>2814</v>
      </c>
      <c r="K1095">
        <v>72.75</v>
      </c>
      <c r="L1095">
        <v>36.049999999999997</v>
      </c>
      <c r="M1095">
        <v>-31.6</v>
      </c>
    </row>
    <row r="1096" spans="1:13" x14ac:dyDescent="0.3">
      <c r="A1096" s="1">
        <v>45811</v>
      </c>
      <c r="B1096">
        <v>868.9</v>
      </c>
      <c r="C1096">
        <v>905.45</v>
      </c>
      <c r="D1096">
        <v>848.65</v>
      </c>
      <c r="E1096">
        <v>869.85</v>
      </c>
      <c r="F1096">
        <v>875.10292939186104</v>
      </c>
      <c r="G1096">
        <v>11231</v>
      </c>
      <c r="H1096">
        <v>700</v>
      </c>
      <c r="I1096">
        <v>9828281</v>
      </c>
      <c r="J1096">
        <v>5443</v>
      </c>
      <c r="K1096">
        <v>48.46</v>
      </c>
      <c r="L1096">
        <v>56.8</v>
      </c>
      <c r="M1096">
        <v>0.95</v>
      </c>
    </row>
    <row r="1097" spans="1:13" x14ac:dyDescent="0.3">
      <c r="A1097" s="1">
        <v>45812</v>
      </c>
      <c r="B1097">
        <v>879</v>
      </c>
      <c r="C1097">
        <v>916.9</v>
      </c>
      <c r="D1097">
        <v>871.15</v>
      </c>
      <c r="E1097">
        <v>886.5</v>
      </c>
      <c r="F1097">
        <v>886.84805491990801</v>
      </c>
      <c r="G1097">
        <v>32775</v>
      </c>
      <c r="H1097">
        <v>1747</v>
      </c>
      <c r="I1097">
        <v>29066445</v>
      </c>
      <c r="J1097">
        <v>13147</v>
      </c>
      <c r="K1097">
        <v>40.11</v>
      </c>
      <c r="L1097">
        <v>45.75</v>
      </c>
      <c r="M1097">
        <v>7.5</v>
      </c>
    </row>
    <row r="1098" spans="1:13" x14ac:dyDescent="0.3">
      <c r="A1098" s="1">
        <v>45813</v>
      </c>
      <c r="B1098">
        <v>895.25</v>
      </c>
      <c r="C1098">
        <v>909</v>
      </c>
      <c r="D1098">
        <v>880.55</v>
      </c>
      <c r="E1098">
        <v>890.05</v>
      </c>
      <c r="F1098">
        <v>892.39071707952996</v>
      </c>
      <c r="G1098">
        <v>19175</v>
      </c>
      <c r="H1098">
        <v>1248</v>
      </c>
      <c r="I1098">
        <v>17111592</v>
      </c>
      <c r="J1098">
        <v>11616</v>
      </c>
      <c r="K1098">
        <v>60.58</v>
      </c>
      <c r="L1098">
        <v>28.45</v>
      </c>
      <c r="M1098">
        <v>-5.2</v>
      </c>
    </row>
    <row r="1099" spans="1:13" x14ac:dyDescent="0.3">
      <c r="A1099" s="1">
        <v>45814</v>
      </c>
      <c r="B1099">
        <v>907.55</v>
      </c>
      <c r="C1099">
        <v>927.7</v>
      </c>
      <c r="D1099">
        <v>895.25</v>
      </c>
      <c r="E1099">
        <v>903.15</v>
      </c>
      <c r="F1099">
        <v>906.36359884440697</v>
      </c>
      <c r="G1099">
        <v>12115</v>
      </c>
      <c r="H1099">
        <v>722</v>
      </c>
      <c r="I1099">
        <v>10980595</v>
      </c>
      <c r="J1099">
        <v>6128</v>
      </c>
      <c r="K1099">
        <v>50.58</v>
      </c>
      <c r="L1099">
        <v>32.450000000000003</v>
      </c>
      <c r="M1099">
        <v>-4.4000000000000004</v>
      </c>
    </row>
    <row r="1100" spans="1:13" x14ac:dyDescent="0.3">
      <c r="A1100" s="1">
        <v>45817</v>
      </c>
      <c r="B1100">
        <v>905</v>
      </c>
      <c r="C1100">
        <v>922</v>
      </c>
      <c r="D1100">
        <v>860</v>
      </c>
      <c r="E1100">
        <v>877.35</v>
      </c>
      <c r="F1100">
        <v>880.16145154280696</v>
      </c>
      <c r="G1100">
        <v>9204</v>
      </c>
      <c r="H1100">
        <v>704</v>
      </c>
      <c r="I1100">
        <v>8101006</v>
      </c>
      <c r="J1100">
        <v>5049</v>
      </c>
      <c r="K1100">
        <v>54.86</v>
      </c>
      <c r="L1100">
        <v>62</v>
      </c>
      <c r="M1100">
        <v>-27.65</v>
      </c>
    </row>
    <row r="1101" spans="1:13" x14ac:dyDescent="0.3">
      <c r="A1101" s="1">
        <v>45818</v>
      </c>
      <c r="B1101">
        <v>908.95</v>
      </c>
      <c r="C1101">
        <v>908.95</v>
      </c>
      <c r="D1101">
        <v>863.5</v>
      </c>
      <c r="E1101">
        <v>869.25</v>
      </c>
      <c r="F1101">
        <v>871.50662427133</v>
      </c>
      <c r="G1101">
        <v>3774</v>
      </c>
      <c r="H1101">
        <v>291</v>
      </c>
      <c r="I1101">
        <v>3289066</v>
      </c>
      <c r="J1101">
        <v>2010</v>
      </c>
      <c r="K1101">
        <v>53.26</v>
      </c>
      <c r="L1101">
        <v>45.45</v>
      </c>
      <c r="M1101">
        <v>-39.700000000000003</v>
      </c>
    </row>
    <row r="1102" spans="1:13" x14ac:dyDescent="0.3">
      <c r="A1102" s="1">
        <v>45819</v>
      </c>
      <c r="B1102">
        <v>876.25</v>
      </c>
      <c r="C1102">
        <v>898.35</v>
      </c>
      <c r="D1102">
        <v>865.75</v>
      </c>
      <c r="E1102">
        <v>884.65</v>
      </c>
      <c r="F1102">
        <v>881.45907868584095</v>
      </c>
      <c r="G1102">
        <v>17106</v>
      </c>
      <c r="H1102">
        <v>942</v>
      </c>
      <c r="I1102">
        <v>15078239</v>
      </c>
      <c r="J1102">
        <v>9686</v>
      </c>
      <c r="K1102">
        <v>56.62</v>
      </c>
      <c r="L1102">
        <v>32.6</v>
      </c>
      <c r="M1102">
        <v>8.4</v>
      </c>
    </row>
    <row r="1103" spans="1:13" x14ac:dyDescent="0.3">
      <c r="A1103" s="1">
        <v>45820</v>
      </c>
      <c r="B1103">
        <v>896.55</v>
      </c>
      <c r="C1103">
        <v>898</v>
      </c>
      <c r="D1103">
        <v>866.05</v>
      </c>
      <c r="E1103">
        <v>887.2</v>
      </c>
      <c r="F1103">
        <v>882.79797781486195</v>
      </c>
      <c r="G1103">
        <v>20374</v>
      </c>
      <c r="H1103">
        <v>1197</v>
      </c>
      <c r="I1103">
        <v>17986126</v>
      </c>
      <c r="J1103">
        <v>12113</v>
      </c>
      <c r="K1103">
        <v>59.45</v>
      </c>
      <c r="L1103">
        <v>31.95</v>
      </c>
      <c r="M1103">
        <v>-9.35</v>
      </c>
    </row>
    <row r="1104" spans="1:13" x14ac:dyDescent="0.3">
      <c r="A1104" s="1">
        <v>45821</v>
      </c>
      <c r="B1104">
        <v>843.2</v>
      </c>
      <c r="C1104">
        <v>877.7</v>
      </c>
      <c r="D1104">
        <v>843.2</v>
      </c>
      <c r="E1104">
        <v>866.35</v>
      </c>
      <c r="F1104">
        <v>861.55407322215797</v>
      </c>
      <c r="G1104">
        <v>26085</v>
      </c>
      <c r="H1104">
        <v>1394</v>
      </c>
      <c r="I1104">
        <v>22473638</v>
      </c>
      <c r="J1104">
        <v>15545</v>
      </c>
      <c r="K1104">
        <v>59.59</v>
      </c>
      <c r="L1104">
        <v>34.5</v>
      </c>
      <c r="M1104">
        <v>23.15</v>
      </c>
    </row>
    <row r="1105" spans="1:13" x14ac:dyDescent="0.3">
      <c r="A1105" s="1">
        <v>45824</v>
      </c>
      <c r="B1105">
        <v>863.1</v>
      </c>
      <c r="C1105">
        <v>897.2</v>
      </c>
      <c r="D1105">
        <v>828.85</v>
      </c>
      <c r="E1105">
        <v>890.15</v>
      </c>
      <c r="F1105">
        <v>864.79123404255301</v>
      </c>
      <c r="G1105">
        <v>11750</v>
      </c>
      <c r="H1105">
        <v>933</v>
      </c>
      <c r="I1105">
        <v>10161297</v>
      </c>
      <c r="J1105">
        <v>5305</v>
      </c>
      <c r="K1105">
        <v>45.15</v>
      </c>
      <c r="L1105">
        <v>68.349999999999994</v>
      </c>
      <c r="M1105">
        <v>27.05</v>
      </c>
    </row>
    <row r="1106" spans="1:13" x14ac:dyDescent="0.3">
      <c r="A1106" s="1">
        <v>45825</v>
      </c>
      <c r="B1106">
        <v>890.2</v>
      </c>
      <c r="C1106">
        <v>913.7</v>
      </c>
      <c r="D1106">
        <v>875.05</v>
      </c>
      <c r="E1106">
        <v>883.15</v>
      </c>
      <c r="F1106">
        <v>895.87766307928803</v>
      </c>
      <c r="G1106">
        <v>9106</v>
      </c>
      <c r="H1106">
        <v>555</v>
      </c>
      <c r="I1106">
        <v>8157862</v>
      </c>
      <c r="J1106">
        <v>3363</v>
      </c>
      <c r="K1106">
        <v>36.93</v>
      </c>
      <c r="L1106">
        <v>38.65</v>
      </c>
      <c r="M1106">
        <v>-7.05</v>
      </c>
    </row>
    <row r="1107" spans="1:13" x14ac:dyDescent="0.3">
      <c r="A1107" s="1">
        <v>45826</v>
      </c>
      <c r="B1107">
        <v>885.05</v>
      </c>
      <c r="C1107">
        <v>910.35</v>
      </c>
      <c r="D1107">
        <v>875.25</v>
      </c>
      <c r="E1107">
        <v>900.65</v>
      </c>
      <c r="F1107">
        <v>899.45398843930604</v>
      </c>
      <c r="G1107">
        <v>8650</v>
      </c>
      <c r="H1107">
        <v>519</v>
      </c>
      <c r="I1107">
        <v>7780277</v>
      </c>
      <c r="J1107">
        <v>5983</v>
      </c>
      <c r="K1107">
        <v>69.17</v>
      </c>
      <c r="L1107">
        <v>35.1</v>
      </c>
      <c r="M1107">
        <v>15.6</v>
      </c>
    </row>
    <row r="1108" spans="1:13" x14ac:dyDescent="0.3">
      <c r="A1108" s="1">
        <v>45827</v>
      </c>
      <c r="B1108">
        <v>908.85</v>
      </c>
      <c r="C1108">
        <v>927</v>
      </c>
      <c r="D1108">
        <v>872.3</v>
      </c>
      <c r="E1108">
        <v>890.25</v>
      </c>
      <c r="F1108">
        <v>893.38716835504101</v>
      </c>
      <c r="G1108">
        <v>10365</v>
      </c>
      <c r="H1108">
        <v>673</v>
      </c>
      <c r="I1108">
        <v>9259958</v>
      </c>
      <c r="J1108">
        <v>4521</v>
      </c>
      <c r="K1108">
        <v>43.62</v>
      </c>
      <c r="L1108">
        <v>54.7</v>
      </c>
      <c r="M1108">
        <v>-18.600000000000001</v>
      </c>
    </row>
    <row r="1109" spans="1:13" x14ac:dyDescent="0.3">
      <c r="A1109" s="1">
        <v>45828</v>
      </c>
      <c r="B1109">
        <v>877</v>
      </c>
      <c r="C1109">
        <v>925</v>
      </c>
      <c r="D1109">
        <v>877</v>
      </c>
      <c r="E1109">
        <v>920.95</v>
      </c>
      <c r="F1109">
        <v>909.33212574059303</v>
      </c>
      <c r="G1109">
        <v>26499</v>
      </c>
      <c r="H1109">
        <v>1756</v>
      </c>
      <c r="I1109">
        <v>24096392</v>
      </c>
      <c r="J1109">
        <v>18876</v>
      </c>
      <c r="K1109">
        <v>71.23</v>
      </c>
      <c r="L1109">
        <v>48</v>
      </c>
      <c r="M1109">
        <v>43.95</v>
      </c>
    </row>
    <row r="1110" spans="1:13" x14ac:dyDescent="0.3">
      <c r="A1110" s="1">
        <v>45831</v>
      </c>
      <c r="B1110">
        <v>910.95</v>
      </c>
      <c r="C1110">
        <v>939</v>
      </c>
      <c r="D1110">
        <v>906.35</v>
      </c>
      <c r="E1110">
        <v>918.8</v>
      </c>
      <c r="F1110">
        <v>922.64490007786105</v>
      </c>
      <c r="G1110">
        <v>19265</v>
      </c>
      <c r="H1110">
        <v>1121</v>
      </c>
      <c r="I1110">
        <v>17774754</v>
      </c>
      <c r="J1110">
        <v>6590</v>
      </c>
      <c r="K1110">
        <v>34.21</v>
      </c>
      <c r="L1110">
        <v>32.65</v>
      </c>
      <c r="M1110">
        <v>7.85</v>
      </c>
    </row>
    <row r="1111" spans="1:13" x14ac:dyDescent="0.3">
      <c r="A1111" s="1">
        <v>45832</v>
      </c>
      <c r="B1111">
        <v>931.95</v>
      </c>
      <c r="C1111">
        <v>963.95</v>
      </c>
      <c r="D1111">
        <v>917.35</v>
      </c>
      <c r="E1111">
        <v>940</v>
      </c>
      <c r="F1111">
        <v>938.621800993124</v>
      </c>
      <c r="G1111">
        <v>20944</v>
      </c>
      <c r="H1111">
        <v>1331</v>
      </c>
      <c r="I1111">
        <v>19658495</v>
      </c>
      <c r="J1111">
        <v>11074</v>
      </c>
      <c r="K1111">
        <v>52.87</v>
      </c>
      <c r="L1111">
        <v>46.6</v>
      </c>
      <c r="M1111">
        <v>8.0500000000000007</v>
      </c>
    </row>
    <row r="1112" spans="1:13" x14ac:dyDescent="0.3">
      <c r="A1112" s="1">
        <v>45833</v>
      </c>
      <c r="B1112">
        <v>967.05</v>
      </c>
      <c r="C1112">
        <v>975</v>
      </c>
      <c r="D1112">
        <v>939.85</v>
      </c>
      <c r="E1112">
        <v>945.3</v>
      </c>
      <c r="F1112">
        <v>960.35280220501295</v>
      </c>
      <c r="G1112">
        <v>15238</v>
      </c>
      <c r="H1112">
        <v>683</v>
      </c>
      <c r="I1112">
        <v>14633856</v>
      </c>
      <c r="J1112">
        <v>6127</v>
      </c>
      <c r="K1112">
        <v>40.21</v>
      </c>
      <c r="L1112">
        <v>35.15</v>
      </c>
      <c r="M1112">
        <v>-21.75</v>
      </c>
    </row>
    <row r="1113" spans="1:13" x14ac:dyDescent="0.3">
      <c r="A1113" s="1">
        <v>45834</v>
      </c>
      <c r="B1113">
        <v>951</v>
      </c>
      <c r="C1113">
        <v>965</v>
      </c>
      <c r="D1113">
        <v>946.45</v>
      </c>
      <c r="E1113">
        <v>951.85</v>
      </c>
      <c r="F1113">
        <v>953.60785930200598</v>
      </c>
      <c r="G1113">
        <v>14556</v>
      </c>
      <c r="H1113">
        <v>921</v>
      </c>
      <c r="I1113">
        <v>13880716</v>
      </c>
      <c r="J1113">
        <v>6624</v>
      </c>
      <c r="K1113">
        <v>45.51</v>
      </c>
      <c r="L1113">
        <v>18.55</v>
      </c>
      <c r="M1113">
        <v>0.85</v>
      </c>
    </row>
    <row r="1114" spans="1:13" x14ac:dyDescent="0.3">
      <c r="A1114" s="1">
        <v>45835</v>
      </c>
      <c r="B1114">
        <v>950.05</v>
      </c>
      <c r="C1114">
        <v>959.35</v>
      </c>
      <c r="D1114">
        <v>888</v>
      </c>
      <c r="E1114">
        <v>895.5</v>
      </c>
      <c r="F1114">
        <v>920.18131885086495</v>
      </c>
      <c r="G1114">
        <v>32407</v>
      </c>
      <c r="H1114">
        <v>2686</v>
      </c>
      <c r="I1114">
        <v>29820316</v>
      </c>
      <c r="J1114">
        <v>19576</v>
      </c>
      <c r="K1114">
        <v>60.41</v>
      </c>
      <c r="L1114">
        <v>71.349999999999994</v>
      </c>
      <c r="M1114">
        <v>-54.55</v>
      </c>
    </row>
    <row r="1115" spans="1:13" x14ac:dyDescent="0.3">
      <c r="A1115" s="1">
        <v>45838</v>
      </c>
      <c r="B1115">
        <v>896.25</v>
      </c>
      <c r="C1115">
        <v>904.45</v>
      </c>
      <c r="D1115">
        <v>877.85</v>
      </c>
      <c r="E1115">
        <v>885.65</v>
      </c>
      <c r="F1115">
        <v>889.84219870262802</v>
      </c>
      <c r="G1115">
        <v>14645</v>
      </c>
      <c r="H1115">
        <v>910</v>
      </c>
      <c r="I1115">
        <v>13031739</v>
      </c>
      <c r="J1115">
        <v>10702</v>
      </c>
      <c r="K1115">
        <v>73.08</v>
      </c>
      <c r="L1115">
        <v>26.6</v>
      </c>
      <c r="M1115">
        <v>-10.6</v>
      </c>
    </row>
    <row r="1116" spans="1:13" x14ac:dyDescent="0.3">
      <c r="A1116" s="1">
        <v>45839</v>
      </c>
      <c r="B1116">
        <v>900</v>
      </c>
      <c r="C1116">
        <v>938</v>
      </c>
      <c r="D1116">
        <v>890.75</v>
      </c>
      <c r="E1116">
        <v>915.7</v>
      </c>
      <c r="F1116">
        <v>917.35906728339103</v>
      </c>
      <c r="G1116">
        <v>20971</v>
      </c>
      <c r="H1116">
        <v>1448</v>
      </c>
      <c r="I1116">
        <v>19237937</v>
      </c>
      <c r="J1116">
        <v>11750</v>
      </c>
      <c r="K1116">
        <v>56.03</v>
      </c>
      <c r="L1116">
        <v>47.25</v>
      </c>
      <c r="M1116">
        <v>15.7</v>
      </c>
    </row>
    <row r="1117" spans="1:13" x14ac:dyDescent="0.3">
      <c r="A1117" s="1">
        <v>45840</v>
      </c>
      <c r="B1117">
        <v>928.95</v>
      </c>
      <c r="C1117">
        <v>928.95</v>
      </c>
      <c r="D1117">
        <v>888.65</v>
      </c>
      <c r="E1117">
        <v>893.1</v>
      </c>
      <c r="F1117">
        <v>901.10853184248901</v>
      </c>
      <c r="G1117">
        <v>16456</v>
      </c>
      <c r="H1117">
        <v>1167</v>
      </c>
      <c r="I1117">
        <v>14828642</v>
      </c>
      <c r="J1117">
        <v>9418</v>
      </c>
      <c r="K1117">
        <v>57.23</v>
      </c>
      <c r="L1117">
        <v>40.299999999999997</v>
      </c>
      <c r="M1117">
        <v>-35.85</v>
      </c>
    </row>
    <row r="1118" spans="1:13" x14ac:dyDescent="0.3">
      <c r="A1118" s="1">
        <v>45841</v>
      </c>
      <c r="B1118">
        <v>898.15</v>
      </c>
      <c r="C1118">
        <v>966.15</v>
      </c>
      <c r="D1118">
        <v>898.05</v>
      </c>
      <c r="E1118">
        <v>942.9</v>
      </c>
      <c r="F1118">
        <v>941.65948579313397</v>
      </c>
      <c r="G1118">
        <v>35511</v>
      </c>
      <c r="H1118">
        <v>2401</v>
      </c>
      <c r="I1118">
        <v>33439270</v>
      </c>
      <c r="J1118">
        <v>17521</v>
      </c>
      <c r="K1118">
        <v>49.34</v>
      </c>
      <c r="L1118">
        <v>68.099999999999994</v>
      </c>
      <c r="M1118">
        <v>44.75</v>
      </c>
    </row>
    <row r="1119" spans="1:13" x14ac:dyDescent="0.3">
      <c r="A1119" s="1">
        <v>45842</v>
      </c>
      <c r="B1119">
        <v>964.7</v>
      </c>
      <c r="C1119">
        <v>994</v>
      </c>
      <c r="D1119">
        <v>938.05</v>
      </c>
      <c r="E1119">
        <v>983.85</v>
      </c>
      <c r="F1119">
        <v>967.96245367661402</v>
      </c>
      <c r="G1119">
        <v>20508</v>
      </c>
      <c r="H1119">
        <v>1473</v>
      </c>
      <c r="I1119">
        <v>19850974</v>
      </c>
      <c r="J1119">
        <v>7412</v>
      </c>
      <c r="K1119">
        <v>36.14</v>
      </c>
      <c r="L1119">
        <v>55.95</v>
      </c>
      <c r="M1119">
        <v>19.149999999999999</v>
      </c>
    </row>
    <row r="1120" spans="1:13" x14ac:dyDescent="0.3">
      <c r="A1120" s="1">
        <v>45845</v>
      </c>
      <c r="B1120">
        <v>1004.9</v>
      </c>
      <c r="C1120">
        <v>1015.4</v>
      </c>
      <c r="D1120">
        <v>963.9</v>
      </c>
      <c r="E1120">
        <v>998.5</v>
      </c>
      <c r="F1120">
        <v>989.39137621063605</v>
      </c>
      <c r="G1120">
        <v>34486</v>
      </c>
      <c r="H1120">
        <v>2490</v>
      </c>
      <c r="I1120">
        <v>34120151</v>
      </c>
      <c r="J1120">
        <v>17075</v>
      </c>
      <c r="K1120">
        <v>49.51</v>
      </c>
      <c r="L1120">
        <v>51.5</v>
      </c>
      <c r="M1120">
        <v>-6.4</v>
      </c>
    </row>
    <row r="1121" spans="1:13" x14ac:dyDescent="0.3">
      <c r="A1121" s="1">
        <v>45846</v>
      </c>
      <c r="B1121">
        <v>1000.05</v>
      </c>
      <c r="C1121">
        <v>1013.35</v>
      </c>
      <c r="D1121">
        <v>986.45</v>
      </c>
      <c r="E1121">
        <v>997.55</v>
      </c>
      <c r="F1121">
        <v>1001.05548023405</v>
      </c>
      <c r="G1121">
        <v>28028</v>
      </c>
      <c r="H1121">
        <v>2015</v>
      </c>
      <c r="I1121">
        <v>28057583</v>
      </c>
      <c r="J1121">
        <v>15916</v>
      </c>
      <c r="K1121">
        <v>56.79</v>
      </c>
      <c r="L1121">
        <v>26.9</v>
      </c>
      <c r="M1121">
        <v>-2.5</v>
      </c>
    </row>
    <row r="1122" spans="1:13" x14ac:dyDescent="0.3">
      <c r="A1122" s="1">
        <v>45847</v>
      </c>
      <c r="B1122">
        <v>1013.75</v>
      </c>
      <c r="C1122">
        <v>1036.6500000000001</v>
      </c>
      <c r="D1122">
        <v>990.35</v>
      </c>
      <c r="E1122">
        <v>1000.3</v>
      </c>
      <c r="F1122">
        <v>1005.17643168164</v>
      </c>
      <c r="G1122">
        <v>18143</v>
      </c>
      <c r="H1122">
        <v>1163</v>
      </c>
      <c r="I1122">
        <v>18236916</v>
      </c>
      <c r="J1122">
        <v>8983</v>
      </c>
      <c r="K1122">
        <v>49.51</v>
      </c>
      <c r="L1122">
        <v>46.3</v>
      </c>
      <c r="M1122">
        <v>-13.45</v>
      </c>
    </row>
    <row r="1123" spans="1:13" x14ac:dyDescent="0.3">
      <c r="A1123" s="1">
        <v>45848</v>
      </c>
      <c r="B1123">
        <v>1024.95</v>
      </c>
      <c r="C1123">
        <v>1027.4000000000001</v>
      </c>
      <c r="D1123">
        <v>992.1</v>
      </c>
      <c r="E1123">
        <v>1002.9</v>
      </c>
      <c r="F1123">
        <v>1003.9856437028</v>
      </c>
      <c r="G1123">
        <v>10727</v>
      </c>
      <c r="H1123">
        <v>815</v>
      </c>
      <c r="I1123">
        <v>10769754</v>
      </c>
      <c r="J1123">
        <v>5889</v>
      </c>
      <c r="K1123">
        <v>54.9</v>
      </c>
      <c r="L1123">
        <v>35.299999999999997</v>
      </c>
      <c r="M1123">
        <v>-22.05</v>
      </c>
    </row>
    <row r="1124" spans="1:13" x14ac:dyDescent="0.3">
      <c r="A1124" s="1">
        <v>45849</v>
      </c>
      <c r="B1124">
        <v>524.85</v>
      </c>
      <c r="C1124">
        <v>525</v>
      </c>
      <c r="D1124">
        <v>477</v>
      </c>
      <c r="E1124">
        <v>485.4</v>
      </c>
      <c r="F1124">
        <v>495.10645750381701</v>
      </c>
      <c r="G1124">
        <v>33403</v>
      </c>
      <c r="H1124">
        <v>1520</v>
      </c>
      <c r="I1124">
        <v>16538041</v>
      </c>
      <c r="J1124">
        <v>13823</v>
      </c>
      <c r="K1124">
        <v>41.38</v>
      </c>
      <c r="L1124">
        <v>48</v>
      </c>
      <c r="M1124">
        <v>-39.450000000000003</v>
      </c>
    </row>
    <row r="1125" spans="1:13" x14ac:dyDescent="0.3">
      <c r="A1125" s="1">
        <v>45852</v>
      </c>
      <c r="B1125">
        <v>486</v>
      </c>
      <c r="C1125">
        <v>497.6</v>
      </c>
      <c r="D1125">
        <v>453.9</v>
      </c>
      <c r="E1125">
        <v>485.55</v>
      </c>
      <c r="F1125">
        <v>465.56193586829301</v>
      </c>
      <c r="G1125">
        <v>45313</v>
      </c>
      <c r="H1125">
        <v>2669</v>
      </c>
      <c r="I1125">
        <v>21096008</v>
      </c>
      <c r="J1125">
        <v>19317</v>
      </c>
      <c r="K1125">
        <v>42.63</v>
      </c>
      <c r="L1125">
        <v>43.7</v>
      </c>
      <c r="M1125">
        <v>-0.45</v>
      </c>
    </row>
    <row r="1126" spans="1:13" x14ac:dyDescent="0.3">
      <c r="A1126" s="1">
        <v>45853</v>
      </c>
      <c r="B1126">
        <v>485.15</v>
      </c>
      <c r="C1126">
        <v>496.9</v>
      </c>
      <c r="D1126">
        <v>468.05</v>
      </c>
      <c r="E1126">
        <v>472.9</v>
      </c>
      <c r="F1126">
        <v>474.81691624820598</v>
      </c>
      <c r="G1126">
        <v>44608</v>
      </c>
      <c r="H1126">
        <v>1758</v>
      </c>
      <c r="I1126">
        <v>21180633</v>
      </c>
      <c r="J1126">
        <v>21817</v>
      </c>
      <c r="K1126">
        <v>48.91</v>
      </c>
      <c r="L1126">
        <v>28.85</v>
      </c>
      <c r="M1126">
        <v>-12.25</v>
      </c>
    </row>
    <row r="1127" spans="1:13" x14ac:dyDescent="0.3">
      <c r="A1127" s="1">
        <v>45854</v>
      </c>
      <c r="B1127">
        <v>469.9</v>
      </c>
      <c r="C1127">
        <v>471.1</v>
      </c>
      <c r="D1127">
        <v>433.5</v>
      </c>
      <c r="E1127">
        <v>443.75</v>
      </c>
      <c r="F1127">
        <v>444.11836620997002</v>
      </c>
      <c r="G1127">
        <v>96928</v>
      </c>
      <c r="H1127">
        <v>4682</v>
      </c>
      <c r="I1127">
        <v>43047505</v>
      </c>
      <c r="J1127">
        <v>46862</v>
      </c>
      <c r="K1127">
        <v>48.35</v>
      </c>
      <c r="L1127">
        <v>37.6</v>
      </c>
      <c r="M1127">
        <v>-26.15</v>
      </c>
    </row>
    <row r="1128" spans="1:13" x14ac:dyDescent="0.3">
      <c r="A1128" s="1">
        <v>45855</v>
      </c>
      <c r="B1128">
        <v>440.3</v>
      </c>
      <c r="C1128">
        <v>473.15</v>
      </c>
      <c r="D1128">
        <v>434.8</v>
      </c>
      <c r="E1128">
        <v>461.4</v>
      </c>
      <c r="F1128">
        <v>451.03248745863999</v>
      </c>
      <c r="G1128">
        <v>74952</v>
      </c>
      <c r="H1128">
        <v>2536</v>
      </c>
      <c r="I1128">
        <v>33805787</v>
      </c>
      <c r="J1128">
        <v>35584</v>
      </c>
      <c r="K1128">
        <v>47.48</v>
      </c>
      <c r="L1128">
        <v>38.35</v>
      </c>
      <c r="M1128">
        <v>21.1</v>
      </c>
    </row>
    <row r="1129" spans="1:13" x14ac:dyDescent="0.3">
      <c r="A1129" s="1">
        <v>45856</v>
      </c>
      <c r="B1129">
        <v>474.75</v>
      </c>
      <c r="C1129">
        <v>474.75</v>
      </c>
      <c r="D1129">
        <v>456.45</v>
      </c>
      <c r="E1129">
        <v>466.85</v>
      </c>
      <c r="F1129">
        <v>462.616266990827</v>
      </c>
      <c r="G1129">
        <v>45245</v>
      </c>
      <c r="H1129">
        <v>1688</v>
      </c>
      <c r="I1129">
        <v>20931073</v>
      </c>
      <c r="J1129">
        <v>18426</v>
      </c>
      <c r="K1129">
        <v>40.72</v>
      </c>
      <c r="L1129">
        <v>18.3</v>
      </c>
      <c r="M1129">
        <v>-7.9</v>
      </c>
    </row>
    <row r="1130" spans="1:13" x14ac:dyDescent="0.3">
      <c r="A1130" s="1">
        <v>45859</v>
      </c>
      <c r="B1130">
        <v>464.2</v>
      </c>
      <c r="C1130">
        <v>464.55</v>
      </c>
      <c r="D1130">
        <v>448.25</v>
      </c>
      <c r="E1130">
        <v>453.3</v>
      </c>
      <c r="F1130">
        <v>455.23246217331399</v>
      </c>
      <c r="G1130">
        <v>12359</v>
      </c>
      <c r="H1130">
        <v>680</v>
      </c>
      <c r="I1130">
        <v>5626218</v>
      </c>
      <c r="J1130">
        <v>5540</v>
      </c>
      <c r="K1130">
        <v>44.83</v>
      </c>
      <c r="L1130">
        <v>16.3</v>
      </c>
      <c r="M1130">
        <v>-10.9</v>
      </c>
    </row>
    <row r="1131" spans="1:13" x14ac:dyDescent="0.3">
      <c r="A1131" s="1">
        <v>45860</v>
      </c>
      <c r="B1131">
        <v>459.35</v>
      </c>
      <c r="C1131">
        <v>468</v>
      </c>
      <c r="D1131">
        <v>451.45</v>
      </c>
      <c r="E1131">
        <v>453.55</v>
      </c>
      <c r="F1131">
        <v>456.77311293153798</v>
      </c>
      <c r="G1131">
        <v>27344</v>
      </c>
      <c r="H1131">
        <v>1153</v>
      </c>
      <c r="I1131">
        <v>12490004</v>
      </c>
      <c r="J1131">
        <v>12852</v>
      </c>
      <c r="K1131">
        <v>47</v>
      </c>
      <c r="L1131">
        <v>16.55</v>
      </c>
      <c r="M1131">
        <v>-5.8</v>
      </c>
    </row>
    <row r="1132" spans="1:13" x14ac:dyDescent="0.3">
      <c r="A1132" s="1">
        <v>45861</v>
      </c>
      <c r="B1132">
        <v>451.3</v>
      </c>
      <c r="C1132">
        <v>471.65</v>
      </c>
      <c r="D1132">
        <v>430</v>
      </c>
      <c r="E1132">
        <v>445.1</v>
      </c>
      <c r="F1132">
        <v>452.802832248794</v>
      </c>
      <c r="G1132">
        <v>227593</v>
      </c>
      <c r="H1132">
        <v>7540</v>
      </c>
      <c r="I1132">
        <v>103054755</v>
      </c>
      <c r="J1132">
        <v>95292</v>
      </c>
      <c r="K1132">
        <v>41.87</v>
      </c>
      <c r="L1132">
        <v>41.65</v>
      </c>
      <c r="M1132">
        <v>-6.2</v>
      </c>
    </row>
    <row r="1133" spans="1:13" x14ac:dyDescent="0.3">
      <c r="A1133" s="1">
        <v>45862</v>
      </c>
      <c r="B1133">
        <v>440.3</v>
      </c>
      <c r="C1133">
        <v>451.2</v>
      </c>
      <c r="D1133">
        <v>427.7</v>
      </c>
      <c r="E1133">
        <v>432.75</v>
      </c>
      <c r="F1133">
        <v>438.640452817219</v>
      </c>
      <c r="G1133">
        <v>46553</v>
      </c>
      <c r="H1133">
        <v>1844</v>
      </c>
      <c r="I1133">
        <v>20420029</v>
      </c>
      <c r="J1133">
        <v>22121</v>
      </c>
      <c r="K1133">
        <v>47.52</v>
      </c>
      <c r="L1133">
        <v>23.5</v>
      </c>
      <c r="M1133">
        <v>-7.55</v>
      </c>
    </row>
    <row r="1134" spans="1:13" x14ac:dyDescent="0.3">
      <c r="A1134" s="1">
        <v>45863</v>
      </c>
      <c r="B1134">
        <v>434.95</v>
      </c>
      <c r="C1134">
        <v>434.95</v>
      </c>
      <c r="D1134">
        <v>406.4</v>
      </c>
      <c r="E1134">
        <v>409.5</v>
      </c>
      <c r="F1134">
        <v>415.887321238813</v>
      </c>
      <c r="G1134">
        <v>78107</v>
      </c>
      <c r="H1134">
        <v>2977</v>
      </c>
      <c r="I1134">
        <v>32483711</v>
      </c>
      <c r="J1134">
        <v>50125</v>
      </c>
      <c r="K1134">
        <v>64.17</v>
      </c>
      <c r="L1134">
        <v>28.55</v>
      </c>
      <c r="M1134">
        <v>-25.45</v>
      </c>
    </row>
    <row r="1135" spans="1:13" x14ac:dyDescent="0.3">
      <c r="A1135" s="1">
        <v>45866</v>
      </c>
      <c r="B1135">
        <v>402.05</v>
      </c>
      <c r="C1135">
        <v>411.1</v>
      </c>
      <c r="D1135">
        <v>387.85</v>
      </c>
      <c r="E1135">
        <v>402.9</v>
      </c>
      <c r="F1135">
        <v>396.83085765951898</v>
      </c>
      <c r="G1135">
        <v>61936</v>
      </c>
      <c r="H1135">
        <v>2728</v>
      </c>
      <c r="I1135">
        <v>24578116</v>
      </c>
      <c r="J1135">
        <v>30237</v>
      </c>
      <c r="K1135">
        <v>48.82</v>
      </c>
      <c r="L1135">
        <v>23.25</v>
      </c>
      <c r="M1135">
        <v>0.85</v>
      </c>
    </row>
    <row r="1136" spans="1:13" x14ac:dyDescent="0.3">
      <c r="A1136" s="1">
        <v>45867</v>
      </c>
      <c r="B1136">
        <v>408.9</v>
      </c>
      <c r="C1136">
        <v>418.2</v>
      </c>
      <c r="D1136">
        <v>396.05</v>
      </c>
      <c r="E1136">
        <v>400.85</v>
      </c>
      <c r="F1136">
        <v>406.93852984706399</v>
      </c>
      <c r="G1136">
        <v>30405</v>
      </c>
      <c r="H1136">
        <v>1768</v>
      </c>
      <c r="I1136">
        <v>12372966</v>
      </c>
      <c r="J1136">
        <v>12347</v>
      </c>
      <c r="K1136">
        <v>40.61</v>
      </c>
      <c r="L1136">
        <v>22.15</v>
      </c>
      <c r="M1136">
        <v>-8.0500000000000007</v>
      </c>
    </row>
    <row r="1137" spans="1:13" x14ac:dyDescent="0.3">
      <c r="A1137" s="1">
        <v>45868</v>
      </c>
      <c r="B1137">
        <v>398.05</v>
      </c>
      <c r="C1137">
        <v>423.25</v>
      </c>
      <c r="D1137">
        <v>398.05</v>
      </c>
      <c r="E1137">
        <v>407.3</v>
      </c>
      <c r="F1137">
        <v>415.310337349397</v>
      </c>
      <c r="G1137">
        <v>41500</v>
      </c>
      <c r="H1137">
        <v>1854</v>
      </c>
      <c r="I1137">
        <v>17235379</v>
      </c>
      <c r="J1137">
        <v>16814</v>
      </c>
      <c r="K1137">
        <v>40.520000000000003</v>
      </c>
      <c r="L1137">
        <v>25.2</v>
      </c>
      <c r="M1137">
        <v>9.25</v>
      </c>
    </row>
    <row r="1138" spans="1:13" x14ac:dyDescent="0.3">
      <c r="A1138" s="1">
        <v>45869</v>
      </c>
      <c r="B1138">
        <v>393.55</v>
      </c>
      <c r="C1138">
        <v>405.25</v>
      </c>
      <c r="D1138">
        <v>392.3</v>
      </c>
      <c r="E1138">
        <v>400</v>
      </c>
      <c r="F1138">
        <v>398.91048675292598</v>
      </c>
      <c r="G1138">
        <v>40575</v>
      </c>
      <c r="H1138">
        <v>1913</v>
      </c>
      <c r="I1138">
        <v>16185793</v>
      </c>
      <c r="J1138">
        <v>15824</v>
      </c>
      <c r="K1138">
        <v>39</v>
      </c>
      <c r="L1138">
        <v>12.95</v>
      </c>
      <c r="M1138">
        <v>6.45</v>
      </c>
    </row>
    <row r="1139" spans="1:13" x14ac:dyDescent="0.3">
      <c r="A1139" s="1">
        <v>45870</v>
      </c>
      <c r="B1139">
        <v>400</v>
      </c>
      <c r="C1139">
        <v>402.45</v>
      </c>
      <c r="D1139">
        <v>388.45</v>
      </c>
      <c r="E1139">
        <v>392.15</v>
      </c>
      <c r="F1139">
        <v>397.02082991096302</v>
      </c>
      <c r="G1139">
        <v>30437</v>
      </c>
      <c r="H1139">
        <v>1250</v>
      </c>
      <c r="I1139">
        <v>12084123</v>
      </c>
      <c r="J1139">
        <v>14098</v>
      </c>
      <c r="K1139">
        <v>46.32</v>
      </c>
      <c r="L1139">
        <v>14</v>
      </c>
      <c r="M1139">
        <v>-7.85</v>
      </c>
    </row>
    <row r="1140" spans="1:13" x14ac:dyDescent="0.3">
      <c r="A1140" s="1">
        <v>45873</v>
      </c>
      <c r="B1140">
        <v>398.95</v>
      </c>
      <c r="C1140">
        <v>414</v>
      </c>
      <c r="D1140">
        <v>391.7</v>
      </c>
      <c r="E1140">
        <v>411.5</v>
      </c>
      <c r="F1140">
        <v>401.943054759174</v>
      </c>
      <c r="G1140">
        <v>27904</v>
      </c>
      <c r="H1140">
        <v>1153</v>
      </c>
      <c r="I1140">
        <v>11215819</v>
      </c>
      <c r="J1140">
        <v>11118</v>
      </c>
      <c r="K1140">
        <v>39.840000000000003</v>
      </c>
      <c r="L1140">
        <v>22.3</v>
      </c>
      <c r="M1140">
        <v>12.55</v>
      </c>
    </row>
    <row r="1141" spans="1:13" x14ac:dyDescent="0.3">
      <c r="A1141" s="1">
        <v>45874</v>
      </c>
      <c r="B1141">
        <v>417.25</v>
      </c>
      <c r="C1141">
        <v>417.95</v>
      </c>
      <c r="D1141">
        <v>403.6</v>
      </c>
      <c r="E1141">
        <v>408.5</v>
      </c>
      <c r="F1141">
        <v>407.86843164078198</v>
      </c>
      <c r="G1141">
        <v>12427</v>
      </c>
      <c r="H1141">
        <v>654</v>
      </c>
      <c r="I1141">
        <v>5068581</v>
      </c>
      <c r="J1141">
        <v>4180</v>
      </c>
      <c r="K1141">
        <v>33.64</v>
      </c>
      <c r="L1141">
        <v>14.35</v>
      </c>
      <c r="M1141">
        <v>-8.75</v>
      </c>
    </row>
    <row r="1142" spans="1:13" x14ac:dyDescent="0.3">
      <c r="A1142" s="1">
        <v>45875</v>
      </c>
      <c r="B1142">
        <v>411</v>
      </c>
      <c r="C1142">
        <v>411</v>
      </c>
      <c r="D1142">
        <v>391.4</v>
      </c>
      <c r="E1142">
        <v>408.55</v>
      </c>
      <c r="F1142">
        <v>401.24432063404799</v>
      </c>
      <c r="G1142">
        <v>25487</v>
      </c>
      <c r="H1142">
        <v>1061</v>
      </c>
      <c r="I1142">
        <v>10226514</v>
      </c>
      <c r="J1142">
        <v>9987</v>
      </c>
      <c r="K1142">
        <v>39.18</v>
      </c>
      <c r="L1142">
        <v>19.600000000000001</v>
      </c>
      <c r="M1142">
        <v>-2.4500000000000002</v>
      </c>
    </row>
    <row r="1143" spans="1:13" x14ac:dyDescent="0.3">
      <c r="A1143" s="1">
        <v>45876</v>
      </c>
      <c r="B1143">
        <v>408.55</v>
      </c>
      <c r="C1143">
        <v>410.3</v>
      </c>
      <c r="D1143">
        <v>397.35</v>
      </c>
      <c r="E1143">
        <v>407.7</v>
      </c>
      <c r="F1143">
        <v>404.04918942242398</v>
      </c>
      <c r="G1143">
        <v>16223</v>
      </c>
      <c r="H1143">
        <v>639</v>
      </c>
      <c r="I1143">
        <v>6554890</v>
      </c>
      <c r="J1143">
        <v>3376</v>
      </c>
      <c r="K1143">
        <v>20.81</v>
      </c>
      <c r="L1143">
        <v>12.95</v>
      </c>
      <c r="M1143">
        <v>-0.85</v>
      </c>
    </row>
    <row r="1144" spans="1:13" x14ac:dyDescent="0.3">
      <c r="A1144" s="1">
        <v>45877</v>
      </c>
      <c r="B1144">
        <v>414.85</v>
      </c>
      <c r="C1144">
        <v>414.85</v>
      </c>
      <c r="D1144">
        <v>395.6</v>
      </c>
      <c r="E1144">
        <v>401.75</v>
      </c>
      <c r="F1144">
        <v>402.62836910181301</v>
      </c>
      <c r="G1144">
        <v>27678</v>
      </c>
      <c r="H1144">
        <v>1124</v>
      </c>
      <c r="I1144">
        <v>11143948</v>
      </c>
      <c r="J1144">
        <v>9993</v>
      </c>
      <c r="K1144">
        <v>36.1</v>
      </c>
      <c r="L1144">
        <v>19.25</v>
      </c>
      <c r="M1144">
        <v>-13.1</v>
      </c>
    </row>
    <row r="1145" spans="1:13" x14ac:dyDescent="0.3">
      <c r="A1145" s="1">
        <v>45880</v>
      </c>
      <c r="B1145">
        <v>404.95</v>
      </c>
      <c r="C1145">
        <v>404.95</v>
      </c>
      <c r="D1145">
        <v>396.6</v>
      </c>
      <c r="E1145">
        <v>399.9</v>
      </c>
      <c r="F1145">
        <v>400.052926208651</v>
      </c>
      <c r="G1145">
        <v>17685</v>
      </c>
      <c r="H1145">
        <v>855</v>
      </c>
      <c r="I1145">
        <v>7074936</v>
      </c>
      <c r="J1145">
        <v>10675</v>
      </c>
      <c r="K1145">
        <v>60.36</v>
      </c>
      <c r="L1145">
        <v>8.35</v>
      </c>
      <c r="M1145">
        <v>-5.05</v>
      </c>
    </row>
    <row r="1146" spans="1:13" x14ac:dyDescent="0.3">
      <c r="A1146" s="1">
        <v>45881</v>
      </c>
      <c r="B1146">
        <v>396.05</v>
      </c>
      <c r="C1146">
        <v>403.65</v>
      </c>
      <c r="D1146">
        <v>392</v>
      </c>
      <c r="E1146">
        <v>394.3</v>
      </c>
      <c r="F1146">
        <v>396.55143004190802</v>
      </c>
      <c r="G1146">
        <v>13601</v>
      </c>
      <c r="H1146">
        <v>788</v>
      </c>
      <c r="I1146">
        <v>5393496</v>
      </c>
      <c r="J1146">
        <v>8104</v>
      </c>
      <c r="K1146">
        <v>59.58</v>
      </c>
      <c r="L1146">
        <v>11.65</v>
      </c>
      <c r="M1146">
        <v>-1.75</v>
      </c>
    </row>
    <row r="1147" spans="1:13" x14ac:dyDescent="0.3">
      <c r="A1147" s="1">
        <v>45882</v>
      </c>
      <c r="B1147">
        <v>395.95</v>
      </c>
      <c r="C1147">
        <v>400</v>
      </c>
      <c r="D1147">
        <v>394.05</v>
      </c>
      <c r="E1147">
        <v>395.6</v>
      </c>
      <c r="F1147">
        <v>396.48718388341098</v>
      </c>
      <c r="G1147">
        <v>11665</v>
      </c>
      <c r="H1147">
        <v>379</v>
      </c>
      <c r="I1147">
        <v>4625023</v>
      </c>
      <c r="J1147">
        <v>4658</v>
      </c>
      <c r="K1147">
        <v>39.93</v>
      </c>
      <c r="L1147">
        <v>5.95</v>
      </c>
      <c r="M1147">
        <v>-0.35</v>
      </c>
    </row>
    <row r="1148" spans="1:13" x14ac:dyDescent="0.3">
      <c r="A1148" s="1">
        <v>45883</v>
      </c>
      <c r="B1148">
        <v>399</v>
      </c>
      <c r="C1148">
        <v>399</v>
      </c>
      <c r="D1148">
        <v>389.5</v>
      </c>
      <c r="E1148">
        <v>390.65</v>
      </c>
      <c r="F1148">
        <v>392.96342743817002</v>
      </c>
      <c r="G1148">
        <v>17144</v>
      </c>
      <c r="H1148">
        <v>916</v>
      </c>
      <c r="I1148">
        <v>6736965</v>
      </c>
      <c r="J1148">
        <v>10146</v>
      </c>
      <c r="K1148">
        <v>59.18</v>
      </c>
      <c r="L1148">
        <v>9.5</v>
      </c>
      <c r="M1148">
        <v>-8.35</v>
      </c>
    </row>
    <row r="1149" spans="1:13" x14ac:dyDescent="0.3">
      <c r="A1149" s="1">
        <v>45887</v>
      </c>
      <c r="B1149">
        <v>397.85</v>
      </c>
      <c r="C1149">
        <v>399.25</v>
      </c>
      <c r="D1149">
        <v>389</v>
      </c>
      <c r="E1149">
        <v>390.1</v>
      </c>
      <c r="F1149">
        <v>395.22284572950298</v>
      </c>
      <c r="G1149">
        <v>10514</v>
      </c>
      <c r="H1149">
        <v>364</v>
      </c>
      <c r="I1149">
        <v>4155373</v>
      </c>
      <c r="J1149">
        <v>2495</v>
      </c>
      <c r="K1149">
        <v>23.73</v>
      </c>
      <c r="L1149">
        <v>10.25</v>
      </c>
      <c r="M1149">
        <v>-7.75</v>
      </c>
    </row>
    <row r="1150" spans="1:13" x14ac:dyDescent="0.3">
      <c r="A1150" s="1">
        <v>45888</v>
      </c>
      <c r="B1150">
        <v>389.1</v>
      </c>
      <c r="C1150">
        <v>400.85</v>
      </c>
      <c r="D1150">
        <v>389.1</v>
      </c>
      <c r="E1150">
        <v>399.9</v>
      </c>
      <c r="F1150">
        <v>398.60776327411901</v>
      </c>
      <c r="G1150">
        <v>20378</v>
      </c>
      <c r="H1150">
        <v>854</v>
      </c>
      <c r="I1150">
        <v>8122829</v>
      </c>
      <c r="J1150">
        <v>15089</v>
      </c>
      <c r="K1150">
        <v>74.05</v>
      </c>
      <c r="L1150">
        <v>11.75</v>
      </c>
      <c r="M1150">
        <v>10.8</v>
      </c>
    </row>
    <row r="1151" spans="1:13" x14ac:dyDescent="0.3">
      <c r="A1151" s="1">
        <v>45889</v>
      </c>
      <c r="B1151">
        <v>417.1</v>
      </c>
      <c r="C1151">
        <v>479.85</v>
      </c>
      <c r="D1151">
        <v>417.1</v>
      </c>
      <c r="E1151">
        <v>479.85</v>
      </c>
      <c r="F1151">
        <v>464.047937007607</v>
      </c>
      <c r="G1151">
        <v>472057</v>
      </c>
      <c r="H1151">
        <v>6013</v>
      </c>
      <c r="I1151">
        <v>219057077</v>
      </c>
      <c r="J1151">
        <v>253257</v>
      </c>
      <c r="K1151">
        <v>53.65</v>
      </c>
      <c r="L1151">
        <v>62.75</v>
      </c>
      <c r="M1151">
        <v>62.75</v>
      </c>
    </row>
    <row r="1152" spans="1:13" x14ac:dyDescent="0.3">
      <c r="A1152" s="1">
        <v>45890</v>
      </c>
      <c r="B1152">
        <v>519</v>
      </c>
      <c r="C1152">
        <v>520</v>
      </c>
      <c r="D1152">
        <v>459</v>
      </c>
      <c r="E1152">
        <v>463.25</v>
      </c>
      <c r="F1152">
        <v>487.01413329556499</v>
      </c>
      <c r="G1152">
        <v>338916</v>
      </c>
      <c r="H1152">
        <v>12599</v>
      </c>
      <c r="I1152">
        <v>165056882</v>
      </c>
      <c r="J1152">
        <v>115276</v>
      </c>
      <c r="K1152">
        <v>34.01</v>
      </c>
      <c r="L1152">
        <v>61</v>
      </c>
      <c r="M1152">
        <v>-55.75</v>
      </c>
    </row>
    <row r="1153" spans="1:13" x14ac:dyDescent="0.3">
      <c r="A1153" s="1">
        <v>45891</v>
      </c>
      <c r="B1153">
        <v>460</v>
      </c>
      <c r="C1153">
        <v>465.15</v>
      </c>
      <c r="D1153">
        <v>451.65</v>
      </c>
      <c r="E1153">
        <v>453.95</v>
      </c>
      <c r="F1153">
        <v>458.763312248418</v>
      </c>
      <c r="G1153">
        <v>26085</v>
      </c>
      <c r="H1153">
        <v>1293</v>
      </c>
      <c r="I1153">
        <v>11966841</v>
      </c>
      <c r="J1153">
        <v>9056</v>
      </c>
      <c r="K1153">
        <v>34.72</v>
      </c>
      <c r="L1153">
        <v>13.5</v>
      </c>
      <c r="M1153">
        <v>-6.05</v>
      </c>
    </row>
    <row r="1154" spans="1:13" x14ac:dyDescent="0.3">
      <c r="A1154" s="1">
        <v>45894</v>
      </c>
      <c r="B1154">
        <v>452.05</v>
      </c>
      <c r="C1154">
        <v>459.9</v>
      </c>
      <c r="D1154">
        <v>438.5</v>
      </c>
      <c r="E1154">
        <v>440.2</v>
      </c>
      <c r="F1154">
        <v>447.06022803487502</v>
      </c>
      <c r="G1154">
        <v>44730</v>
      </c>
      <c r="H1154">
        <v>2214</v>
      </c>
      <c r="I1154">
        <v>19997004</v>
      </c>
      <c r="J1154">
        <v>24707</v>
      </c>
      <c r="K1154">
        <v>55.24</v>
      </c>
      <c r="L1154">
        <v>21.4</v>
      </c>
      <c r="M1154">
        <v>-11.85</v>
      </c>
    </row>
    <row r="1155" spans="1:13" x14ac:dyDescent="0.3">
      <c r="A1155" s="1">
        <v>45895</v>
      </c>
      <c r="B1155">
        <v>455</v>
      </c>
      <c r="C1155">
        <v>455</v>
      </c>
      <c r="D1155">
        <v>434</v>
      </c>
      <c r="E1155">
        <v>438.7</v>
      </c>
      <c r="F1155">
        <v>439.52376065677203</v>
      </c>
      <c r="G1155">
        <v>12668</v>
      </c>
      <c r="H1155">
        <v>884</v>
      </c>
      <c r="I1155">
        <v>5567887</v>
      </c>
      <c r="J1155">
        <v>3585</v>
      </c>
      <c r="K1155">
        <v>28.3</v>
      </c>
      <c r="L1155">
        <v>21</v>
      </c>
      <c r="M1155">
        <v>-16.3</v>
      </c>
    </row>
    <row r="1156" spans="1:13" x14ac:dyDescent="0.3">
      <c r="A1156" s="1">
        <v>45897</v>
      </c>
      <c r="B1156">
        <v>435</v>
      </c>
      <c r="C1156">
        <v>441.55</v>
      </c>
      <c r="D1156">
        <v>425.5</v>
      </c>
      <c r="E1156">
        <v>427.5</v>
      </c>
      <c r="F1156">
        <v>431.47341534186103</v>
      </c>
      <c r="G1156">
        <v>24469</v>
      </c>
      <c r="H1156">
        <v>1280</v>
      </c>
      <c r="I1156">
        <v>10557723</v>
      </c>
      <c r="J1156">
        <v>10641</v>
      </c>
      <c r="K1156">
        <v>43.49</v>
      </c>
      <c r="L1156">
        <v>16.05</v>
      </c>
      <c r="M1156">
        <v>-7.5</v>
      </c>
    </row>
    <row r="1157" spans="1:13" x14ac:dyDescent="0.3">
      <c r="A1157" s="1">
        <v>45898</v>
      </c>
      <c r="B1157">
        <v>431.95</v>
      </c>
      <c r="C1157">
        <v>436</v>
      </c>
      <c r="D1157">
        <v>417.85</v>
      </c>
      <c r="E1157">
        <v>419.5</v>
      </c>
      <c r="F1157">
        <v>425.50978970268301</v>
      </c>
      <c r="G1157">
        <v>31717</v>
      </c>
      <c r="H1157">
        <v>1404</v>
      </c>
      <c r="I1157">
        <v>13495894</v>
      </c>
      <c r="J1157">
        <v>11806</v>
      </c>
      <c r="K1157">
        <v>37.22</v>
      </c>
      <c r="L1157">
        <v>18.149999999999999</v>
      </c>
      <c r="M1157">
        <v>-12.45</v>
      </c>
    </row>
    <row r="1158" spans="1:13" x14ac:dyDescent="0.3">
      <c r="A1158" s="1">
        <v>45901</v>
      </c>
      <c r="B1158">
        <v>411.1</v>
      </c>
      <c r="C1158">
        <v>433.9</v>
      </c>
      <c r="D1158">
        <v>411.1</v>
      </c>
      <c r="E1158">
        <v>430.1</v>
      </c>
      <c r="F1158">
        <v>426.34442416584699</v>
      </c>
      <c r="G1158">
        <v>21369</v>
      </c>
      <c r="H1158">
        <v>963</v>
      </c>
      <c r="I1158">
        <v>9110554</v>
      </c>
      <c r="J1158">
        <v>7305</v>
      </c>
      <c r="K1158">
        <v>34.18</v>
      </c>
      <c r="L1158">
        <v>22.8</v>
      </c>
      <c r="M1158">
        <v>19</v>
      </c>
    </row>
    <row r="1159" spans="1:13" x14ac:dyDescent="0.3">
      <c r="A1159" s="1">
        <v>45902</v>
      </c>
      <c r="B1159">
        <v>440</v>
      </c>
      <c r="C1159">
        <v>444.55</v>
      </c>
      <c r="D1159">
        <v>428.6</v>
      </c>
      <c r="E1159">
        <v>431.8</v>
      </c>
      <c r="F1159">
        <v>433.42252131632699</v>
      </c>
      <c r="G1159">
        <v>14191</v>
      </c>
      <c r="H1159">
        <v>644</v>
      </c>
      <c r="I1159">
        <v>6150699</v>
      </c>
      <c r="J1159">
        <v>6545</v>
      </c>
      <c r="K1159">
        <v>46.12</v>
      </c>
      <c r="L1159">
        <v>15.95</v>
      </c>
      <c r="M1159">
        <v>-8.1999999999999993</v>
      </c>
    </row>
    <row r="1160" spans="1:13" x14ac:dyDescent="0.3">
      <c r="A1160" s="1">
        <v>45903</v>
      </c>
      <c r="B1160">
        <v>433</v>
      </c>
      <c r="C1160">
        <v>441</v>
      </c>
      <c r="D1160">
        <v>426.4</v>
      </c>
      <c r="E1160">
        <v>432.45</v>
      </c>
      <c r="F1160">
        <v>433.651042616572</v>
      </c>
      <c r="G1160">
        <v>16449</v>
      </c>
      <c r="H1160">
        <v>757</v>
      </c>
      <c r="I1160">
        <v>7133126</v>
      </c>
      <c r="J1160">
        <v>6383</v>
      </c>
      <c r="K1160">
        <v>38.799999999999997</v>
      </c>
      <c r="L1160">
        <v>14.6</v>
      </c>
      <c r="M1160">
        <v>-0.55000000000000004</v>
      </c>
    </row>
    <row r="1161" spans="1:13" x14ac:dyDescent="0.3">
      <c r="A1161" s="1">
        <v>45904</v>
      </c>
      <c r="B1161">
        <v>430.05</v>
      </c>
      <c r="C1161">
        <v>441.05</v>
      </c>
      <c r="D1161">
        <v>430.05</v>
      </c>
      <c r="E1161">
        <v>437.95</v>
      </c>
      <c r="F1161">
        <v>437.830644238471</v>
      </c>
      <c r="G1161">
        <v>8739</v>
      </c>
      <c r="H1161">
        <v>485</v>
      </c>
      <c r="I1161">
        <v>3826202</v>
      </c>
      <c r="J1161">
        <v>2949</v>
      </c>
      <c r="K1161">
        <v>33.75</v>
      </c>
      <c r="L1161">
        <v>11</v>
      </c>
      <c r="M1161">
        <v>7.9</v>
      </c>
    </row>
    <row r="1162" spans="1:13" x14ac:dyDescent="0.3">
      <c r="A1162" s="1">
        <v>45905</v>
      </c>
      <c r="B1162">
        <v>434.1</v>
      </c>
      <c r="C1162">
        <v>436</v>
      </c>
      <c r="D1162">
        <v>423.5</v>
      </c>
      <c r="E1162">
        <v>428.5</v>
      </c>
      <c r="F1162">
        <v>427.76139312778901</v>
      </c>
      <c r="G1162">
        <v>19266</v>
      </c>
      <c r="H1162">
        <v>914</v>
      </c>
      <c r="I1162">
        <v>8241251</v>
      </c>
      <c r="J1162">
        <v>10193</v>
      </c>
      <c r="K1162">
        <v>52.91</v>
      </c>
      <c r="L1162">
        <v>12.5</v>
      </c>
      <c r="M1162">
        <v>-5.6</v>
      </c>
    </row>
    <row r="1163" spans="1:13" x14ac:dyDescent="0.3">
      <c r="A1163" s="1">
        <v>45908</v>
      </c>
      <c r="B1163">
        <v>428.5</v>
      </c>
      <c r="C1163">
        <v>431.05</v>
      </c>
      <c r="D1163">
        <v>423.1</v>
      </c>
      <c r="E1163">
        <v>424.75</v>
      </c>
      <c r="F1163">
        <v>427.00379285193202</v>
      </c>
      <c r="G1163">
        <v>6855</v>
      </c>
      <c r="H1163">
        <v>273</v>
      </c>
      <c r="I1163">
        <v>2927111</v>
      </c>
      <c r="J1163">
        <v>3832</v>
      </c>
      <c r="K1163">
        <v>55.9</v>
      </c>
      <c r="L1163">
        <v>7.95</v>
      </c>
      <c r="M1163">
        <v>-3.75</v>
      </c>
    </row>
    <row r="1164" spans="1:13" x14ac:dyDescent="0.3">
      <c r="A1164" s="1">
        <v>45909</v>
      </c>
      <c r="B1164">
        <v>424.05</v>
      </c>
      <c r="C1164">
        <v>430</v>
      </c>
      <c r="D1164">
        <v>420.8</v>
      </c>
      <c r="E1164">
        <v>424.75</v>
      </c>
      <c r="F1164">
        <v>424.030110935023</v>
      </c>
      <c r="G1164">
        <v>11358</v>
      </c>
      <c r="H1164">
        <v>602</v>
      </c>
      <c r="I1164">
        <v>4816134</v>
      </c>
      <c r="J1164">
        <v>5875</v>
      </c>
      <c r="K1164">
        <v>51.73</v>
      </c>
      <c r="L1164">
        <v>9.1999999999999993</v>
      </c>
      <c r="M1164">
        <v>0.7</v>
      </c>
    </row>
    <row r="1165" spans="1:13" x14ac:dyDescent="0.3">
      <c r="A1165" s="1">
        <v>45910</v>
      </c>
      <c r="B1165">
        <v>424.8</v>
      </c>
      <c r="C1165">
        <v>452.4</v>
      </c>
      <c r="D1165">
        <v>424.8</v>
      </c>
      <c r="E1165">
        <v>446.2</v>
      </c>
      <c r="F1165">
        <v>442.02904300310598</v>
      </c>
      <c r="G1165">
        <v>26719</v>
      </c>
      <c r="H1165">
        <v>1091</v>
      </c>
      <c r="I1165">
        <v>11810574</v>
      </c>
      <c r="J1165">
        <v>11976</v>
      </c>
      <c r="K1165">
        <v>44.82</v>
      </c>
      <c r="L1165">
        <v>27.6</v>
      </c>
      <c r="M1165">
        <v>21.4</v>
      </c>
    </row>
    <row r="1166" spans="1:13" x14ac:dyDescent="0.3">
      <c r="A1166" s="1">
        <v>45911</v>
      </c>
      <c r="B1166">
        <v>432.05</v>
      </c>
      <c r="C1166">
        <v>454.65</v>
      </c>
      <c r="D1166">
        <v>432.05</v>
      </c>
      <c r="E1166">
        <v>436.45</v>
      </c>
      <c r="F1166">
        <v>442.48151584025197</v>
      </c>
      <c r="G1166">
        <v>21559</v>
      </c>
      <c r="H1166">
        <v>1182</v>
      </c>
      <c r="I1166">
        <v>9539459</v>
      </c>
      <c r="J1166">
        <v>12880</v>
      </c>
      <c r="K1166">
        <v>59.74</v>
      </c>
      <c r="L1166">
        <v>22.6</v>
      </c>
      <c r="M1166">
        <v>4.4000000000000004</v>
      </c>
    </row>
    <row r="1167" spans="1:13" x14ac:dyDescent="0.3">
      <c r="A1167" s="1">
        <v>45912</v>
      </c>
      <c r="B1167">
        <v>440.2</v>
      </c>
      <c r="C1167">
        <v>440.2</v>
      </c>
      <c r="D1167">
        <v>427.6</v>
      </c>
      <c r="E1167">
        <v>430.85</v>
      </c>
      <c r="F1167">
        <v>434.00316509837398</v>
      </c>
      <c r="G1167">
        <v>11690</v>
      </c>
      <c r="H1167">
        <v>681</v>
      </c>
      <c r="I1167">
        <v>5073497</v>
      </c>
      <c r="J1167">
        <v>4687</v>
      </c>
      <c r="K1167">
        <v>40.090000000000003</v>
      </c>
      <c r="L1167">
        <v>12.6</v>
      </c>
      <c r="M1167">
        <v>-9.35</v>
      </c>
    </row>
    <row r="1168" spans="1:13" x14ac:dyDescent="0.3">
      <c r="A1168" s="1">
        <v>45915</v>
      </c>
      <c r="B1168">
        <v>432.55</v>
      </c>
      <c r="C1168">
        <v>434.7</v>
      </c>
      <c r="D1168">
        <v>421.75</v>
      </c>
      <c r="E1168">
        <v>425.7</v>
      </c>
      <c r="F1168">
        <v>428.04569770946301</v>
      </c>
      <c r="G1168">
        <v>26544</v>
      </c>
      <c r="H1168">
        <v>1135</v>
      </c>
      <c r="I1168">
        <v>11362045</v>
      </c>
      <c r="J1168">
        <v>13660</v>
      </c>
      <c r="K1168">
        <v>51.46</v>
      </c>
      <c r="L1168">
        <v>12.95</v>
      </c>
      <c r="M1168">
        <v>-6.85</v>
      </c>
    </row>
    <row r="1169" spans="1:13" x14ac:dyDescent="0.3">
      <c r="A1169" s="1">
        <v>45916</v>
      </c>
      <c r="B1169">
        <v>431.5</v>
      </c>
      <c r="C1169">
        <v>432.2</v>
      </c>
      <c r="D1169">
        <v>424.85</v>
      </c>
      <c r="E1169">
        <v>429.3</v>
      </c>
      <c r="F1169">
        <v>427.84445913196703</v>
      </c>
      <c r="G1169">
        <v>4539</v>
      </c>
      <c r="H1169">
        <v>198</v>
      </c>
      <c r="I1169">
        <v>1941986</v>
      </c>
      <c r="J1169">
        <v>2918</v>
      </c>
      <c r="K1169">
        <v>64.290000000000006</v>
      </c>
      <c r="L1169">
        <v>7.35</v>
      </c>
      <c r="M1169">
        <v>-2.2000000000000002</v>
      </c>
    </row>
    <row r="1170" spans="1:13" x14ac:dyDescent="0.3">
      <c r="A1170" s="1">
        <v>45917</v>
      </c>
      <c r="B1170">
        <v>425.05</v>
      </c>
      <c r="C1170">
        <v>440</v>
      </c>
      <c r="D1170">
        <v>425.05</v>
      </c>
      <c r="E1170">
        <v>431.3</v>
      </c>
      <c r="F1170">
        <v>432.72154014270097</v>
      </c>
      <c r="G1170">
        <v>15557</v>
      </c>
      <c r="H1170">
        <v>938</v>
      </c>
      <c r="I1170">
        <v>6731849</v>
      </c>
      <c r="J1170">
        <v>8751</v>
      </c>
      <c r="K1170">
        <v>56.25</v>
      </c>
      <c r="L1170">
        <v>14.95</v>
      </c>
      <c r="M1170">
        <v>6.25</v>
      </c>
    </row>
    <row r="1171" spans="1:13" x14ac:dyDescent="0.3">
      <c r="A1171" s="1">
        <v>45918</v>
      </c>
      <c r="B1171">
        <v>440</v>
      </c>
      <c r="C1171">
        <v>442.65</v>
      </c>
      <c r="D1171">
        <v>426.5</v>
      </c>
      <c r="E1171">
        <v>429.65</v>
      </c>
      <c r="F1171">
        <v>431.852143968007</v>
      </c>
      <c r="G1171">
        <v>9002</v>
      </c>
      <c r="H1171">
        <v>426</v>
      </c>
      <c r="I1171">
        <v>3887533</v>
      </c>
      <c r="J1171">
        <v>4670</v>
      </c>
      <c r="K1171">
        <v>51.88</v>
      </c>
      <c r="L1171">
        <v>16.149999999999999</v>
      </c>
      <c r="M1171">
        <v>-10.35</v>
      </c>
    </row>
    <row r="1172" spans="1:13" x14ac:dyDescent="0.3">
      <c r="A1172" s="1">
        <v>45919</v>
      </c>
      <c r="B1172">
        <v>431</v>
      </c>
      <c r="C1172">
        <v>431</v>
      </c>
      <c r="D1172">
        <v>425.05</v>
      </c>
      <c r="E1172">
        <v>427.6</v>
      </c>
      <c r="F1172">
        <v>427.01201423909799</v>
      </c>
      <c r="G1172">
        <v>6742</v>
      </c>
      <c r="H1172">
        <v>317</v>
      </c>
      <c r="I1172">
        <v>2878915</v>
      </c>
      <c r="J1172">
        <v>3428</v>
      </c>
      <c r="K1172">
        <v>50.85</v>
      </c>
      <c r="L1172">
        <v>5.95</v>
      </c>
      <c r="M1172">
        <v>-3.4</v>
      </c>
    </row>
    <row r="1173" spans="1:13" x14ac:dyDescent="0.3">
      <c r="A1173" s="1">
        <v>45922</v>
      </c>
      <c r="B1173">
        <v>427</v>
      </c>
      <c r="C1173">
        <v>428.9</v>
      </c>
      <c r="D1173">
        <v>416.65</v>
      </c>
      <c r="E1173">
        <v>418.15</v>
      </c>
      <c r="F1173">
        <v>420.57788578371799</v>
      </c>
      <c r="G1173">
        <v>8230</v>
      </c>
      <c r="H1173">
        <v>372</v>
      </c>
      <c r="I1173">
        <v>3461356</v>
      </c>
      <c r="J1173">
        <v>5672</v>
      </c>
      <c r="K1173">
        <v>68.92</v>
      </c>
      <c r="L1173">
        <v>12.25</v>
      </c>
      <c r="M1173">
        <v>-8.85</v>
      </c>
    </row>
    <row r="1174" spans="1:13" x14ac:dyDescent="0.3">
      <c r="A1174" s="1">
        <v>45923</v>
      </c>
      <c r="B1174">
        <v>414.55</v>
      </c>
      <c r="C1174">
        <v>421</v>
      </c>
      <c r="D1174">
        <v>413</v>
      </c>
      <c r="E1174">
        <v>414.1</v>
      </c>
      <c r="F1174">
        <v>415.292565947242</v>
      </c>
      <c r="G1174">
        <v>15846</v>
      </c>
      <c r="H1174">
        <v>688</v>
      </c>
      <c r="I1174">
        <v>6580726</v>
      </c>
      <c r="J1174">
        <v>9245</v>
      </c>
      <c r="K1174">
        <v>58.34</v>
      </c>
      <c r="L1174">
        <v>8</v>
      </c>
      <c r="M1174">
        <v>-0.45</v>
      </c>
    </row>
    <row r="1175" spans="1:13" x14ac:dyDescent="0.3">
      <c r="A1175" s="1">
        <v>45924</v>
      </c>
      <c r="B1175">
        <v>413.3</v>
      </c>
      <c r="C1175">
        <v>414.75</v>
      </c>
      <c r="D1175">
        <v>405.3</v>
      </c>
      <c r="E1175">
        <v>411.3</v>
      </c>
      <c r="F1175">
        <v>409.59704641350203</v>
      </c>
      <c r="G1175">
        <v>19434</v>
      </c>
      <c r="H1175">
        <v>794</v>
      </c>
      <c r="I1175">
        <v>7960109</v>
      </c>
      <c r="J1175">
        <v>10914</v>
      </c>
      <c r="K1175">
        <v>56.16</v>
      </c>
      <c r="L1175">
        <v>9.4499999999999993</v>
      </c>
      <c r="M1175">
        <v>-2</v>
      </c>
    </row>
    <row r="1176" spans="1:13" x14ac:dyDescent="0.3">
      <c r="A1176" s="1">
        <v>45925</v>
      </c>
      <c r="B1176">
        <v>412.9</v>
      </c>
      <c r="C1176">
        <v>418.6</v>
      </c>
      <c r="D1176">
        <v>407.4</v>
      </c>
      <c r="E1176">
        <v>410.55</v>
      </c>
      <c r="F1176">
        <v>411.51506931886598</v>
      </c>
      <c r="G1176">
        <v>3318</v>
      </c>
      <c r="H1176">
        <v>208</v>
      </c>
      <c r="I1176">
        <v>1365407</v>
      </c>
      <c r="J1176">
        <v>1870</v>
      </c>
      <c r="K1176">
        <v>56.36</v>
      </c>
      <c r="L1176">
        <v>11.2</v>
      </c>
      <c r="M1176">
        <v>-2.35</v>
      </c>
    </row>
    <row r="1177" spans="1:13" x14ac:dyDescent="0.3">
      <c r="A1177" s="1">
        <v>45926</v>
      </c>
      <c r="B1177">
        <v>412</v>
      </c>
      <c r="C1177">
        <v>412</v>
      </c>
      <c r="D1177">
        <v>395</v>
      </c>
      <c r="E1177">
        <v>398.25</v>
      </c>
      <c r="F1177">
        <v>402.275188776194</v>
      </c>
      <c r="G1177">
        <v>22381</v>
      </c>
      <c r="H1177">
        <v>1171</v>
      </c>
      <c r="I1177">
        <v>9003321</v>
      </c>
      <c r="J1177">
        <v>12372</v>
      </c>
      <c r="K1177">
        <v>55.28</v>
      </c>
      <c r="L1177">
        <v>17</v>
      </c>
      <c r="M1177">
        <v>-13.75</v>
      </c>
    </row>
    <row r="1178" spans="1:13" x14ac:dyDescent="0.3">
      <c r="A1178" s="1">
        <v>45929</v>
      </c>
      <c r="B1178">
        <v>394.4</v>
      </c>
      <c r="C1178">
        <v>404</v>
      </c>
      <c r="D1178">
        <v>391.35</v>
      </c>
      <c r="E1178">
        <v>393.95</v>
      </c>
      <c r="F1178">
        <v>397.00695287495802</v>
      </c>
      <c r="G1178">
        <v>18122</v>
      </c>
      <c r="H1178">
        <v>799</v>
      </c>
      <c r="I1178">
        <v>7194560</v>
      </c>
      <c r="J1178">
        <v>9534</v>
      </c>
      <c r="K1178">
        <v>52.61</v>
      </c>
      <c r="L1178">
        <v>12.65</v>
      </c>
      <c r="M1178">
        <v>-0.45</v>
      </c>
    </row>
    <row r="1179" spans="1:13" x14ac:dyDescent="0.3">
      <c r="A1179" s="1">
        <v>45930</v>
      </c>
      <c r="B1179">
        <v>395.05</v>
      </c>
      <c r="C1179">
        <v>402.95</v>
      </c>
      <c r="D1179">
        <v>381.6</v>
      </c>
      <c r="E1179">
        <v>386.85</v>
      </c>
      <c r="F1179">
        <v>387.69435996150099</v>
      </c>
      <c r="G1179">
        <v>51950</v>
      </c>
      <c r="H1179">
        <v>1251</v>
      </c>
      <c r="I1179">
        <v>20140722</v>
      </c>
      <c r="J1179">
        <v>40859</v>
      </c>
      <c r="K1179">
        <v>78.650000000000006</v>
      </c>
      <c r="L1179">
        <v>21.35</v>
      </c>
      <c r="M1179">
        <v>-8.1999999999999993</v>
      </c>
    </row>
    <row r="1180" spans="1:13" x14ac:dyDescent="0.3">
      <c r="A1180" s="1">
        <v>45931</v>
      </c>
      <c r="B1180">
        <v>388.8</v>
      </c>
      <c r="C1180">
        <v>405.3</v>
      </c>
      <c r="D1180">
        <v>388.3</v>
      </c>
      <c r="E1180">
        <v>400.2</v>
      </c>
      <c r="F1180">
        <v>397.73499210110498</v>
      </c>
      <c r="G1180">
        <v>5064</v>
      </c>
      <c r="H1180">
        <v>356</v>
      </c>
      <c r="I1180">
        <v>2014130</v>
      </c>
      <c r="J1180">
        <v>2264</v>
      </c>
      <c r="K1180">
        <v>44.71</v>
      </c>
      <c r="L1180">
        <v>17</v>
      </c>
      <c r="M1180">
        <v>11.4</v>
      </c>
    </row>
    <row r="1181" spans="1:13" x14ac:dyDescent="0.3">
      <c r="A1181" s="1">
        <v>45933</v>
      </c>
      <c r="B1181">
        <v>415.4</v>
      </c>
      <c r="C1181">
        <v>415.4</v>
      </c>
      <c r="D1181">
        <v>397.9</v>
      </c>
      <c r="E1181">
        <v>404.2</v>
      </c>
      <c r="F1181">
        <v>401.63883161512001</v>
      </c>
      <c r="G1181">
        <v>2910</v>
      </c>
      <c r="H1181">
        <v>221</v>
      </c>
      <c r="I1181">
        <v>1168769</v>
      </c>
      <c r="J1181">
        <v>1841</v>
      </c>
      <c r="K1181">
        <v>63.26</v>
      </c>
      <c r="L1181">
        <v>17.5</v>
      </c>
      <c r="M1181">
        <v>-11.2</v>
      </c>
    </row>
    <row r="1182" spans="1:13" x14ac:dyDescent="0.3">
      <c r="A1182" s="1">
        <v>45936</v>
      </c>
      <c r="B1182">
        <v>405</v>
      </c>
      <c r="C1182">
        <v>416.15</v>
      </c>
      <c r="D1182">
        <v>403.35</v>
      </c>
      <c r="E1182">
        <v>405.75</v>
      </c>
      <c r="F1182">
        <v>408.76374345549698</v>
      </c>
      <c r="G1182">
        <v>3056</v>
      </c>
      <c r="H1182">
        <v>215</v>
      </c>
      <c r="I1182">
        <v>1249182</v>
      </c>
      <c r="J1182">
        <v>1337</v>
      </c>
      <c r="K1182">
        <v>43.75</v>
      </c>
      <c r="L1182">
        <v>12.8</v>
      </c>
      <c r="M1182">
        <v>0.75</v>
      </c>
    </row>
    <row r="1183" spans="1:13" x14ac:dyDescent="0.3">
      <c r="A1183" s="1">
        <v>45937</v>
      </c>
      <c r="B1183">
        <v>405</v>
      </c>
      <c r="C1183">
        <v>409.2</v>
      </c>
      <c r="D1183">
        <v>399</v>
      </c>
      <c r="E1183">
        <v>399.8</v>
      </c>
      <c r="F1183">
        <v>403.12096774193498</v>
      </c>
      <c r="G1183">
        <v>5208</v>
      </c>
      <c r="H1183">
        <v>362</v>
      </c>
      <c r="I1183">
        <v>2099454</v>
      </c>
      <c r="J1183">
        <v>3491</v>
      </c>
      <c r="K1183">
        <v>67.03</v>
      </c>
      <c r="L1183">
        <v>10.199999999999999</v>
      </c>
      <c r="M1183">
        <v>-5.2</v>
      </c>
    </row>
    <row r="1184" spans="1:13" x14ac:dyDescent="0.3">
      <c r="A1184" s="1">
        <v>45938</v>
      </c>
      <c r="B1184">
        <v>407.75</v>
      </c>
      <c r="C1184">
        <v>414</v>
      </c>
      <c r="D1184">
        <v>397.9</v>
      </c>
      <c r="E1184">
        <v>405.75</v>
      </c>
      <c r="F1184">
        <v>404.67063643292602</v>
      </c>
      <c r="G1184">
        <v>10496</v>
      </c>
      <c r="H1184">
        <v>677</v>
      </c>
      <c r="I1184">
        <v>4247423</v>
      </c>
      <c r="J1184">
        <v>4245</v>
      </c>
      <c r="K1184">
        <v>40.44</v>
      </c>
      <c r="L1184">
        <v>16.100000000000001</v>
      </c>
      <c r="M1184">
        <v>-2</v>
      </c>
    </row>
    <row r="1185" spans="1:13" x14ac:dyDescent="0.3">
      <c r="A1185" s="1">
        <v>45939</v>
      </c>
      <c r="B1185">
        <v>406</v>
      </c>
      <c r="C1185">
        <v>406</v>
      </c>
      <c r="D1185">
        <v>393</v>
      </c>
      <c r="E1185">
        <v>395.9</v>
      </c>
      <c r="F1185">
        <v>399.38905252822701</v>
      </c>
      <c r="G1185">
        <v>4074</v>
      </c>
      <c r="H1185">
        <v>323</v>
      </c>
      <c r="I1185">
        <v>1627111</v>
      </c>
      <c r="J1185">
        <v>2752</v>
      </c>
      <c r="K1185">
        <v>67.55</v>
      </c>
      <c r="L1185">
        <v>13</v>
      </c>
      <c r="M1185">
        <v>-10.1</v>
      </c>
    </row>
    <row r="1186" spans="1:13" x14ac:dyDescent="0.3">
      <c r="A1186" s="1">
        <v>45940</v>
      </c>
      <c r="B1186">
        <v>396.4</v>
      </c>
      <c r="C1186">
        <v>401.05</v>
      </c>
      <c r="D1186">
        <v>394.85</v>
      </c>
      <c r="E1186">
        <v>398.45</v>
      </c>
      <c r="F1186">
        <v>397.18964153927197</v>
      </c>
      <c r="G1186">
        <v>7588</v>
      </c>
      <c r="H1186">
        <v>523</v>
      </c>
      <c r="I1186">
        <v>3013875</v>
      </c>
      <c r="J1186">
        <v>4741</v>
      </c>
      <c r="K1186">
        <v>62.48</v>
      </c>
      <c r="L1186">
        <v>6.2</v>
      </c>
      <c r="M1186">
        <v>2.0499999999999998</v>
      </c>
    </row>
    <row r="1187" spans="1:13" x14ac:dyDescent="0.3">
      <c r="A1187" s="1">
        <v>45943</v>
      </c>
      <c r="B1187">
        <v>409.2</v>
      </c>
      <c r="C1187">
        <v>409.2</v>
      </c>
      <c r="D1187">
        <v>388</v>
      </c>
      <c r="E1187">
        <v>391.25</v>
      </c>
      <c r="F1187">
        <v>393.21800851754199</v>
      </c>
      <c r="G1187">
        <v>4931</v>
      </c>
      <c r="H1187">
        <v>405</v>
      </c>
      <c r="I1187">
        <v>1938958</v>
      </c>
      <c r="J1187">
        <v>3333</v>
      </c>
      <c r="K1187">
        <v>67.59</v>
      </c>
      <c r="L1187">
        <v>21.2</v>
      </c>
      <c r="M1187">
        <v>-17.95</v>
      </c>
    </row>
    <row r="1188" spans="1:13" x14ac:dyDescent="0.3">
      <c r="A1188" s="1">
        <v>45944</v>
      </c>
      <c r="B1188">
        <v>395.6</v>
      </c>
      <c r="C1188">
        <v>412.05</v>
      </c>
      <c r="D1188">
        <v>385.75</v>
      </c>
      <c r="E1188">
        <v>399.5</v>
      </c>
      <c r="F1188">
        <v>395.25048885412502</v>
      </c>
      <c r="G1188">
        <v>10228</v>
      </c>
      <c r="H1188">
        <v>464</v>
      </c>
      <c r="I1188">
        <v>4042622</v>
      </c>
      <c r="J1188">
        <v>5591</v>
      </c>
      <c r="K1188">
        <v>54.66</v>
      </c>
      <c r="L1188">
        <v>26.3</v>
      </c>
      <c r="M1188">
        <v>3.9</v>
      </c>
    </row>
    <row r="1189" spans="1:13" x14ac:dyDescent="0.3">
      <c r="A1189" s="1">
        <v>45945</v>
      </c>
      <c r="B1189">
        <v>409</v>
      </c>
      <c r="C1189">
        <v>410.15</v>
      </c>
      <c r="D1189">
        <v>397.55</v>
      </c>
      <c r="E1189">
        <v>398.05</v>
      </c>
      <c r="F1189">
        <v>401.06895705521401</v>
      </c>
      <c r="G1189">
        <v>4075</v>
      </c>
      <c r="H1189">
        <v>273</v>
      </c>
      <c r="I1189">
        <v>1634356</v>
      </c>
      <c r="J1189">
        <v>2303</v>
      </c>
      <c r="K1189">
        <v>56.52</v>
      </c>
      <c r="L1189">
        <v>12.6</v>
      </c>
      <c r="M1189">
        <v>-10.95</v>
      </c>
    </row>
    <row r="1190" spans="1:13" x14ac:dyDescent="0.3">
      <c r="A1190" s="1">
        <v>45946</v>
      </c>
      <c r="B1190">
        <v>398.3</v>
      </c>
      <c r="C1190">
        <v>408.4</v>
      </c>
      <c r="D1190">
        <v>398.3</v>
      </c>
      <c r="E1190">
        <v>404.4</v>
      </c>
      <c r="F1190">
        <v>405.20890515400998</v>
      </c>
      <c r="G1190">
        <v>3279</v>
      </c>
      <c r="H1190">
        <v>173</v>
      </c>
      <c r="I1190">
        <v>1328680</v>
      </c>
      <c r="J1190">
        <v>2082</v>
      </c>
      <c r="K1190">
        <v>63.49</v>
      </c>
      <c r="L1190">
        <v>10.1</v>
      </c>
      <c r="M1190">
        <v>6.1</v>
      </c>
    </row>
    <row r="1191" spans="1:13" x14ac:dyDescent="0.3">
      <c r="A1191" s="1">
        <v>45947</v>
      </c>
      <c r="B1191">
        <v>402.9</v>
      </c>
      <c r="C1191">
        <v>405.15</v>
      </c>
      <c r="D1191">
        <v>390.85</v>
      </c>
      <c r="E1191">
        <v>394.6</v>
      </c>
      <c r="F1191">
        <v>398.61628686326998</v>
      </c>
      <c r="G1191">
        <v>2984</v>
      </c>
      <c r="H1191">
        <v>289</v>
      </c>
      <c r="I1191">
        <v>1189471</v>
      </c>
      <c r="J1191">
        <v>2247</v>
      </c>
      <c r="K1191">
        <v>75.3</v>
      </c>
      <c r="L1191">
        <v>14.3</v>
      </c>
      <c r="M1191">
        <v>-8.3000000000000007</v>
      </c>
    </row>
    <row r="1192" spans="1:13" x14ac:dyDescent="0.3">
      <c r="A1192" s="1">
        <v>45950</v>
      </c>
      <c r="B1192">
        <v>396</v>
      </c>
      <c r="C1192">
        <v>402.35</v>
      </c>
      <c r="D1192">
        <v>393</v>
      </c>
      <c r="E1192">
        <v>399.15</v>
      </c>
      <c r="F1192">
        <v>399.12298558100002</v>
      </c>
      <c r="G1192">
        <v>8253</v>
      </c>
      <c r="H1192">
        <v>218</v>
      </c>
      <c r="I1192">
        <v>3293962</v>
      </c>
      <c r="J1192">
        <v>4972</v>
      </c>
      <c r="K1192">
        <v>60.24</v>
      </c>
      <c r="L1192">
        <v>9.35</v>
      </c>
      <c r="M1192">
        <v>3.15</v>
      </c>
    </row>
    <row r="1193" spans="1:13" x14ac:dyDescent="0.3">
      <c r="A1193" s="1">
        <v>45951</v>
      </c>
      <c r="B1193">
        <v>405.95</v>
      </c>
      <c r="C1193">
        <v>408</v>
      </c>
      <c r="D1193">
        <v>400.7</v>
      </c>
      <c r="E1193">
        <v>403.5</v>
      </c>
      <c r="F1193">
        <v>404.98160535117</v>
      </c>
      <c r="G1193">
        <v>1794</v>
      </c>
      <c r="H1193">
        <v>104</v>
      </c>
      <c r="I1193">
        <v>726537</v>
      </c>
      <c r="J1193">
        <v>1353</v>
      </c>
      <c r="K1193">
        <v>75.42</v>
      </c>
      <c r="L1193">
        <v>7.3</v>
      </c>
      <c r="M1193">
        <v>-2.4500000000000002</v>
      </c>
    </row>
    <row r="1194" spans="1:13" x14ac:dyDescent="0.3">
      <c r="A1194" s="1">
        <v>45953</v>
      </c>
      <c r="B1194">
        <v>403.05</v>
      </c>
      <c r="C1194">
        <v>425.85</v>
      </c>
      <c r="D1194">
        <v>403.05</v>
      </c>
      <c r="E1194">
        <v>423.05</v>
      </c>
      <c r="F1194">
        <v>415.47747508305599</v>
      </c>
      <c r="G1194">
        <v>15050</v>
      </c>
      <c r="H1194">
        <v>487</v>
      </c>
      <c r="I1194">
        <v>6252936</v>
      </c>
      <c r="J1194">
        <v>8762</v>
      </c>
      <c r="K1194">
        <v>58.22</v>
      </c>
      <c r="L1194">
        <v>22.8</v>
      </c>
      <c r="M1194">
        <v>20</v>
      </c>
    </row>
    <row r="1195" spans="1:13" x14ac:dyDescent="0.3">
      <c r="A1195" s="1">
        <v>45954</v>
      </c>
      <c r="B1195">
        <v>432.05</v>
      </c>
      <c r="C1195">
        <v>466.1</v>
      </c>
      <c r="D1195">
        <v>426.25</v>
      </c>
      <c r="E1195">
        <v>452.3</v>
      </c>
      <c r="F1195">
        <v>449.27551357300001</v>
      </c>
      <c r="G1195">
        <v>54520</v>
      </c>
      <c r="H1195">
        <v>2882</v>
      </c>
      <c r="I1195">
        <v>24494501</v>
      </c>
      <c r="J1195">
        <v>27045</v>
      </c>
      <c r="K1195">
        <v>49.61</v>
      </c>
      <c r="L1195">
        <v>39.85</v>
      </c>
      <c r="M1195">
        <v>20.25</v>
      </c>
    </row>
    <row r="1196" spans="1:13" x14ac:dyDescent="0.3">
      <c r="A1196" s="1">
        <v>45957</v>
      </c>
      <c r="B1196">
        <v>461.2</v>
      </c>
      <c r="C1196">
        <v>472.95</v>
      </c>
      <c r="D1196">
        <v>442.7</v>
      </c>
      <c r="E1196">
        <v>450.5</v>
      </c>
      <c r="F1196">
        <v>461.72364985922701</v>
      </c>
      <c r="G1196">
        <v>39070</v>
      </c>
      <c r="H1196">
        <v>1742</v>
      </c>
      <c r="I1196">
        <v>18039543</v>
      </c>
      <c r="J1196">
        <v>13937</v>
      </c>
      <c r="K1196">
        <v>35.67</v>
      </c>
      <c r="L1196">
        <v>30.25</v>
      </c>
      <c r="M1196">
        <v>-10.7</v>
      </c>
    </row>
    <row r="1197" spans="1:13" x14ac:dyDescent="0.3">
      <c r="A1197" s="1">
        <v>45958</v>
      </c>
      <c r="B1197">
        <v>455</v>
      </c>
      <c r="C1197">
        <v>455.6</v>
      </c>
      <c r="D1197">
        <v>398.05</v>
      </c>
      <c r="E1197">
        <v>413.85</v>
      </c>
      <c r="F1197">
        <v>432.74756808864902</v>
      </c>
      <c r="G1197">
        <v>102697</v>
      </c>
      <c r="H1197">
        <v>4626</v>
      </c>
      <c r="I1197">
        <v>44441877</v>
      </c>
      <c r="J1197">
        <v>34488</v>
      </c>
      <c r="K1197">
        <v>33.58</v>
      </c>
      <c r="L1197">
        <v>57.55</v>
      </c>
      <c r="M1197">
        <v>-41.15</v>
      </c>
    </row>
    <row r="1198" spans="1:13" x14ac:dyDescent="0.3">
      <c r="A1198" s="1">
        <v>45959</v>
      </c>
      <c r="B1198">
        <v>423.2</v>
      </c>
      <c r="C1198">
        <v>429.6</v>
      </c>
      <c r="D1198">
        <v>412.45</v>
      </c>
      <c r="E1198">
        <v>414.65</v>
      </c>
      <c r="F1198">
        <v>420.42931226077201</v>
      </c>
      <c r="G1198">
        <v>24297</v>
      </c>
      <c r="H1198">
        <v>836</v>
      </c>
      <c r="I1198">
        <v>10215171</v>
      </c>
      <c r="J1198">
        <v>12532</v>
      </c>
      <c r="K1198">
        <v>51.58</v>
      </c>
      <c r="L1198">
        <v>17.149999999999999</v>
      </c>
      <c r="M1198">
        <v>-8.5500000000000007</v>
      </c>
    </row>
    <row r="1199" spans="1:13" x14ac:dyDescent="0.3">
      <c r="A1199" s="1">
        <v>45960</v>
      </c>
      <c r="B1199">
        <v>415.45</v>
      </c>
      <c r="C1199">
        <v>418.6</v>
      </c>
      <c r="D1199">
        <v>403.3</v>
      </c>
      <c r="E1199">
        <v>406.35</v>
      </c>
      <c r="F1199">
        <v>408.98061086988997</v>
      </c>
      <c r="G1199">
        <v>13358</v>
      </c>
      <c r="H1199">
        <v>572</v>
      </c>
      <c r="I1199">
        <v>5463163</v>
      </c>
      <c r="J1199">
        <v>6763</v>
      </c>
      <c r="K1199">
        <v>50.63</v>
      </c>
      <c r="L1199">
        <v>15.3</v>
      </c>
      <c r="M1199">
        <v>-9.1</v>
      </c>
    </row>
    <row r="1200" spans="1:13" x14ac:dyDescent="0.3">
      <c r="A1200" s="1">
        <v>45961</v>
      </c>
      <c r="B1200">
        <v>406.35</v>
      </c>
      <c r="C1200">
        <v>406.35</v>
      </c>
      <c r="D1200">
        <v>400.55</v>
      </c>
      <c r="E1200">
        <v>402</v>
      </c>
      <c r="F1200">
        <v>403.085681914742</v>
      </c>
      <c r="G1200">
        <v>7061</v>
      </c>
      <c r="H1200">
        <v>351</v>
      </c>
      <c r="I1200">
        <v>2846188</v>
      </c>
      <c r="J1200">
        <v>4104</v>
      </c>
      <c r="K1200">
        <v>58.12</v>
      </c>
      <c r="L1200">
        <v>5.8</v>
      </c>
      <c r="M1200">
        <v>-4.3499999999999996</v>
      </c>
    </row>
    <row r="1201" spans="1:13" x14ac:dyDescent="0.3">
      <c r="A1201" s="1">
        <v>45964</v>
      </c>
      <c r="B1201">
        <v>412</v>
      </c>
      <c r="C1201">
        <v>412</v>
      </c>
      <c r="D1201">
        <v>398.2</v>
      </c>
      <c r="E1201">
        <v>402.1</v>
      </c>
      <c r="F1201">
        <v>402.32245074068697</v>
      </c>
      <c r="G1201">
        <v>6953</v>
      </c>
      <c r="H1201">
        <v>436</v>
      </c>
      <c r="I1201">
        <v>2797348</v>
      </c>
      <c r="J1201">
        <v>3414</v>
      </c>
      <c r="K1201">
        <v>49.1</v>
      </c>
      <c r="L1201">
        <v>13.8</v>
      </c>
      <c r="M1201">
        <v>-9.9</v>
      </c>
    </row>
    <row r="1202" spans="1:13" x14ac:dyDescent="0.3">
      <c r="A1202" s="1">
        <v>45965</v>
      </c>
      <c r="B1202">
        <v>403.3</v>
      </c>
      <c r="C1202">
        <v>403.5</v>
      </c>
      <c r="D1202">
        <v>395.3</v>
      </c>
      <c r="E1202">
        <v>397.45</v>
      </c>
      <c r="F1202">
        <v>398.17014153096898</v>
      </c>
      <c r="G1202">
        <v>6571</v>
      </c>
      <c r="H1202">
        <v>314</v>
      </c>
      <c r="I1202">
        <v>2616376</v>
      </c>
      <c r="J1202">
        <v>3754</v>
      </c>
      <c r="K1202">
        <v>57.13</v>
      </c>
      <c r="L1202">
        <v>8.1999999999999993</v>
      </c>
      <c r="M1202">
        <v>-5.85</v>
      </c>
    </row>
    <row r="1203" spans="1:13" x14ac:dyDescent="0.3">
      <c r="A1203" s="1">
        <v>45967</v>
      </c>
      <c r="B1203">
        <v>390</v>
      </c>
      <c r="C1203">
        <v>398.15</v>
      </c>
      <c r="D1203">
        <v>373.7</v>
      </c>
      <c r="E1203">
        <v>376.2</v>
      </c>
      <c r="F1203">
        <v>384.91448023912301</v>
      </c>
      <c r="G1203">
        <v>12044</v>
      </c>
      <c r="H1203">
        <v>593</v>
      </c>
      <c r="I1203">
        <v>4635910</v>
      </c>
      <c r="J1203">
        <v>8501</v>
      </c>
      <c r="K1203">
        <v>70.58</v>
      </c>
      <c r="L1203">
        <v>24.45</v>
      </c>
      <c r="M1203">
        <v>-13.8</v>
      </c>
    </row>
    <row r="1204" spans="1:13" x14ac:dyDescent="0.3">
      <c r="A1204" s="1">
        <v>45968</v>
      </c>
      <c r="B1204">
        <v>376.2</v>
      </c>
      <c r="C1204">
        <v>378.05</v>
      </c>
      <c r="D1204">
        <v>360.65</v>
      </c>
      <c r="E1204">
        <v>366.25</v>
      </c>
      <c r="F1204">
        <v>368.29548136907698</v>
      </c>
      <c r="G1204">
        <v>11862</v>
      </c>
      <c r="H1204">
        <v>666</v>
      </c>
      <c r="I1204">
        <v>4368721</v>
      </c>
      <c r="J1204">
        <v>7227</v>
      </c>
      <c r="K1204">
        <v>60.93</v>
      </c>
      <c r="L1204">
        <v>17.399999999999999</v>
      </c>
      <c r="M1204">
        <v>-9.9499999999999993</v>
      </c>
    </row>
    <row r="1205" spans="1:13" x14ac:dyDescent="0.3">
      <c r="A1205" s="1">
        <v>45971</v>
      </c>
      <c r="B1205">
        <v>367.1</v>
      </c>
      <c r="C1205">
        <v>387</v>
      </c>
      <c r="D1205">
        <v>367.1</v>
      </c>
      <c r="E1205">
        <v>380.35</v>
      </c>
      <c r="F1205">
        <v>381.58272006116698</v>
      </c>
      <c r="G1205">
        <v>10463</v>
      </c>
      <c r="H1205">
        <v>540</v>
      </c>
      <c r="I1205">
        <v>3992500</v>
      </c>
      <c r="J1205">
        <v>4545</v>
      </c>
      <c r="K1205">
        <v>43.44</v>
      </c>
      <c r="L1205">
        <v>19.899999999999999</v>
      </c>
      <c r="M1205">
        <v>13.25</v>
      </c>
    </row>
    <row r="1206" spans="1:13" x14ac:dyDescent="0.3">
      <c r="A1206" s="1">
        <v>45972</v>
      </c>
      <c r="B1206">
        <v>375</v>
      </c>
      <c r="C1206">
        <v>380.3</v>
      </c>
      <c r="D1206">
        <v>370</v>
      </c>
      <c r="E1206">
        <v>379.85</v>
      </c>
      <c r="F1206">
        <v>375.05612071888697</v>
      </c>
      <c r="G1206">
        <v>5898</v>
      </c>
      <c r="H1206">
        <v>323</v>
      </c>
      <c r="I1206">
        <v>2212081</v>
      </c>
      <c r="J1206">
        <v>3884</v>
      </c>
      <c r="K1206">
        <v>65.849999999999994</v>
      </c>
      <c r="L1206">
        <v>10.3</v>
      </c>
      <c r="M1206">
        <v>4.8499999999999996</v>
      </c>
    </row>
    <row r="1207" spans="1:13" x14ac:dyDescent="0.3">
      <c r="A1207" s="1">
        <v>45973</v>
      </c>
      <c r="B1207">
        <v>379.5</v>
      </c>
      <c r="C1207">
        <v>383.55</v>
      </c>
      <c r="D1207">
        <v>378.55</v>
      </c>
      <c r="E1207">
        <v>382.25</v>
      </c>
      <c r="F1207">
        <v>381.87393314366898</v>
      </c>
      <c r="G1207">
        <v>5624</v>
      </c>
      <c r="H1207">
        <v>290</v>
      </c>
      <c r="I1207">
        <v>2147659</v>
      </c>
      <c r="J1207">
        <v>3389</v>
      </c>
      <c r="K1207">
        <v>60.26</v>
      </c>
      <c r="L1207">
        <v>5</v>
      </c>
      <c r="M1207">
        <v>2.75</v>
      </c>
    </row>
    <row r="1208" spans="1:13" x14ac:dyDescent="0.3">
      <c r="A1208" s="1">
        <v>45974</v>
      </c>
      <c r="B1208">
        <v>381.8</v>
      </c>
      <c r="C1208">
        <v>382</v>
      </c>
      <c r="D1208">
        <v>366</v>
      </c>
      <c r="E1208">
        <v>370.3</v>
      </c>
      <c r="F1208">
        <v>374.71696428571403</v>
      </c>
      <c r="G1208">
        <v>8960</v>
      </c>
      <c r="H1208">
        <v>499</v>
      </c>
      <c r="I1208">
        <v>3357464</v>
      </c>
      <c r="J1208">
        <v>6018</v>
      </c>
      <c r="K1208">
        <v>67.17</v>
      </c>
      <c r="L1208">
        <v>16</v>
      </c>
      <c r="M1208">
        <v>-11.5</v>
      </c>
    </row>
    <row r="1209" spans="1:13" x14ac:dyDescent="0.3">
      <c r="A1209" s="1">
        <v>45975</v>
      </c>
      <c r="B1209">
        <v>374.6</v>
      </c>
      <c r="C1209">
        <v>374.6</v>
      </c>
      <c r="D1209">
        <v>364.25</v>
      </c>
      <c r="E1209">
        <v>365.25</v>
      </c>
      <c r="F1209">
        <v>366.88769580596198</v>
      </c>
      <c r="G1209">
        <v>7916</v>
      </c>
      <c r="H1209">
        <v>315</v>
      </c>
      <c r="I1209">
        <v>2904283</v>
      </c>
      <c r="J1209">
        <v>4251</v>
      </c>
      <c r="K1209">
        <v>53.7</v>
      </c>
      <c r="L1209">
        <v>10.35</v>
      </c>
      <c r="M1209">
        <v>-9.35</v>
      </c>
    </row>
    <row r="1210" spans="1:13" x14ac:dyDescent="0.3">
      <c r="A1210" s="1">
        <v>45978</v>
      </c>
      <c r="B1210">
        <v>365.55</v>
      </c>
      <c r="C1210">
        <v>374.15</v>
      </c>
      <c r="D1210">
        <v>364.1</v>
      </c>
      <c r="E1210">
        <v>372.5</v>
      </c>
      <c r="F1210">
        <v>368.76159442255198</v>
      </c>
      <c r="G1210">
        <v>6598</v>
      </c>
      <c r="H1210">
        <v>254</v>
      </c>
      <c r="I1210">
        <v>2433089</v>
      </c>
      <c r="J1210">
        <v>3552</v>
      </c>
      <c r="K1210">
        <v>53.83</v>
      </c>
      <c r="L1210">
        <v>10.050000000000001</v>
      </c>
      <c r="M1210">
        <v>6.95</v>
      </c>
    </row>
    <row r="1211" spans="1:13" x14ac:dyDescent="0.3">
      <c r="A1211" s="1">
        <v>45979</v>
      </c>
      <c r="B1211">
        <v>365.05</v>
      </c>
      <c r="C1211">
        <v>368</v>
      </c>
      <c r="D1211">
        <v>363</v>
      </c>
      <c r="E1211">
        <v>363.75</v>
      </c>
      <c r="F1211">
        <v>364.417595541401</v>
      </c>
      <c r="G1211">
        <v>5024</v>
      </c>
      <c r="H1211">
        <v>380</v>
      </c>
      <c r="I1211">
        <v>1830834</v>
      </c>
      <c r="J1211">
        <v>4163</v>
      </c>
      <c r="K1211">
        <v>82.86</v>
      </c>
      <c r="L1211">
        <v>5</v>
      </c>
      <c r="M1211">
        <v>-1.3</v>
      </c>
    </row>
    <row r="1212" spans="1:13" x14ac:dyDescent="0.3">
      <c r="A1212" s="1">
        <v>45980</v>
      </c>
      <c r="B1212">
        <v>364</v>
      </c>
      <c r="C1212">
        <v>364.7</v>
      </c>
      <c r="D1212">
        <v>360.05</v>
      </c>
      <c r="E1212">
        <v>362.25</v>
      </c>
      <c r="F1212">
        <v>362.009765625</v>
      </c>
      <c r="G1212">
        <v>3584</v>
      </c>
      <c r="H1212">
        <v>252</v>
      </c>
      <c r="I1212">
        <v>1297443</v>
      </c>
      <c r="J1212">
        <v>2150</v>
      </c>
      <c r="K1212">
        <v>59.99</v>
      </c>
      <c r="L1212">
        <v>4.6500000000000004</v>
      </c>
      <c r="M1212">
        <v>-1.75</v>
      </c>
    </row>
    <row r="1213" spans="1:13" x14ac:dyDescent="0.3">
      <c r="A1213" s="1">
        <v>45981</v>
      </c>
      <c r="B1213">
        <v>355</v>
      </c>
      <c r="C1213">
        <v>375.55</v>
      </c>
      <c r="D1213">
        <v>355</v>
      </c>
      <c r="E1213">
        <v>367.25</v>
      </c>
      <c r="F1213">
        <v>368.22461580680499</v>
      </c>
      <c r="G1213">
        <v>7288</v>
      </c>
      <c r="H1213">
        <v>300</v>
      </c>
      <c r="I1213">
        <v>2683621</v>
      </c>
      <c r="J1213">
        <v>4512</v>
      </c>
      <c r="K1213">
        <v>61.91</v>
      </c>
      <c r="L1213">
        <v>20.55</v>
      </c>
      <c r="M1213">
        <v>12.25</v>
      </c>
    </row>
    <row r="1214" spans="1:13" x14ac:dyDescent="0.3">
      <c r="A1214" s="1">
        <v>45982</v>
      </c>
      <c r="B1214">
        <v>366.8</v>
      </c>
      <c r="C1214">
        <v>366.8</v>
      </c>
      <c r="D1214">
        <v>358.7</v>
      </c>
      <c r="E1214">
        <v>359.5</v>
      </c>
      <c r="F1214">
        <v>361.26616725271299</v>
      </c>
      <c r="G1214">
        <v>6541</v>
      </c>
      <c r="H1214">
        <v>380</v>
      </c>
      <c r="I1214">
        <v>2363042</v>
      </c>
      <c r="J1214">
        <v>4591</v>
      </c>
      <c r="K1214">
        <v>70.19</v>
      </c>
      <c r="L1214">
        <v>8.1</v>
      </c>
      <c r="M1214">
        <v>-7.3</v>
      </c>
    </row>
    <row r="1215" spans="1:13" x14ac:dyDescent="0.3">
      <c r="A1215" s="1">
        <v>45985</v>
      </c>
      <c r="B1215">
        <v>360.05</v>
      </c>
      <c r="C1215">
        <v>360.2</v>
      </c>
      <c r="D1215">
        <v>343.2</v>
      </c>
      <c r="E1215">
        <v>345.55</v>
      </c>
      <c r="F1215">
        <v>349.56388642413401</v>
      </c>
      <c r="G1215">
        <v>6762</v>
      </c>
      <c r="H1215">
        <v>407</v>
      </c>
      <c r="I1215">
        <v>2363751</v>
      </c>
      <c r="J1215">
        <v>4174</v>
      </c>
      <c r="K1215">
        <v>61.73</v>
      </c>
      <c r="L1215">
        <v>17</v>
      </c>
      <c r="M1215">
        <v>-14.5</v>
      </c>
    </row>
    <row r="1216" spans="1:13" x14ac:dyDescent="0.3">
      <c r="A1216" s="1">
        <v>45986</v>
      </c>
      <c r="B1216">
        <v>347</v>
      </c>
      <c r="C1216">
        <v>354.85</v>
      </c>
      <c r="D1216">
        <v>345</v>
      </c>
      <c r="E1216">
        <v>352.05</v>
      </c>
      <c r="F1216">
        <v>349.59434671477902</v>
      </c>
      <c r="G1216">
        <v>6651</v>
      </c>
      <c r="H1216">
        <v>272</v>
      </c>
      <c r="I1216">
        <v>2325152</v>
      </c>
      <c r="J1216">
        <v>4492</v>
      </c>
      <c r="K1216">
        <v>67.540000000000006</v>
      </c>
      <c r="L1216">
        <v>9.85</v>
      </c>
      <c r="M1216">
        <v>5.05</v>
      </c>
    </row>
    <row r="1217" spans="1:13" x14ac:dyDescent="0.3">
      <c r="A1217" s="1">
        <v>45987</v>
      </c>
      <c r="B1217">
        <v>342.1</v>
      </c>
      <c r="C1217">
        <v>358.65</v>
      </c>
      <c r="D1217">
        <v>329.45</v>
      </c>
      <c r="E1217">
        <v>339.15</v>
      </c>
      <c r="F1217">
        <v>340.14995486200598</v>
      </c>
      <c r="G1217">
        <v>31016</v>
      </c>
      <c r="H1217">
        <v>1133</v>
      </c>
      <c r="I1217">
        <v>10550091</v>
      </c>
      <c r="J1217">
        <v>20932</v>
      </c>
      <c r="K1217">
        <v>67.489999999999995</v>
      </c>
      <c r="L1217">
        <v>29.2</v>
      </c>
      <c r="M1217">
        <v>-2.95</v>
      </c>
    </row>
    <row r="1218" spans="1:13" x14ac:dyDescent="0.3">
      <c r="A1218" s="1">
        <v>45988</v>
      </c>
      <c r="B1218">
        <v>340.05</v>
      </c>
      <c r="C1218">
        <v>340.05</v>
      </c>
      <c r="D1218">
        <v>333</v>
      </c>
      <c r="E1218">
        <v>334.65</v>
      </c>
      <c r="F1218">
        <v>335.09791584742402</v>
      </c>
      <c r="G1218">
        <v>7629</v>
      </c>
      <c r="H1218">
        <v>326</v>
      </c>
      <c r="I1218">
        <v>2556462</v>
      </c>
      <c r="J1218">
        <v>4447</v>
      </c>
      <c r="K1218">
        <v>58.29</v>
      </c>
      <c r="L1218">
        <v>7.05</v>
      </c>
      <c r="M1218">
        <v>-5.4</v>
      </c>
    </row>
    <row r="1219" spans="1:13" x14ac:dyDescent="0.3">
      <c r="A1219" s="1">
        <v>45989</v>
      </c>
      <c r="B1219">
        <v>334.65</v>
      </c>
      <c r="C1219">
        <v>334.65</v>
      </c>
      <c r="D1219">
        <v>327</v>
      </c>
      <c r="E1219">
        <v>330.5</v>
      </c>
      <c r="F1219">
        <v>330.48442944250797</v>
      </c>
      <c r="G1219">
        <v>9184</v>
      </c>
      <c r="H1219">
        <v>664</v>
      </c>
      <c r="I1219">
        <v>3035169</v>
      </c>
      <c r="J1219">
        <v>6223</v>
      </c>
      <c r="K1219">
        <v>67.760000000000005</v>
      </c>
      <c r="L1219">
        <v>7.65</v>
      </c>
      <c r="M1219">
        <v>-4.1500000000000004</v>
      </c>
    </row>
    <row r="1220" spans="1:13" x14ac:dyDescent="0.3">
      <c r="A1220" s="1">
        <v>45992</v>
      </c>
      <c r="B1220">
        <v>337.05</v>
      </c>
      <c r="C1220">
        <v>364.75</v>
      </c>
      <c r="D1220">
        <v>336.25</v>
      </c>
      <c r="E1220">
        <v>340.8</v>
      </c>
      <c r="F1220">
        <v>352.47374903331098</v>
      </c>
      <c r="G1220">
        <v>69826</v>
      </c>
      <c r="H1220">
        <v>2347</v>
      </c>
      <c r="I1220">
        <v>24611832</v>
      </c>
      <c r="J1220">
        <v>36544</v>
      </c>
      <c r="K1220">
        <v>52.34</v>
      </c>
      <c r="L1220">
        <v>28.5</v>
      </c>
      <c r="M1220">
        <v>3.75</v>
      </c>
    </row>
    <row r="1221" spans="1:13" x14ac:dyDescent="0.3">
      <c r="A1221" s="1">
        <v>45993</v>
      </c>
      <c r="B1221">
        <v>340.8</v>
      </c>
      <c r="C1221">
        <v>340.85</v>
      </c>
      <c r="D1221">
        <v>330.75</v>
      </c>
      <c r="E1221">
        <v>337.8</v>
      </c>
      <c r="F1221">
        <v>335.24847792998401</v>
      </c>
      <c r="G1221">
        <v>5256</v>
      </c>
      <c r="H1221">
        <v>394</v>
      </c>
      <c r="I1221">
        <v>1762066</v>
      </c>
      <c r="J1221">
        <v>3070</v>
      </c>
      <c r="K1221">
        <v>58.41</v>
      </c>
      <c r="L1221">
        <v>10.1</v>
      </c>
      <c r="M1221">
        <v>-3</v>
      </c>
    </row>
    <row r="1222" spans="1:13" x14ac:dyDescent="0.3">
      <c r="A1222" s="1">
        <v>45994</v>
      </c>
      <c r="B1222">
        <v>339.2</v>
      </c>
      <c r="C1222">
        <v>339.2</v>
      </c>
      <c r="D1222">
        <v>328.45</v>
      </c>
      <c r="E1222">
        <v>330.3</v>
      </c>
      <c r="F1222">
        <v>331.84494086727898</v>
      </c>
      <c r="G1222">
        <v>5327</v>
      </c>
      <c r="H1222">
        <v>360</v>
      </c>
      <c r="I1222">
        <v>1767738</v>
      </c>
      <c r="J1222">
        <v>3760</v>
      </c>
      <c r="K1222">
        <v>70.58</v>
      </c>
      <c r="L1222">
        <v>10.75</v>
      </c>
      <c r="M1222">
        <v>-8.9</v>
      </c>
    </row>
    <row r="1223" spans="1:13" x14ac:dyDescent="0.3">
      <c r="A1223" s="1">
        <v>45995</v>
      </c>
      <c r="B1223">
        <v>330.05</v>
      </c>
      <c r="C1223">
        <v>336.4</v>
      </c>
      <c r="D1223">
        <v>324.55</v>
      </c>
      <c r="E1223">
        <v>334.05</v>
      </c>
      <c r="F1223">
        <v>331.55628785179903</v>
      </c>
      <c r="G1223">
        <v>5614</v>
      </c>
      <c r="H1223">
        <v>293</v>
      </c>
      <c r="I1223">
        <v>1861357</v>
      </c>
      <c r="J1223">
        <v>3291</v>
      </c>
      <c r="K1223">
        <v>58.62</v>
      </c>
      <c r="L1223">
        <v>11.85</v>
      </c>
      <c r="M1223">
        <v>4</v>
      </c>
    </row>
    <row r="1224" spans="1:13" x14ac:dyDescent="0.3">
      <c r="A1224" s="1">
        <v>45996</v>
      </c>
      <c r="B1224">
        <v>335.45</v>
      </c>
      <c r="C1224">
        <v>336.8</v>
      </c>
      <c r="D1224">
        <v>328.8</v>
      </c>
      <c r="E1224">
        <v>333.75</v>
      </c>
      <c r="F1224">
        <v>332.68176077936101</v>
      </c>
      <c r="G1224">
        <v>5543</v>
      </c>
      <c r="H1224">
        <v>253</v>
      </c>
      <c r="I1224">
        <v>1844055</v>
      </c>
      <c r="J1224">
        <v>3774</v>
      </c>
      <c r="K1224">
        <v>68.09</v>
      </c>
      <c r="L1224">
        <v>8</v>
      </c>
      <c r="M1224">
        <v>-1.7</v>
      </c>
    </row>
    <row r="1225" spans="1:13" x14ac:dyDescent="0.3">
      <c r="A1225" s="1">
        <v>45999</v>
      </c>
      <c r="B1225">
        <v>333.2</v>
      </c>
      <c r="C1225">
        <v>333.2</v>
      </c>
      <c r="D1225">
        <v>321.2</v>
      </c>
      <c r="E1225">
        <v>322.89999999999998</v>
      </c>
      <c r="F1225">
        <v>324.68642166344199</v>
      </c>
      <c r="G1225">
        <v>12925</v>
      </c>
      <c r="H1225">
        <v>585</v>
      </c>
      <c r="I1225">
        <v>4196572</v>
      </c>
      <c r="J1225">
        <v>8728</v>
      </c>
      <c r="K1225">
        <v>67.53</v>
      </c>
      <c r="L1225">
        <v>12</v>
      </c>
      <c r="M1225">
        <v>-10.3</v>
      </c>
    </row>
    <row r="1226" spans="1:13" x14ac:dyDescent="0.3">
      <c r="A1226" s="1">
        <v>46000</v>
      </c>
      <c r="B1226">
        <v>324.05</v>
      </c>
      <c r="C1226">
        <v>330</v>
      </c>
      <c r="D1226">
        <v>310.10000000000002</v>
      </c>
      <c r="E1226">
        <v>328.4</v>
      </c>
      <c r="F1226">
        <v>321.33449504950403</v>
      </c>
      <c r="G1226">
        <v>12625</v>
      </c>
      <c r="H1226">
        <v>544</v>
      </c>
      <c r="I1226">
        <v>4056848</v>
      </c>
      <c r="J1226">
        <v>4950</v>
      </c>
      <c r="K1226">
        <v>39.21</v>
      </c>
      <c r="L1226">
        <v>19.899999999999999</v>
      </c>
      <c r="M1226">
        <v>4.3499999999999996</v>
      </c>
    </row>
    <row r="1227" spans="1:13" x14ac:dyDescent="0.3">
      <c r="A1227" s="1">
        <v>46001</v>
      </c>
      <c r="B1227">
        <v>333</v>
      </c>
      <c r="C1227">
        <v>334.25</v>
      </c>
      <c r="D1227">
        <v>325.60000000000002</v>
      </c>
      <c r="E1227">
        <v>327.8</v>
      </c>
      <c r="F1227">
        <v>330.85030594405498</v>
      </c>
      <c r="G1227">
        <v>4576</v>
      </c>
      <c r="H1227">
        <v>248</v>
      </c>
      <c r="I1227">
        <v>1513971</v>
      </c>
      <c r="J1227">
        <v>2912</v>
      </c>
      <c r="K1227">
        <v>63.64</v>
      </c>
      <c r="L1227">
        <v>8.65</v>
      </c>
      <c r="M1227">
        <v>-5.2</v>
      </c>
    </row>
    <row r="1228" spans="1:13" x14ac:dyDescent="0.3">
      <c r="A1228" s="1">
        <v>46002</v>
      </c>
      <c r="B1228">
        <v>329.95</v>
      </c>
      <c r="C1228">
        <v>335.75</v>
      </c>
      <c r="D1228">
        <v>321.64999999999998</v>
      </c>
      <c r="E1228">
        <v>328.7</v>
      </c>
      <c r="F1228">
        <v>327.88950086058497</v>
      </c>
      <c r="G1228">
        <v>5810</v>
      </c>
      <c r="H1228">
        <v>250</v>
      </c>
      <c r="I1228">
        <v>1905038</v>
      </c>
      <c r="J1228">
        <v>2967</v>
      </c>
      <c r="K1228">
        <v>51.07</v>
      </c>
      <c r="L1228">
        <v>14.1</v>
      </c>
      <c r="M1228">
        <v>-1.25</v>
      </c>
    </row>
    <row r="1229" spans="1:13" x14ac:dyDescent="0.3">
      <c r="A1229" s="1">
        <v>46003</v>
      </c>
      <c r="B1229">
        <v>330.5</v>
      </c>
      <c r="C1229">
        <v>335.15</v>
      </c>
      <c r="D1229">
        <v>330.5</v>
      </c>
      <c r="E1229">
        <v>334.3</v>
      </c>
      <c r="F1229">
        <v>332.490857946554</v>
      </c>
      <c r="G1229">
        <v>3555</v>
      </c>
      <c r="H1229">
        <v>172</v>
      </c>
      <c r="I1229">
        <v>1182005</v>
      </c>
      <c r="J1229">
        <v>2389</v>
      </c>
      <c r="K1229">
        <v>67.2</v>
      </c>
      <c r="L1229">
        <v>4.6500000000000004</v>
      </c>
      <c r="M1229">
        <v>3.8</v>
      </c>
    </row>
    <row r="1230" spans="1:13" x14ac:dyDescent="0.3">
      <c r="A1230" s="1">
        <v>46006</v>
      </c>
      <c r="B1230">
        <v>332.35</v>
      </c>
      <c r="C1230">
        <v>345</v>
      </c>
      <c r="D1230">
        <v>329.3</v>
      </c>
      <c r="E1230">
        <v>337.15</v>
      </c>
      <c r="F1230">
        <v>333.52275756998603</v>
      </c>
      <c r="G1230">
        <v>5251</v>
      </c>
      <c r="H1230">
        <v>199</v>
      </c>
      <c r="I1230">
        <v>1751328</v>
      </c>
      <c r="J1230">
        <v>3536</v>
      </c>
      <c r="K1230">
        <v>67.34</v>
      </c>
      <c r="L1230">
        <v>15.7</v>
      </c>
      <c r="M1230">
        <v>4.8</v>
      </c>
    </row>
    <row r="1231" spans="1:13" x14ac:dyDescent="0.3">
      <c r="A1231" s="1">
        <v>46007</v>
      </c>
      <c r="B1231">
        <v>337.05</v>
      </c>
      <c r="C1231">
        <v>337.15</v>
      </c>
      <c r="D1231">
        <v>331.4</v>
      </c>
      <c r="E1231">
        <v>335.85</v>
      </c>
      <c r="F1231">
        <v>335.16820469798603</v>
      </c>
      <c r="G1231">
        <v>2384</v>
      </c>
      <c r="H1231">
        <v>126</v>
      </c>
      <c r="I1231">
        <v>799041</v>
      </c>
      <c r="J1231">
        <v>1551</v>
      </c>
      <c r="K1231">
        <v>65.06</v>
      </c>
      <c r="L1231">
        <v>5.75</v>
      </c>
      <c r="M1231">
        <v>-1.2</v>
      </c>
    </row>
    <row r="1232" spans="1:13" x14ac:dyDescent="0.3">
      <c r="A1232" s="1">
        <v>46008</v>
      </c>
      <c r="B1232">
        <v>325.55</v>
      </c>
      <c r="C1232">
        <v>333.4</v>
      </c>
      <c r="D1232">
        <v>325.55</v>
      </c>
      <c r="E1232">
        <v>328.15</v>
      </c>
      <c r="F1232">
        <v>330.313070976809</v>
      </c>
      <c r="G1232">
        <v>2846</v>
      </c>
      <c r="H1232">
        <v>169</v>
      </c>
      <c r="I1232">
        <v>940071</v>
      </c>
      <c r="J1232">
        <v>1476</v>
      </c>
      <c r="K1232">
        <v>51.86</v>
      </c>
      <c r="L1232">
        <v>7.85</v>
      </c>
      <c r="M1232">
        <v>2.6</v>
      </c>
    </row>
    <row r="1233" spans="1:13" x14ac:dyDescent="0.3">
      <c r="A1233" s="1">
        <v>46009</v>
      </c>
      <c r="B1233">
        <v>328.15</v>
      </c>
      <c r="C1233">
        <v>334.05</v>
      </c>
      <c r="D1233">
        <v>323.55</v>
      </c>
      <c r="E1233">
        <v>332.7</v>
      </c>
      <c r="F1233">
        <v>329.34131001687302</v>
      </c>
      <c r="G1233">
        <v>6519</v>
      </c>
      <c r="H1233">
        <v>261</v>
      </c>
      <c r="I1233">
        <v>2146976</v>
      </c>
      <c r="J1233">
        <v>2784</v>
      </c>
      <c r="K1233">
        <v>42.71</v>
      </c>
      <c r="L1233">
        <v>10.5</v>
      </c>
      <c r="M1233">
        <v>4.55</v>
      </c>
    </row>
    <row r="1234" spans="1:13" x14ac:dyDescent="0.3">
      <c r="A1234" s="1">
        <v>46010</v>
      </c>
      <c r="B1234">
        <v>328.05</v>
      </c>
      <c r="C1234">
        <v>335.35</v>
      </c>
      <c r="D1234">
        <v>328.05</v>
      </c>
      <c r="E1234">
        <v>334.05</v>
      </c>
      <c r="F1234">
        <v>332.72683163512801</v>
      </c>
      <c r="G1234">
        <v>4122</v>
      </c>
      <c r="H1234">
        <v>176</v>
      </c>
      <c r="I1234">
        <v>1371500</v>
      </c>
      <c r="J1234">
        <v>2471</v>
      </c>
      <c r="K1234">
        <v>59.95</v>
      </c>
      <c r="L1234">
        <v>7.3</v>
      </c>
      <c r="M1234">
        <v>6</v>
      </c>
    </row>
    <row r="1235" spans="1:13" x14ac:dyDescent="0.3">
      <c r="A1235" s="1">
        <v>46013</v>
      </c>
      <c r="B1235">
        <v>342.4</v>
      </c>
      <c r="C1235">
        <v>356</v>
      </c>
      <c r="D1235">
        <v>337.9</v>
      </c>
      <c r="E1235">
        <v>349.35</v>
      </c>
      <c r="F1235">
        <v>346.51033092558299</v>
      </c>
      <c r="G1235">
        <v>11906</v>
      </c>
      <c r="H1235">
        <v>407</v>
      </c>
      <c r="I1235">
        <v>4125552</v>
      </c>
      <c r="J1235">
        <v>7234</v>
      </c>
      <c r="K1235">
        <v>60.76</v>
      </c>
      <c r="L1235">
        <v>18.100000000000001</v>
      </c>
      <c r="M1235">
        <v>6.95</v>
      </c>
    </row>
    <row r="1236" spans="1:13" x14ac:dyDescent="0.3">
      <c r="A1236" s="1">
        <v>46014</v>
      </c>
      <c r="B1236">
        <v>350.55</v>
      </c>
      <c r="C1236">
        <v>354.15</v>
      </c>
      <c r="D1236">
        <v>345.25</v>
      </c>
      <c r="E1236">
        <v>352.55</v>
      </c>
      <c r="F1236">
        <v>351.87727649006598</v>
      </c>
      <c r="G1236">
        <v>4832</v>
      </c>
      <c r="H1236">
        <v>226</v>
      </c>
      <c r="I1236">
        <v>1700271</v>
      </c>
      <c r="J1236">
        <v>3102</v>
      </c>
      <c r="K1236">
        <v>64.2</v>
      </c>
      <c r="L1236">
        <v>8.9</v>
      </c>
      <c r="M1236">
        <v>2</v>
      </c>
    </row>
    <row r="1237" spans="1:13" x14ac:dyDescent="0.3">
      <c r="A1237" s="1">
        <v>46015</v>
      </c>
      <c r="B1237">
        <v>353</v>
      </c>
      <c r="C1237">
        <v>354.9</v>
      </c>
      <c r="D1237">
        <v>339</v>
      </c>
      <c r="E1237">
        <v>343.15</v>
      </c>
      <c r="F1237">
        <v>348.342558425584</v>
      </c>
      <c r="G1237">
        <v>9756</v>
      </c>
      <c r="H1237">
        <v>450</v>
      </c>
      <c r="I1237">
        <v>3398430</v>
      </c>
      <c r="J1237">
        <v>5747</v>
      </c>
      <c r="K1237">
        <v>58.91</v>
      </c>
      <c r="L1237">
        <v>15.9</v>
      </c>
      <c r="M1237">
        <v>-9.85</v>
      </c>
    </row>
    <row r="1238" spans="1:13" x14ac:dyDescent="0.3">
      <c r="A1238" s="1">
        <v>46017</v>
      </c>
      <c r="B1238">
        <v>339</v>
      </c>
      <c r="C1238">
        <v>341.6</v>
      </c>
      <c r="D1238">
        <v>336</v>
      </c>
      <c r="E1238">
        <v>337.85</v>
      </c>
      <c r="F1238">
        <v>338.16720819795</v>
      </c>
      <c r="G1238">
        <v>4001</v>
      </c>
      <c r="H1238">
        <v>247</v>
      </c>
      <c r="I1238">
        <v>1353007</v>
      </c>
      <c r="J1238">
        <v>2449</v>
      </c>
      <c r="K1238">
        <v>61.21</v>
      </c>
      <c r="L1238">
        <v>5.6</v>
      </c>
      <c r="M1238">
        <v>-1.1499999999999999</v>
      </c>
    </row>
    <row r="1239" spans="1:13" x14ac:dyDescent="0.3">
      <c r="A1239" s="1">
        <v>46020</v>
      </c>
      <c r="B1239">
        <v>334.1</v>
      </c>
      <c r="C1239">
        <v>336.6</v>
      </c>
      <c r="D1239">
        <v>330.35</v>
      </c>
      <c r="E1239">
        <v>332.05</v>
      </c>
      <c r="F1239">
        <v>332.93274956217101</v>
      </c>
      <c r="G1239">
        <v>5710</v>
      </c>
      <c r="H1239">
        <v>300</v>
      </c>
      <c r="I1239">
        <v>1901046</v>
      </c>
      <c r="J1239">
        <v>3957</v>
      </c>
      <c r="K1239">
        <v>69.3</v>
      </c>
      <c r="L1239">
        <v>6.25</v>
      </c>
      <c r="M1239">
        <v>-2.0499999999999998</v>
      </c>
    </row>
    <row r="1240" spans="1:13" x14ac:dyDescent="0.3">
      <c r="A1240" s="1">
        <v>46021</v>
      </c>
      <c r="B1240">
        <v>331.1</v>
      </c>
      <c r="C1240">
        <v>335.35</v>
      </c>
      <c r="D1240">
        <v>328</v>
      </c>
      <c r="E1240">
        <v>334.95</v>
      </c>
      <c r="F1240">
        <v>331.17474664475401</v>
      </c>
      <c r="G1240">
        <v>3651</v>
      </c>
      <c r="H1240">
        <v>241</v>
      </c>
      <c r="I1240">
        <v>1209119</v>
      </c>
      <c r="J1240">
        <v>2048</v>
      </c>
      <c r="K1240">
        <v>56.09</v>
      </c>
      <c r="L1240">
        <v>7.35</v>
      </c>
      <c r="M1240">
        <v>3.85</v>
      </c>
    </row>
    <row r="1241" spans="1:13" x14ac:dyDescent="0.3">
      <c r="A1241" s="1">
        <v>46022</v>
      </c>
      <c r="B1241">
        <v>335</v>
      </c>
      <c r="C1241">
        <v>335.95</v>
      </c>
      <c r="D1241">
        <v>331.8</v>
      </c>
      <c r="E1241">
        <v>334</v>
      </c>
      <c r="F1241">
        <v>334.22230501738602</v>
      </c>
      <c r="G1241">
        <v>4026</v>
      </c>
      <c r="H1241">
        <v>286</v>
      </c>
      <c r="I1241">
        <v>1345579</v>
      </c>
      <c r="J1241">
        <v>2406</v>
      </c>
      <c r="K1241">
        <v>59.76</v>
      </c>
      <c r="L1241">
        <v>4.1500000000000004</v>
      </c>
      <c r="M1241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6FFD0-5ED6-48F5-9EEA-49FC443CF41C}">
  <dimension ref="A1:L1241"/>
  <sheetViews>
    <sheetView topLeftCell="A1227" workbookViewId="0"/>
  </sheetViews>
  <sheetFormatPr defaultColWidth="12.44140625" defaultRowHeight="14.4" x14ac:dyDescent="0.3"/>
  <sheetData>
    <row r="1" spans="1:12" x14ac:dyDescent="0.3">
      <c r="A1" t="s">
        <v>0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</row>
    <row r="2" spans="1:12" x14ac:dyDescent="0.3">
      <c r="A2" s="1">
        <v>44197</v>
      </c>
      <c r="B2">
        <v>47785.279999999999</v>
      </c>
      <c r="C2">
        <v>47980.36</v>
      </c>
      <c r="D2">
        <v>47771.15</v>
      </c>
      <c r="E2">
        <v>47868.98</v>
      </c>
      <c r="F2">
        <v>117.65</v>
      </c>
      <c r="G2">
        <v>0.25</v>
      </c>
      <c r="H2">
        <v>0.83</v>
      </c>
      <c r="I2">
        <v>524.96</v>
      </c>
      <c r="J2">
        <v>33.5</v>
      </c>
      <c r="K2">
        <v>3.27</v>
      </c>
      <c r="L2">
        <v>0.83</v>
      </c>
    </row>
    <row r="3" spans="1:12" x14ac:dyDescent="0.3">
      <c r="A3" s="1">
        <v>44200</v>
      </c>
      <c r="B3">
        <v>48109.17</v>
      </c>
      <c r="C3">
        <v>48220.47</v>
      </c>
      <c r="D3">
        <v>47594.47</v>
      </c>
      <c r="E3">
        <v>48176.800000000003</v>
      </c>
      <c r="F3">
        <v>307.82</v>
      </c>
      <c r="G3">
        <v>0.64</v>
      </c>
      <c r="H3">
        <v>1.39</v>
      </c>
      <c r="I3">
        <v>809.27</v>
      </c>
      <c r="J3">
        <v>33.68</v>
      </c>
      <c r="K3">
        <v>3.29</v>
      </c>
      <c r="L3">
        <v>0.82</v>
      </c>
    </row>
    <row r="4" spans="1:12" x14ac:dyDescent="0.3">
      <c r="A4" s="1">
        <v>44201</v>
      </c>
      <c r="B4">
        <v>48037.63</v>
      </c>
      <c r="C4">
        <v>48486.239999999998</v>
      </c>
      <c r="D4">
        <v>47903.38</v>
      </c>
      <c r="E4">
        <v>48437.78</v>
      </c>
      <c r="F4">
        <v>260.98</v>
      </c>
      <c r="G4">
        <v>0.54</v>
      </c>
      <c r="H4">
        <v>1.22</v>
      </c>
      <c r="I4">
        <v>932.63</v>
      </c>
      <c r="J4">
        <v>33.76</v>
      </c>
      <c r="K4">
        <v>3.3</v>
      </c>
      <c r="L4">
        <v>0.82</v>
      </c>
    </row>
    <row r="5" spans="1:12" x14ac:dyDescent="0.3">
      <c r="A5" s="1">
        <v>44202</v>
      </c>
      <c r="B5">
        <v>48616.66</v>
      </c>
      <c r="C5">
        <v>48616.66</v>
      </c>
      <c r="D5">
        <v>47864.14</v>
      </c>
      <c r="E5">
        <v>48174.06</v>
      </c>
      <c r="F5">
        <v>-263.72000000000003</v>
      </c>
      <c r="G5">
        <v>-0.54</v>
      </c>
      <c r="H5" t="s">
        <v>13</v>
      </c>
      <c r="J5">
        <v>33.590000000000003</v>
      </c>
      <c r="K5">
        <v>3.28</v>
      </c>
      <c r="L5">
        <v>0.83</v>
      </c>
    </row>
    <row r="6" spans="1:12" x14ac:dyDescent="0.3">
      <c r="A6" s="1">
        <v>44203</v>
      </c>
      <c r="B6">
        <v>48524.36</v>
      </c>
      <c r="C6">
        <v>48558.34</v>
      </c>
      <c r="D6">
        <v>48037.87</v>
      </c>
      <c r="E6">
        <v>48093.32</v>
      </c>
      <c r="F6">
        <v>-80.739999999999995</v>
      </c>
      <c r="G6">
        <v>-0.17</v>
      </c>
      <c r="H6">
        <v>1.84</v>
      </c>
      <c r="I6">
        <v>1417.49</v>
      </c>
      <c r="J6">
        <v>33.51</v>
      </c>
      <c r="K6">
        <v>3.27</v>
      </c>
      <c r="L6">
        <v>0.83</v>
      </c>
    </row>
    <row r="7" spans="1:12" x14ac:dyDescent="0.3">
      <c r="A7" s="1">
        <v>44204</v>
      </c>
      <c r="B7">
        <v>48464.91</v>
      </c>
      <c r="C7">
        <v>48854.34</v>
      </c>
      <c r="D7">
        <v>48365.58</v>
      </c>
      <c r="E7">
        <v>48782.51</v>
      </c>
      <c r="F7">
        <v>689.19</v>
      </c>
      <c r="G7">
        <v>1.43</v>
      </c>
      <c r="H7">
        <v>2.2200000000000002</v>
      </c>
      <c r="I7">
        <v>1716.24</v>
      </c>
      <c r="J7">
        <v>33.93</v>
      </c>
      <c r="K7">
        <v>3.31</v>
      </c>
      <c r="L7">
        <v>0.82</v>
      </c>
    </row>
    <row r="8" spans="1:12" x14ac:dyDescent="0.3">
      <c r="A8" s="1">
        <v>44207</v>
      </c>
      <c r="B8">
        <v>49252.31</v>
      </c>
      <c r="C8">
        <v>49303.79</v>
      </c>
      <c r="D8">
        <v>48956.38</v>
      </c>
      <c r="E8">
        <v>49269.32</v>
      </c>
      <c r="F8">
        <v>486.81</v>
      </c>
      <c r="G8">
        <v>1</v>
      </c>
      <c r="H8">
        <v>2.12</v>
      </c>
      <c r="I8">
        <v>1605.22</v>
      </c>
      <c r="J8">
        <v>34.32</v>
      </c>
      <c r="K8">
        <v>3.37</v>
      </c>
      <c r="L8">
        <v>0.81</v>
      </c>
    </row>
    <row r="9" spans="1:12" x14ac:dyDescent="0.3">
      <c r="A9" s="1">
        <v>44208</v>
      </c>
      <c r="B9">
        <v>49228.26</v>
      </c>
      <c r="C9">
        <v>49569.14</v>
      </c>
      <c r="D9">
        <v>49079.57</v>
      </c>
      <c r="E9">
        <v>49517.11</v>
      </c>
      <c r="F9">
        <v>247.79</v>
      </c>
      <c r="G9">
        <v>0.5</v>
      </c>
      <c r="H9">
        <v>1.27</v>
      </c>
      <c r="I9">
        <v>940.52</v>
      </c>
      <c r="J9">
        <v>34.549999999999997</v>
      </c>
      <c r="K9">
        <v>3.39</v>
      </c>
      <c r="L9">
        <v>0.8</v>
      </c>
    </row>
    <row r="10" spans="1:12" x14ac:dyDescent="0.3">
      <c r="A10" s="1">
        <v>44209</v>
      </c>
      <c r="B10">
        <v>49763.93</v>
      </c>
      <c r="C10">
        <v>49795.19</v>
      </c>
      <c r="D10">
        <v>49073.85</v>
      </c>
      <c r="E10">
        <v>49492.32</v>
      </c>
      <c r="F10">
        <v>-24.79</v>
      </c>
      <c r="G10">
        <v>-0.05</v>
      </c>
      <c r="H10">
        <v>2.72</v>
      </c>
      <c r="I10">
        <v>1611.31</v>
      </c>
      <c r="J10">
        <v>34.65</v>
      </c>
      <c r="K10">
        <v>3.4</v>
      </c>
      <c r="L10">
        <v>0.8</v>
      </c>
    </row>
    <row r="11" spans="1:12" x14ac:dyDescent="0.3">
      <c r="A11" s="1">
        <v>44210</v>
      </c>
      <c r="B11">
        <v>49432.83</v>
      </c>
      <c r="C11">
        <v>49663.58</v>
      </c>
      <c r="D11">
        <v>49182.37</v>
      </c>
      <c r="E11">
        <v>49584.160000000003</v>
      </c>
      <c r="F11">
        <v>91.84</v>
      </c>
      <c r="G11">
        <v>0.19</v>
      </c>
      <c r="H11" t="s">
        <v>13</v>
      </c>
      <c r="J11">
        <v>34.630000000000003</v>
      </c>
      <c r="K11">
        <v>3.4</v>
      </c>
      <c r="L11">
        <v>0.8</v>
      </c>
    </row>
    <row r="12" spans="1:12" x14ac:dyDescent="0.3">
      <c r="A12" s="1">
        <v>44211</v>
      </c>
      <c r="B12">
        <v>49656.71</v>
      </c>
      <c r="C12">
        <v>49656.71</v>
      </c>
      <c r="D12">
        <v>48795.79</v>
      </c>
      <c r="E12">
        <v>49034.67</v>
      </c>
      <c r="F12">
        <v>-549.49</v>
      </c>
      <c r="G12">
        <v>-1.1100000000000001</v>
      </c>
      <c r="H12">
        <v>1.47</v>
      </c>
      <c r="I12">
        <v>1266.97</v>
      </c>
      <c r="J12">
        <v>34.119999999999997</v>
      </c>
      <c r="K12">
        <v>3.35</v>
      </c>
      <c r="L12">
        <v>0.81</v>
      </c>
    </row>
    <row r="13" spans="1:12" x14ac:dyDescent="0.3">
      <c r="A13" s="1">
        <v>44214</v>
      </c>
      <c r="B13">
        <v>49061.22</v>
      </c>
      <c r="C13">
        <v>49122.23</v>
      </c>
      <c r="D13">
        <v>48403.97</v>
      </c>
      <c r="E13">
        <v>48564.27</v>
      </c>
      <c r="F13">
        <v>-470.4</v>
      </c>
      <c r="G13">
        <v>-0.96</v>
      </c>
      <c r="H13">
        <v>1.66</v>
      </c>
      <c r="I13">
        <v>1187.8</v>
      </c>
      <c r="J13">
        <v>33.47</v>
      </c>
      <c r="K13">
        <v>3.3</v>
      </c>
      <c r="L13">
        <v>0.82</v>
      </c>
    </row>
    <row r="14" spans="1:12" x14ac:dyDescent="0.3">
      <c r="A14" s="1">
        <v>44215</v>
      </c>
      <c r="B14">
        <v>48900.31</v>
      </c>
      <c r="C14">
        <v>49499.86</v>
      </c>
      <c r="D14">
        <v>48805.54</v>
      </c>
      <c r="E14">
        <v>49398.29</v>
      </c>
      <c r="F14">
        <v>834.02</v>
      </c>
      <c r="G14">
        <v>1.72</v>
      </c>
      <c r="H14" t="s">
        <v>13</v>
      </c>
      <c r="J14">
        <v>34.08</v>
      </c>
      <c r="K14">
        <v>3.36</v>
      </c>
      <c r="L14">
        <v>0.81</v>
      </c>
    </row>
    <row r="15" spans="1:12" x14ac:dyDescent="0.3">
      <c r="A15" s="1">
        <v>44216</v>
      </c>
      <c r="B15">
        <v>49508.79</v>
      </c>
      <c r="C15">
        <v>49874.42</v>
      </c>
      <c r="D15">
        <v>49373.68</v>
      </c>
      <c r="E15">
        <v>49792.12</v>
      </c>
      <c r="F15">
        <v>393.83</v>
      </c>
      <c r="G15">
        <v>0.8</v>
      </c>
      <c r="H15">
        <v>1.22</v>
      </c>
      <c r="I15">
        <v>1402.16</v>
      </c>
      <c r="J15">
        <v>34.42</v>
      </c>
      <c r="K15">
        <v>3.39</v>
      </c>
      <c r="L15">
        <v>0.8</v>
      </c>
    </row>
    <row r="16" spans="1:12" x14ac:dyDescent="0.3">
      <c r="A16" s="1">
        <v>44217</v>
      </c>
      <c r="B16">
        <v>50096.57</v>
      </c>
      <c r="C16">
        <v>50184.01</v>
      </c>
      <c r="D16">
        <v>49398.86</v>
      </c>
      <c r="E16">
        <v>49624.76</v>
      </c>
      <c r="F16">
        <v>-167.36</v>
      </c>
      <c r="G16">
        <v>-0.34</v>
      </c>
      <c r="H16">
        <v>1.93</v>
      </c>
      <c r="I16">
        <v>1709.66</v>
      </c>
      <c r="J16">
        <v>34.36</v>
      </c>
      <c r="K16">
        <v>3.38</v>
      </c>
      <c r="L16">
        <v>0.8</v>
      </c>
    </row>
    <row r="17" spans="1:12" x14ac:dyDescent="0.3">
      <c r="A17" s="1">
        <v>44218</v>
      </c>
      <c r="B17">
        <v>49594.95</v>
      </c>
      <c r="C17">
        <v>49676.88</v>
      </c>
      <c r="D17">
        <v>48832.08</v>
      </c>
      <c r="E17">
        <v>48878.54</v>
      </c>
      <c r="F17">
        <v>-746.22</v>
      </c>
      <c r="G17">
        <v>-1.5</v>
      </c>
      <c r="H17">
        <v>1.84</v>
      </c>
      <c r="I17">
        <v>1486.69</v>
      </c>
      <c r="J17">
        <v>33.76</v>
      </c>
      <c r="K17">
        <v>3.32</v>
      </c>
      <c r="L17">
        <v>0.81</v>
      </c>
    </row>
    <row r="18" spans="1:12" x14ac:dyDescent="0.3">
      <c r="A18" s="1">
        <v>44221</v>
      </c>
      <c r="B18">
        <v>49253.68</v>
      </c>
      <c r="C18">
        <v>49263.15</v>
      </c>
      <c r="D18">
        <v>48274.92</v>
      </c>
      <c r="E18">
        <v>48347.59</v>
      </c>
      <c r="F18">
        <v>-530.95000000000005</v>
      </c>
      <c r="G18">
        <v>-1.0900000000000001</v>
      </c>
      <c r="H18">
        <v>1.55</v>
      </c>
      <c r="I18">
        <v>1432.04</v>
      </c>
      <c r="J18">
        <v>33.130000000000003</v>
      </c>
      <c r="K18">
        <v>3.29</v>
      </c>
      <c r="L18">
        <v>0.82</v>
      </c>
    </row>
    <row r="19" spans="1:12" x14ac:dyDescent="0.3">
      <c r="A19" s="1">
        <v>44223</v>
      </c>
      <c r="B19">
        <v>48385.279999999999</v>
      </c>
      <c r="C19">
        <v>48387.25</v>
      </c>
      <c r="D19">
        <v>47269.599999999999</v>
      </c>
      <c r="E19">
        <v>47409.93</v>
      </c>
      <c r="F19">
        <v>-937.66</v>
      </c>
      <c r="G19">
        <v>-1.94</v>
      </c>
      <c r="H19">
        <v>1.96</v>
      </c>
      <c r="I19">
        <v>1444.17</v>
      </c>
      <c r="J19">
        <v>32.46</v>
      </c>
      <c r="K19">
        <v>3.23</v>
      </c>
      <c r="L19">
        <v>0.84</v>
      </c>
    </row>
    <row r="20" spans="1:12" x14ac:dyDescent="0.3">
      <c r="A20" s="1">
        <v>44224</v>
      </c>
      <c r="B20">
        <v>46834.57</v>
      </c>
      <c r="C20">
        <v>47172.02</v>
      </c>
      <c r="D20">
        <v>46518.48</v>
      </c>
      <c r="E20">
        <v>46874.36</v>
      </c>
      <c r="F20">
        <v>-535.57000000000005</v>
      </c>
      <c r="G20">
        <v>-1.1299999999999999</v>
      </c>
      <c r="H20">
        <v>2.5</v>
      </c>
      <c r="I20">
        <v>2471.27</v>
      </c>
      <c r="J20">
        <v>31.96</v>
      </c>
      <c r="K20">
        <v>3.18</v>
      </c>
      <c r="L20">
        <v>0.85</v>
      </c>
    </row>
    <row r="21" spans="1:12" x14ac:dyDescent="0.3">
      <c r="A21" s="1">
        <v>44225</v>
      </c>
      <c r="B21">
        <v>47423.47</v>
      </c>
      <c r="C21">
        <v>47423.66</v>
      </c>
      <c r="D21">
        <v>46160.46</v>
      </c>
      <c r="E21">
        <v>46285.77</v>
      </c>
      <c r="F21">
        <v>-588.59</v>
      </c>
      <c r="G21">
        <v>-1.26</v>
      </c>
      <c r="H21">
        <v>1.45</v>
      </c>
      <c r="I21">
        <v>1155.5999999999999</v>
      </c>
      <c r="J21">
        <v>31.75</v>
      </c>
      <c r="K21">
        <v>3.15</v>
      </c>
      <c r="L21">
        <v>0.86</v>
      </c>
    </row>
    <row r="22" spans="1:12" x14ac:dyDescent="0.3">
      <c r="A22" s="1">
        <v>44228</v>
      </c>
      <c r="B22">
        <v>46617.95</v>
      </c>
      <c r="C22">
        <v>48764.4</v>
      </c>
      <c r="D22">
        <v>46433.65</v>
      </c>
      <c r="E22">
        <v>48600.61</v>
      </c>
      <c r="F22">
        <v>2314.84</v>
      </c>
      <c r="G22">
        <v>5</v>
      </c>
      <c r="H22">
        <v>2.2000000000000002</v>
      </c>
      <c r="I22">
        <v>1754.31</v>
      </c>
      <c r="J22">
        <v>33.08</v>
      </c>
      <c r="K22">
        <v>3.3</v>
      </c>
      <c r="L22">
        <v>0.82</v>
      </c>
    </row>
    <row r="23" spans="1:12" x14ac:dyDescent="0.3">
      <c r="A23" s="1">
        <v>44229</v>
      </c>
      <c r="B23">
        <v>49193.26</v>
      </c>
      <c r="C23">
        <v>50154.48</v>
      </c>
      <c r="D23">
        <v>49193.26</v>
      </c>
      <c r="E23">
        <v>49797.72</v>
      </c>
      <c r="F23">
        <v>1197.1099999999999</v>
      </c>
      <c r="G23">
        <v>2.46</v>
      </c>
      <c r="H23">
        <v>2.84</v>
      </c>
      <c r="I23">
        <v>2138.2399999999998</v>
      </c>
      <c r="J23">
        <v>33.92</v>
      </c>
      <c r="K23">
        <v>3.38</v>
      </c>
      <c r="L23">
        <v>0.8</v>
      </c>
    </row>
    <row r="24" spans="1:12" x14ac:dyDescent="0.3">
      <c r="A24" s="1">
        <v>44230</v>
      </c>
      <c r="B24">
        <v>50231.06</v>
      </c>
      <c r="C24">
        <v>50526.39</v>
      </c>
      <c r="D24">
        <v>49515.88</v>
      </c>
      <c r="E24">
        <v>50255.75</v>
      </c>
      <c r="F24">
        <v>458.03</v>
      </c>
      <c r="G24">
        <v>0.92</v>
      </c>
      <c r="H24">
        <v>2.2400000000000002</v>
      </c>
      <c r="I24">
        <v>1511.42</v>
      </c>
      <c r="J24">
        <v>34.15</v>
      </c>
      <c r="K24">
        <v>3.41</v>
      </c>
      <c r="L24">
        <v>0.79</v>
      </c>
    </row>
    <row r="25" spans="1:12" x14ac:dyDescent="0.3">
      <c r="A25" s="1">
        <v>44231</v>
      </c>
      <c r="B25">
        <v>50212.25</v>
      </c>
      <c r="C25">
        <v>50687.51</v>
      </c>
      <c r="D25">
        <v>49926.45</v>
      </c>
      <c r="E25">
        <v>50614.29</v>
      </c>
      <c r="F25">
        <v>358.54</v>
      </c>
      <c r="G25">
        <v>0.71</v>
      </c>
      <c r="H25">
        <v>3.36</v>
      </c>
      <c r="I25">
        <v>2663.16</v>
      </c>
      <c r="J25">
        <v>34.42</v>
      </c>
      <c r="K25">
        <v>3.43</v>
      </c>
      <c r="L25">
        <v>0.79</v>
      </c>
    </row>
    <row r="26" spans="1:12" x14ac:dyDescent="0.3">
      <c r="A26" s="1">
        <v>44232</v>
      </c>
      <c r="B26">
        <v>51031.39</v>
      </c>
      <c r="C26">
        <v>51073.27</v>
      </c>
      <c r="D26">
        <v>50565.29</v>
      </c>
      <c r="E26">
        <v>50731.63</v>
      </c>
      <c r="F26">
        <v>117.34</v>
      </c>
      <c r="G26">
        <v>0.23</v>
      </c>
      <c r="H26">
        <v>3.22</v>
      </c>
      <c r="I26">
        <v>1869.14</v>
      </c>
      <c r="J26">
        <v>34.26</v>
      </c>
      <c r="K26">
        <v>3.43</v>
      </c>
      <c r="L26">
        <v>0.79</v>
      </c>
    </row>
    <row r="27" spans="1:12" x14ac:dyDescent="0.3">
      <c r="A27" s="1">
        <v>44235</v>
      </c>
      <c r="B27">
        <v>51146.67</v>
      </c>
      <c r="C27">
        <v>51523.38</v>
      </c>
      <c r="D27">
        <v>51146.67</v>
      </c>
      <c r="E27">
        <v>51348.77</v>
      </c>
      <c r="F27">
        <v>617.14</v>
      </c>
      <c r="G27">
        <v>1.22</v>
      </c>
      <c r="H27">
        <v>2.06</v>
      </c>
      <c r="I27">
        <v>1649.54</v>
      </c>
      <c r="J27">
        <v>35.61</v>
      </c>
      <c r="K27">
        <v>3.46</v>
      </c>
      <c r="L27">
        <v>0.8</v>
      </c>
    </row>
    <row r="28" spans="1:12" x14ac:dyDescent="0.3">
      <c r="A28" s="1">
        <v>44236</v>
      </c>
      <c r="B28">
        <v>51484.23</v>
      </c>
      <c r="C28">
        <v>51835.86</v>
      </c>
      <c r="D28">
        <v>51193.93</v>
      </c>
      <c r="E28">
        <v>51329.08</v>
      </c>
      <c r="F28">
        <v>-19.690000000000001</v>
      </c>
      <c r="G28">
        <v>-0.04</v>
      </c>
      <c r="H28">
        <v>2.12</v>
      </c>
      <c r="I28">
        <v>1387.3</v>
      </c>
      <c r="J28">
        <v>35.61</v>
      </c>
      <c r="K28">
        <v>3.46</v>
      </c>
      <c r="L28">
        <v>0.8</v>
      </c>
    </row>
    <row r="29" spans="1:12" x14ac:dyDescent="0.3">
      <c r="A29" s="1">
        <v>44237</v>
      </c>
      <c r="B29">
        <v>51355.89</v>
      </c>
      <c r="C29">
        <v>51512.86</v>
      </c>
      <c r="D29">
        <v>50846.22</v>
      </c>
      <c r="E29">
        <v>51309.39</v>
      </c>
      <c r="F29">
        <v>-19.690000000000001</v>
      </c>
      <c r="G29">
        <v>-0.04</v>
      </c>
      <c r="H29">
        <v>1.6</v>
      </c>
      <c r="I29">
        <v>1275.93</v>
      </c>
      <c r="J29">
        <v>35.67</v>
      </c>
      <c r="K29">
        <v>3.47</v>
      </c>
      <c r="L29">
        <v>0.8</v>
      </c>
    </row>
    <row r="30" spans="1:12" x14ac:dyDescent="0.3">
      <c r="A30" s="1">
        <v>44238</v>
      </c>
      <c r="B30">
        <v>51165.84</v>
      </c>
      <c r="C30">
        <v>51592.45</v>
      </c>
      <c r="D30">
        <v>51157.31</v>
      </c>
      <c r="E30">
        <v>51531.519999999997</v>
      </c>
      <c r="F30">
        <v>222.13</v>
      </c>
      <c r="G30">
        <v>0.43</v>
      </c>
      <c r="H30">
        <v>1.21</v>
      </c>
      <c r="I30">
        <v>1131.4100000000001</v>
      </c>
      <c r="J30">
        <v>35.799999999999997</v>
      </c>
      <c r="K30">
        <v>3.48</v>
      </c>
      <c r="L30">
        <v>0.79</v>
      </c>
    </row>
    <row r="31" spans="1:12" x14ac:dyDescent="0.3">
      <c r="A31" s="1">
        <v>44239</v>
      </c>
      <c r="B31">
        <v>51614.77</v>
      </c>
      <c r="C31">
        <v>51804.58</v>
      </c>
      <c r="D31">
        <v>51260.62</v>
      </c>
      <c r="E31">
        <v>51544.3</v>
      </c>
      <c r="F31">
        <v>12.78</v>
      </c>
      <c r="G31">
        <v>0.02</v>
      </c>
      <c r="H31" t="s">
        <v>13</v>
      </c>
      <c r="J31">
        <v>35.79</v>
      </c>
      <c r="K31">
        <v>3.48</v>
      </c>
      <c r="L31">
        <v>0.79</v>
      </c>
    </row>
    <row r="32" spans="1:12" x14ac:dyDescent="0.3">
      <c r="A32" s="1">
        <v>44242</v>
      </c>
      <c r="B32">
        <v>51907.75</v>
      </c>
      <c r="C32">
        <v>52235.97</v>
      </c>
      <c r="D32">
        <v>51886.46</v>
      </c>
      <c r="E32">
        <v>52154.13</v>
      </c>
      <c r="F32">
        <v>609.83000000000004</v>
      </c>
      <c r="G32">
        <v>1.18</v>
      </c>
      <c r="H32">
        <v>1.47</v>
      </c>
      <c r="I32">
        <v>1078.1300000000001</v>
      </c>
      <c r="J32">
        <v>36.21</v>
      </c>
      <c r="K32">
        <v>3.52</v>
      </c>
      <c r="L32">
        <v>0.71</v>
      </c>
    </row>
    <row r="33" spans="1:12" x14ac:dyDescent="0.3">
      <c r="A33" s="1">
        <v>44243</v>
      </c>
      <c r="B33">
        <v>52400.03</v>
      </c>
      <c r="C33">
        <v>52516.76</v>
      </c>
      <c r="D33">
        <v>51863.61</v>
      </c>
      <c r="E33">
        <v>52104.17</v>
      </c>
      <c r="F33">
        <v>-49.96</v>
      </c>
      <c r="G33">
        <v>-0.1</v>
      </c>
      <c r="H33">
        <v>2.11</v>
      </c>
      <c r="I33">
        <v>1248.3399999999999</v>
      </c>
      <c r="J33">
        <v>36.130000000000003</v>
      </c>
      <c r="K33">
        <v>3.51</v>
      </c>
      <c r="L33">
        <v>0.71</v>
      </c>
    </row>
    <row r="34" spans="1:12" x14ac:dyDescent="0.3">
      <c r="A34" s="1">
        <v>44244</v>
      </c>
      <c r="B34">
        <v>51996.94</v>
      </c>
      <c r="C34">
        <v>52078.15</v>
      </c>
      <c r="D34">
        <v>51586.34</v>
      </c>
      <c r="E34">
        <v>51703.83</v>
      </c>
      <c r="F34">
        <v>-400.34</v>
      </c>
      <c r="G34">
        <v>-0.77</v>
      </c>
      <c r="H34">
        <v>1.36</v>
      </c>
      <c r="I34">
        <v>1111.5899999999999</v>
      </c>
      <c r="J34">
        <v>36.01</v>
      </c>
      <c r="K34">
        <v>3.49</v>
      </c>
      <c r="L34">
        <v>0.69</v>
      </c>
    </row>
    <row r="35" spans="1:12" x14ac:dyDescent="0.3">
      <c r="A35" s="1">
        <v>44245</v>
      </c>
      <c r="B35">
        <v>51903.96</v>
      </c>
      <c r="C35">
        <v>51903.96</v>
      </c>
      <c r="D35">
        <v>51186.68</v>
      </c>
      <c r="E35">
        <v>51324.69</v>
      </c>
      <c r="F35">
        <v>-379.14</v>
      </c>
      <c r="G35">
        <v>-0.73</v>
      </c>
      <c r="H35">
        <v>1.82</v>
      </c>
      <c r="I35">
        <v>1046.6300000000001</v>
      </c>
      <c r="J35">
        <v>35.9</v>
      </c>
      <c r="K35">
        <v>3.48</v>
      </c>
      <c r="L35">
        <v>0.7</v>
      </c>
    </row>
    <row r="36" spans="1:12" x14ac:dyDescent="0.3">
      <c r="A36" s="1">
        <v>44246</v>
      </c>
      <c r="B36">
        <v>51238.02</v>
      </c>
      <c r="C36">
        <v>51432.99</v>
      </c>
      <c r="D36">
        <v>50624.33</v>
      </c>
      <c r="E36">
        <v>50889.760000000002</v>
      </c>
      <c r="F36">
        <v>-434.93</v>
      </c>
      <c r="G36">
        <v>-0.85</v>
      </c>
      <c r="H36">
        <v>1.5</v>
      </c>
      <c r="I36">
        <v>961.98</v>
      </c>
      <c r="J36">
        <v>35.64</v>
      </c>
      <c r="K36">
        <v>3.45</v>
      </c>
      <c r="L36">
        <v>0.7</v>
      </c>
    </row>
    <row r="37" spans="1:12" x14ac:dyDescent="0.3">
      <c r="A37" s="1">
        <v>44249</v>
      </c>
      <c r="B37">
        <v>50910.51</v>
      </c>
      <c r="C37">
        <v>50986.03</v>
      </c>
      <c r="D37">
        <v>49617.37</v>
      </c>
      <c r="E37">
        <v>49744.32</v>
      </c>
      <c r="F37">
        <v>-1145.44</v>
      </c>
      <c r="G37">
        <v>-2.25</v>
      </c>
      <c r="H37">
        <v>1.63</v>
      </c>
      <c r="I37">
        <v>1111.76</v>
      </c>
      <c r="J37">
        <v>34.76</v>
      </c>
      <c r="K37">
        <v>3.37</v>
      </c>
      <c r="L37">
        <v>0.72</v>
      </c>
    </row>
    <row r="38" spans="1:12" x14ac:dyDescent="0.3">
      <c r="A38" s="1">
        <v>44250</v>
      </c>
      <c r="B38">
        <v>49994.85</v>
      </c>
      <c r="C38">
        <v>50327.31</v>
      </c>
      <c r="D38">
        <v>49659.85</v>
      </c>
      <c r="E38">
        <v>49751.41</v>
      </c>
      <c r="F38">
        <v>7.09</v>
      </c>
      <c r="G38">
        <v>0.01</v>
      </c>
      <c r="H38" t="s">
        <v>13</v>
      </c>
      <c r="J38">
        <v>34.79</v>
      </c>
      <c r="K38">
        <v>3.37</v>
      </c>
      <c r="L38">
        <v>0.72</v>
      </c>
    </row>
    <row r="39" spans="1:12" x14ac:dyDescent="0.3">
      <c r="A39" s="1">
        <v>44251</v>
      </c>
      <c r="B39">
        <v>49763.94</v>
      </c>
      <c r="C39">
        <v>50881.17</v>
      </c>
      <c r="D39">
        <v>49648.78</v>
      </c>
      <c r="E39">
        <v>50781.69</v>
      </c>
      <c r="F39">
        <v>1030.28</v>
      </c>
      <c r="G39">
        <v>2.0699999999999998</v>
      </c>
      <c r="H39">
        <v>4.59</v>
      </c>
      <c r="I39">
        <v>3805.89</v>
      </c>
      <c r="J39">
        <v>35.46</v>
      </c>
      <c r="K39">
        <v>3.43</v>
      </c>
      <c r="L39">
        <v>0.71</v>
      </c>
    </row>
    <row r="40" spans="1:12" x14ac:dyDescent="0.3">
      <c r="A40" s="1">
        <v>44252</v>
      </c>
      <c r="B40">
        <v>51207.61</v>
      </c>
      <c r="C40">
        <v>51386.12</v>
      </c>
      <c r="D40">
        <v>50991.76</v>
      </c>
      <c r="E40">
        <v>51039.31</v>
      </c>
      <c r="F40">
        <v>257.62</v>
      </c>
      <c r="G40">
        <v>0.51</v>
      </c>
      <c r="H40">
        <v>3.35</v>
      </c>
      <c r="I40">
        <v>2624.1</v>
      </c>
      <c r="J40">
        <v>35.6</v>
      </c>
      <c r="K40">
        <v>3.45</v>
      </c>
      <c r="L40">
        <v>0.7</v>
      </c>
    </row>
    <row r="41" spans="1:12" x14ac:dyDescent="0.3">
      <c r="A41" s="1">
        <v>44253</v>
      </c>
      <c r="B41">
        <v>50256.71</v>
      </c>
      <c r="C41">
        <v>50400.31</v>
      </c>
      <c r="D41">
        <v>48890.48</v>
      </c>
      <c r="E41">
        <v>49099.99</v>
      </c>
      <c r="F41">
        <v>-1939.32</v>
      </c>
      <c r="G41">
        <v>-3.8</v>
      </c>
      <c r="H41">
        <v>2.31</v>
      </c>
      <c r="I41">
        <v>1634.09</v>
      </c>
      <c r="J41">
        <v>33.86</v>
      </c>
      <c r="K41">
        <v>3.28</v>
      </c>
      <c r="L41">
        <v>0.74</v>
      </c>
    </row>
    <row r="42" spans="1:12" x14ac:dyDescent="0.3">
      <c r="A42" s="1">
        <v>44256</v>
      </c>
      <c r="B42">
        <v>49747.71</v>
      </c>
      <c r="C42">
        <v>50058.42</v>
      </c>
      <c r="D42">
        <v>49440.46</v>
      </c>
      <c r="E42">
        <v>49849.84</v>
      </c>
      <c r="F42">
        <v>749.85</v>
      </c>
      <c r="G42">
        <v>1.53</v>
      </c>
      <c r="H42">
        <v>1.84</v>
      </c>
      <c r="I42">
        <v>1193.06</v>
      </c>
      <c r="J42">
        <v>34.79</v>
      </c>
      <c r="K42">
        <v>3.37</v>
      </c>
      <c r="L42">
        <v>0.72</v>
      </c>
    </row>
    <row r="43" spans="1:12" x14ac:dyDescent="0.3">
      <c r="A43" s="1">
        <v>44257</v>
      </c>
      <c r="B43">
        <v>50258.09</v>
      </c>
      <c r="C43">
        <v>50439.82</v>
      </c>
      <c r="D43">
        <v>49807.12</v>
      </c>
      <c r="E43">
        <v>50296.89</v>
      </c>
      <c r="F43">
        <v>447.05</v>
      </c>
      <c r="G43">
        <v>0.9</v>
      </c>
      <c r="H43">
        <v>1.75</v>
      </c>
      <c r="I43">
        <v>983.62</v>
      </c>
      <c r="J43">
        <v>35.119999999999997</v>
      </c>
      <c r="K43">
        <v>3.4</v>
      </c>
      <c r="L43">
        <v>0.71</v>
      </c>
    </row>
    <row r="44" spans="1:12" x14ac:dyDescent="0.3">
      <c r="A44" s="1">
        <v>44258</v>
      </c>
      <c r="B44">
        <v>50738.21</v>
      </c>
      <c r="C44">
        <v>51539.89</v>
      </c>
      <c r="D44">
        <v>50512.84</v>
      </c>
      <c r="E44">
        <v>51444.65</v>
      </c>
      <c r="F44">
        <v>1147.76</v>
      </c>
      <c r="G44">
        <v>2.2799999999999998</v>
      </c>
      <c r="H44">
        <v>1.58</v>
      </c>
      <c r="I44">
        <v>1212.48</v>
      </c>
      <c r="J44">
        <v>36.07</v>
      </c>
      <c r="K44">
        <v>3.5</v>
      </c>
      <c r="L44">
        <v>0.69</v>
      </c>
    </row>
    <row r="45" spans="1:12" x14ac:dyDescent="0.3">
      <c r="A45" s="1">
        <v>44259</v>
      </c>
      <c r="B45">
        <v>50812.14</v>
      </c>
      <c r="C45">
        <v>51256.55</v>
      </c>
      <c r="D45">
        <v>50539.92</v>
      </c>
      <c r="E45">
        <v>50846.080000000002</v>
      </c>
      <c r="F45">
        <v>-598.57000000000005</v>
      </c>
      <c r="G45">
        <v>-1.1599999999999999</v>
      </c>
      <c r="H45">
        <v>2.1800000000000002</v>
      </c>
      <c r="I45">
        <v>2139.25</v>
      </c>
      <c r="J45">
        <v>35.64</v>
      </c>
      <c r="K45">
        <v>3.45</v>
      </c>
      <c r="L45">
        <v>0.7</v>
      </c>
    </row>
    <row r="46" spans="1:12" x14ac:dyDescent="0.3">
      <c r="A46" s="1">
        <v>44260</v>
      </c>
      <c r="B46">
        <v>50517.36</v>
      </c>
      <c r="C46">
        <v>50886.19</v>
      </c>
      <c r="D46">
        <v>50160.54</v>
      </c>
      <c r="E46">
        <v>50405.32</v>
      </c>
      <c r="F46">
        <v>-440.76</v>
      </c>
      <c r="G46">
        <v>-0.87</v>
      </c>
      <c r="H46">
        <v>1.92</v>
      </c>
      <c r="I46">
        <v>1192.29</v>
      </c>
      <c r="J46">
        <v>35.119999999999997</v>
      </c>
      <c r="K46">
        <v>3.4</v>
      </c>
      <c r="L46">
        <v>0.71</v>
      </c>
    </row>
    <row r="47" spans="1:12" x14ac:dyDescent="0.3">
      <c r="A47" s="1">
        <v>44263</v>
      </c>
      <c r="B47">
        <v>50654.02</v>
      </c>
      <c r="C47">
        <v>50985.77</v>
      </c>
      <c r="D47">
        <v>50318.26</v>
      </c>
      <c r="E47">
        <v>50441.07</v>
      </c>
      <c r="F47">
        <v>35.75</v>
      </c>
      <c r="G47">
        <v>7.0000000000000007E-2</v>
      </c>
      <c r="H47">
        <v>1.42</v>
      </c>
      <c r="I47">
        <v>813.71</v>
      </c>
      <c r="J47">
        <v>35.090000000000003</v>
      </c>
      <c r="K47">
        <v>3.4</v>
      </c>
      <c r="L47">
        <v>0.71</v>
      </c>
    </row>
    <row r="48" spans="1:12" x14ac:dyDescent="0.3">
      <c r="A48" s="1">
        <v>44264</v>
      </c>
      <c r="B48">
        <v>50714.16</v>
      </c>
      <c r="C48">
        <v>51111.94</v>
      </c>
      <c r="D48">
        <v>50396.1</v>
      </c>
      <c r="E48">
        <v>51025.48</v>
      </c>
      <c r="F48">
        <v>584.41</v>
      </c>
      <c r="G48">
        <v>1.1599999999999999</v>
      </c>
      <c r="H48">
        <v>1.22</v>
      </c>
      <c r="I48">
        <v>918.77</v>
      </c>
      <c r="J48">
        <v>35.65</v>
      </c>
      <c r="K48">
        <v>3.45</v>
      </c>
      <c r="L48">
        <v>0.7</v>
      </c>
    </row>
    <row r="49" spans="1:12" x14ac:dyDescent="0.3">
      <c r="A49" s="1">
        <v>44265</v>
      </c>
      <c r="B49">
        <v>51404.68</v>
      </c>
      <c r="C49">
        <v>51430.43</v>
      </c>
      <c r="D49">
        <v>51048.93</v>
      </c>
      <c r="E49">
        <v>51279.51</v>
      </c>
      <c r="F49">
        <v>254.03</v>
      </c>
      <c r="G49">
        <v>0.5</v>
      </c>
      <c r="H49">
        <v>0.93</v>
      </c>
      <c r="I49">
        <v>758.15</v>
      </c>
      <c r="J49">
        <v>35.94</v>
      </c>
      <c r="K49">
        <v>3.48</v>
      </c>
      <c r="L49">
        <v>0.7</v>
      </c>
    </row>
    <row r="50" spans="1:12" x14ac:dyDescent="0.3">
      <c r="A50" s="1">
        <v>44267</v>
      </c>
      <c r="B50">
        <v>51660.98</v>
      </c>
      <c r="C50">
        <v>51821.84</v>
      </c>
      <c r="D50">
        <v>50538.43</v>
      </c>
      <c r="E50">
        <v>50792.08</v>
      </c>
      <c r="F50">
        <v>-487.43</v>
      </c>
      <c r="G50">
        <v>-0.95</v>
      </c>
      <c r="H50">
        <v>1.22</v>
      </c>
      <c r="I50">
        <v>919.41</v>
      </c>
      <c r="J50">
        <v>35.36</v>
      </c>
      <c r="K50">
        <v>3.42</v>
      </c>
      <c r="L50">
        <v>0.71</v>
      </c>
    </row>
    <row r="51" spans="1:12" x14ac:dyDescent="0.3">
      <c r="A51" s="1">
        <v>44270</v>
      </c>
      <c r="B51">
        <v>50773.47</v>
      </c>
      <c r="C51">
        <v>50834.78</v>
      </c>
      <c r="D51">
        <v>49799.07</v>
      </c>
      <c r="E51">
        <v>50395.08</v>
      </c>
      <c r="F51">
        <v>-397</v>
      </c>
      <c r="G51">
        <v>-0.78</v>
      </c>
      <c r="H51">
        <v>1.76</v>
      </c>
      <c r="I51">
        <v>1162.56</v>
      </c>
      <c r="J51">
        <v>35.25</v>
      </c>
      <c r="K51">
        <v>3.41</v>
      </c>
      <c r="L51">
        <v>0.71</v>
      </c>
    </row>
    <row r="52" spans="1:12" x14ac:dyDescent="0.3">
      <c r="A52" s="1">
        <v>44271</v>
      </c>
      <c r="B52">
        <v>50608.42</v>
      </c>
      <c r="C52">
        <v>50857.98</v>
      </c>
      <c r="D52">
        <v>50289.440000000002</v>
      </c>
      <c r="E52">
        <v>50363.96</v>
      </c>
      <c r="F52">
        <v>-31.12</v>
      </c>
      <c r="G52">
        <v>-0.06</v>
      </c>
      <c r="H52">
        <v>1.02</v>
      </c>
      <c r="I52">
        <v>834.88</v>
      </c>
      <c r="J52">
        <v>35.17</v>
      </c>
      <c r="K52">
        <v>3.41</v>
      </c>
      <c r="L52">
        <v>0.71</v>
      </c>
    </row>
    <row r="53" spans="1:12" x14ac:dyDescent="0.3">
      <c r="A53" s="1">
        <v>44272</v>
      </c>
      <c r="B53">
        <v>50436.02</v>
      </c>
      <c r="C53">
        <v>50561.120000000003</v>
      </c>
      <c r="D53">
        <v>49718.65</v>
      </c>
      <c r="E53">
        <v>49801.62</v>
      </c>
      <c r="F53">
        <v>-562.34</v>
      </c>
      <c r="G53">
        <v>-1.1200000000000001</v>
      </c>
      <c r="H53">
        <v>1.3</v>
      </c>
      <c r="I53">
        <v>793.3</v>
      </c>
      <c r="J53">
        <v>34.72</v>
      </c>
      <c r="K53">
        <v>3.36</v>
      </c>
      <c r="L53">
        <v>0.72</v>
      </c>
    </row>
    <row r="54" spans="1:12" x14ac:dyDescent="0.3">
      <c r="A54" s="1">
        <v>44273</v>
      </c>
      <c r="B54">
        <v>50161.25</v>
      </c>
      <c r="C54">
        <v>50296.35</v>
      </c>
      <c r="D54">
        <v>48962.36</v>
      </c>
      <c r="E54">
        <v>49216.52</v>
      </c>
      <c r="F54">
        <v>-585.1</v>
      </c>
      <c r="G54">
        <v>-1.17</v>
      </c>
      <c r="H54" t="s">
        <v>13</v>
      </c>
      <c r="J54">
        <v>34.32</v>
      </c>
      <c r="K54">
        <v>3.32</v>
      </c>
      <c r="L54">
        <v>0.73</v>
      </c>
    </row>
    <row r="55" spans="1:12" x14ac:dyDescent="0.3">
      <c r="A55" s="1">
        <v>44274</v>
      </c>
      <c r="B55">
        <v>48881.19</v>
      </c>
      <c r="C55">
        <v>50003.58</v>
      </c>
      <c r="D55">
        <v>48586.93</v>
      </c>
      <c r="E55">
        <v>49858.239999999998</v>
      </c>
      <c r="F55">
        <v>641.72</v>
      </c>
      <c r="G55">
        <v>1.3</v>
      </c>
      <c r="H55">
        <v>1.75</v>
      </c>
      <c r="I55">
        <v>1227.79</v>
      </c>
      <c r="J55">
        <v>34.71</v>
      </c>
      <c r="K55">
        <v>3.36</v>
      </c>
      <c r="L55">
        <v>0.72</v>
      </c>
    </row>
    <row r="56" spans="1:12" x14ac:dyDescent="0.3">
      <c r="A56" s="1">
        <v>44277</v>
      </c>
      <c r="B56">
        <v>49878.77</v>
      </c>
      <c r="C56">
        <v>49878.77</v>
      </c>
      <c r="D56">
        <v>49281.02</v>
      </c>
      <c r="E56">
        <v>49771.29</v>
      </c>
      <c r="F56">
        <v>-86.95</v>
      </c>
      <c r="G56">
        <v>-0.17</v>
      </c>
      <c r="H56">
        <v>1.1599999999999999</v>
      </c>
      <c r="I56">
        <v>800.22</v>
      </c>
      <c r="J56">
        <v>34.75</v>
      </c>
      <c r="K56">
        <v>3.37</v>
      </c>
      <c r="L56">
        <v>0.72</v>
      </c>
    </row>
    <row r="57" spans="1:12" x14ac:dyDescent="0.3">
      <c r="A57" s="1">
        <v>44278</v>
      </c>
      <c r="B57">
        <v>49876.21</v>
      </c>
      <c r="C57">
        <v>50264.65</v>
      </c>
      <c r="D57">
        <v>49661.919999999998</v>
      </c>
      <c r="E57">
        <v>50051.44</v>
      </c>
      <c r="F57">
        <v>280.14999999999998</v>
      </c>
      <c r="G57">
        <v>0.56000000000000005</v>
      </c>
      <c r="H57">
        <v>1.34</v>
      </c>
      <c r="I57">
        <v>940.53</v>
      </c>
      <c r="J57">
        <v>34.9</v>
      </c>
      <c r="K57">
        <v>3.38</v>
      </c>
      <c r="L57">
        <v>0.72</v>
      </c>
    </row>
    <row r="58" spans="1:12" x14ac:dyDescent="0.3">
      <c r="A58" s="1">
        <v>44279</v>
      </c>
      <c r="B58">
        <v>49786.47</v>
      </c>
      <c r="C58">
        <v>49854.58</v>
      </c>
      <c r="D58">
        <v>49120.34</v>
      </c>
      <c r="E58">
        <v>49180.31</v>
      </c>
      <c r="F58">
        <v>-871.13</v>
      </c>
      <c r="G58">
        <v>-1.74</v>
      </c>
      <c r="H58">
        <v>0.92</v>
      </c>
      <c r="I58">
        <v>698.04</v>
      </c>
      <c r="J58">
        <v>34.200000000000003</v>
      </c>
      <c r="K58">
        <v>3.31</v>
      </c>
      <c r="L58">
        <v>0.73</v>
      </c>
    </row>
    <row r="59" spans="1:12" x14ac:dyDescent="0.3">
      <c r="A59" s="1">
        <v>44280</v>
      </c>
      <c r="B59">
        <v>49201.98</v>
      </c>
      <c r="C59">
        <v>49247.95</v>
      </c>
      <c r="D59">
        <v>48236.35</v>
      </c>
      <c r="E59">
        <v>48440.12</v>
      </c>
      <c r="F59">
        <v>-740.19</v>
      </c>
      <c r="G59">
        <v>-1.51</v>
      </c>
      <c r="H59">
        <v>1.43</v>
      </c>
      <c r="I59">
        <v>938.59</v>
      </c>
      <c r="J59">
        <v>33.76</v>
      </c>
      <c r="K59">
        <v>3.27</v>
      </c>
      <c r="L59">
        <v>0.74</v>
      </c>
    </row>
    <row r="60" spans="1:12" x14ac:dyDescent="0.3">
      <c r="A60" s="1">
        <v>44281</v>
      </c>
      <c r="B60">
        <v>48969.25</v>
      </c>
      <c r="C60">
        <v>49234.66</v>
      </c>
      <c r="D60">
        <v>48699.91</v>
      </c>
      <c r="E60">
        <v>49008.5</v>
      </c>
      <c r="F60">
        <v>568.38</v>
      </c>
      <c r="G60">
        <v>1.17</v>
      </c>
      <c r="H60">
        <v>1.06</v>
      </c>
      <c r="I60">
        <v>889.41</v>
      </c>
      <c r="J60">
        <v>34.26</v>
      </c>
      <c r="K60">
        <v>3.32</v>
      </c>
      <c r="L60">
        <v>0.73</v>
      </c>
    </row>
    <row r="61" spans="1:12" x14ac:dyDescent="0.3">
      <c r="A61" s="1">
        <v>44285</v>
      </c>
      <c r="B61">
        <v>49331.68</v>
      </c>
      <c r="C61">
        <v>50268.45</v>
      </c>
      <c r="D61">
        <v>49331.68</v>
      </c>
      <c r="E61">
        <v>50136.58</v>
      </c>
      <c r="F61">
        <v>1128.08</v>
      </c>
      <c r="G61">
        <v>2.2999999999999998</v>
      </c>
      <c r="H61">
        <v>1.05</v>
      </c>
      <c r="I61">
        <v>887.83</v>
      </c>
      <c r="J61">
        <v>34.590000000000003</v>
      </c>
      <c r="K61">
        <v>3.35</v>
      </c>
      <c r="L61">
        <v>0.72</v>
      </c>
    </row>
    <row r="62" spans="1:12" x14ac:dyDescent="0.3">
      <c r="A62" s="1">
        <v>44286</v>
      </c>
      <c r="B62">
        <v>50049.120000000003</v>
      </c>
      <c r="C62">
        <v>50050.32</v>
      </c>
      <c r="D62">
        <v>49442.5</v>
      </c>
      <c r="E62">
        <v>49509.15</v>
      </c>
      <c r="F62">
        <v>-627.42999999999995</v>
      </c>
      <c r="G62">
        <v>-1.25</v>
      </c>
      <c r="H62">
        <v>1.19</v>
      </c>
      <c r="I62">
        <v>808.09</v>
      </c>
      <c r="J62">
        <v>34.36</v>
      </c>
      <c r="K62">
        <v>3.33</v>
      </c>
      <c r="L62">
        <v>0.73</v>
      </c>
    </row>
    <row r="63" spans="1:12" x14ac:dyDescent="0.3">
      <c r="A63" s="1">
        <v>44287</v>
      </c>
      <c r="B63">
        <v>49868.53</v>
      </c>
      <c r="C63">
        <v>50092.480000000003</v>
      </c>
      <c r="D63">
        <v>49478.53</v>
      </c>
      <c r="E63">
        <v>50029.83</v>
      </c>
      <c r="F63">
        <v>520.67999999999995</v>
      </c>
      <c r="G63">
        <v>1.05</v>
      </c>
      <c r="H63">
        <v>0.85</v>
      </c>
      <c r="I63">
        <v>677.76</v>
      </c>
      <c r="J63">
        <v>34.840000000000003</v>
      </c>
      <c r="K63">
        <v>3.38</v>
      </c>
      <c r="L63">
        <v>0.72</v>
      </c>
    </row>
    <row r="64" spans="1:12" x14ac:dyDescent="0.3">
      <c r="A64" s="1">
        <v>44291</v>
      </c>
      <c r="B64">
        <v>50020.91</v>
      </c>
      <c r="C64">
        <v>50028.67</v>
      </c>
      <c r="D64">
        <v>48580.800000000003</v>
      </c>
      <c r="E64">
        <v>49159.32</v>
      </c>
      <c r="F64">
        <v>-870.51</v>
      </c>
      <c r="G64">
        <v>-1.74</v>
      </c>
      <c r="H64">
        <v>1.27</v>
      </c>
      <c r="I64">
        <v>1226.04</v>
      </c>
      <c r="J64">
        <v>34.25</v>
      </c>
      <c r="K64">
        <v>3.32</v>
      </c>
      <c r="L64">
        <v>0.73</v>
      </c>
    </row>
    <row r="65" spans="1:12" x14ac:dyDescent="0.3">
      <c r="A65" s="1">
        <v>44292</v>
      </c>
      <c r="B65">
        <v>49441.13</v>
      </c>
      <c r="C65">
        <v>49582.26</v>
      </c>
      <c r="D65">
        <v>48936.35</v>
      </c>
      <c r="E65">
        <v>49201.39</v>
      </c>
      <c r="F65">
        <v>42.07</v>
      </c>
      <c r="G65">
        <v>0.09</v>
      </c>
      <c r="H65" t="s">
        <v>13</v>
      </c>
      <c r="J65">
        <v>34.26</v>
      </c>
      <c r="K65">
        <v>3.32</v>
      </c>
      <c r="L65">
        <v>0.73</v>
      </c>
    </row>
    <row r="66" spans="1:12" x14ac:dyDescent="0.3">
      <c r="A66" s="1">
        <v>44293</v>
      </c>
      <c r="B66">
        <v>49277.09</v>
      </c>
      <c r="C66">
        <v>49900.13</v>
      </c>
      <c r="D66">
        <v>49093.9</v>
      </c>
      <c r="E66">
        <v>49661.760000000002</v>
      </c>
      <c r="F66">
        <v>460.37</v>
      </c>
      <c r="G66">
        <v>0.94</v>
      </c>
      <c r="H66">
        <v>0.98</v>
      </c>
      <c r="I66">
        <v>768.54</v>
      </c>
      <c r="J66">
        <v>34.08</v>
      </c>
      <c r="K66">
        <v>3.3</v>
      </c>
      <c r="L66">
        <v>0.73</v>
      </c>
    </row>
    <row r="67" spans="1:12" x14ac:dyDescent="0.3">
      <c r="A67" s="1">
        <v>44294</v>
      </c>
      <c r="B67">
        <v>49885.26</v>
      </c>
      <c r="C67">
        <v>50118.080000000002</v>
      </c>
      <c r="D67">
        <v>49581.61</v>
      </c>
      <c r="E67">
        <v>49746.21</v>
      </c>
      <c r="F67">
        <v>84.45</v>
      </c>
      <c r="G67">
        <v>0.17</v>
      </c>
      <c r="H67">
        <v>2.1800000000000002</v>
      </c>
      <c r="I67">
        <v>2020</v>
      </c>
      <c r="J67">
        <v>34.04</v>
      </c>
      <c r="K67">
        <v>3.3</v>
      </c>
      <c r="L67">
        <v>0.73</v>
      </c>
    </row>
    <row r="68" spans="1:12" x14ac:dyDescent="0.3">
      <c r="A68" s="1">
        <v>44295</v>
      </c>
      <c r="B68">
        <v>49743.39</v>
      </c>
      <c r="C68">
        <v>49906.91</v>
      </c>
      <c r="D68">
        <v>49461.01</v>
      </c>
      <c r="E68">
        <v>49591.32</v>
      </c>
      <c r="F68">
        <v>-154.88999999999999</v>
      </c>
      <c r="G68">
        <v>-0.31</v>
      </c>
      <c r="H68">
        <v>0.89</v>
      </c>
      <c r="I68">
        <v>764.61</v>
      </c>
      <c r="J68">
        <v>34.29</v>
      </c>
      <c r="K68">
        <v>3.33</v>
      </c>
      <c r="L68">
        <v>0.73</v>
      </c>
    </row>
    <row r="69" spans="1:12" x14ac:dyDescent="0.3">
      <c r="A69" s="1">
        <v>44298</v>
      </c>
      <c r="B69">
        <v>48956.65</v>
      </c>
      <c r="C69">
        <v>48956.65</v>
      </c>
      <c r="D69">
        <v>47693.440000000002</v>
      </c>
      <c r="E69">
        <v>47883.38</v>
      </c>
      <c r="F69">
        <v>-1707.94</v>
      </c>
      <c r="G69">
        <v>-3.44</v>
      </c>
      <c r="H69">
        <v>1.91</v>
      </c>
      <c r="I69">
        <v>1433.61</v>
      </c>
      <c r="J69">
        <v>33.15</v>
      </c>
      <c r="K69">
        <v>3.22</v>
      </c>
      <c r="L69">
        <v>0.75</v>
      </c>
    </row>
    <row r="70" spans="1:12" x14ac:dyDescent="0.3">
      <c r="A70" s="1">
        <v>44299</v>
      </c>
      <c r="B70">
        <v>47991.53</v>
      </c>
      <c r="C70">
        <v>48627.43</v>
      </c>
      <c r="D70">
        <v>47775.32</v>
      </c>
      <c r="E70">
        <v>48544.06</v>
      </c>
      <c r="F70">
        <v>660.68</v>
      </c>
      <c r="G70">
        <v>1.38</v>
      </c>
      <c r="H70">
        <v>1</v>
      </c>
      <c r="I70">
        <v>884.9</v>
      </c>
      <c r="J70">
        <v>33.42</v>
      </c>
      <c r="K70">
        <v>3.24</v>
      </c>
      <c r="L70">
        <v>0.74</v>
      </c>
    </row>
    <row r="71" spans="1:12" x14ac:dyDescent="0.3">
      <c r="A71" s="1">
        <v>44301</v>
      </c>
      <c r="B71">
        <v>48512.77</v>
      </c>
      <c r="C71">
        <v>48887.85</v>
      </c>
      <c r="D71">
        <v>48010.55</v>
      </c>
      <c r="E71">
        <v>48803.68</v>
      </c>
      <c r="F71">
        <v>259.62</v>
      </c>
      <c r="G71">
        <v>0.53</v>
      </c>
      <c r="H71">
        <v>1.61</v>
      </c>
      <c r="I71">
        <v>1606.86</v>
      </c>
      <c r="J71">
        <v>33.9</v>
      </c>
      <c r="K71">
        <v>3.3</v>
      </c>
      <c r="L71">
        <v>0.74</v>
      </c>
    </row>
    <row r="72" spans="1:12" x14ac:dyDescent="0.3">
      <c r="A72" s="1">
        <v>44302</v>
      </c>
      <c r="B72">
        <v>48935.74</v>
      </c>
      <c r="C72">
        <v>49089.55</v>
      </c>
      <c r="D72">
        <v>48694.49</v>
      </c>
      <c r="E72">
        <v>48832.03</v>
      </c>
      <c r="F72">
        <v>28.35</v>
      </c>
      <c r="G72">
        <v>0.06</v>
      </c>
      <c r="H72">
        <v>1.19</v>
      </c>
      <c r="I72">
        <v>1163.8599999999999</v>
      </c>
      <c r="J72">
        <v>33.950000000000003</v>
      </c>
      <c r="K72">
        <v>3.31</v>
      </c>
      <c r="L72">
        <v>0.74</v>
      </c>
    </row>
    <row r="73" spans="1:12" x14ac:dyDescent="0.3">
      <c r="A73" s="1">
        <v>44305</v>
      </c>
      <c r="B73">
        <v>47940.81</v>
      </c>
      <c r="C73">
        <v>48020.79</v>
      </c>
      <c r="D73">
        <v>47362.71</v>
      </c>
      <c r="E73">
        <v>47949.42</v>
      </c>
      <c r="F73">
        <v>-882.61</v>
      </c>
      <c r="G73">
        <v>-1.81</v>
      </c>
      <c r="H73">
        <v>1.05</v>
      </c>
      <c r="I73">
        <v>912.93</v>
      </c>
      <c r="J73">
        <v>32.79</v>
      </c>
      <c r="K73">
        <v>3.2</v>
      </c>
      <c r="L73">
        <v>0.82</v>
      </c>
    </row>
    <row r="74" spans="1:12" x14ac:dyDescent="0.3">
      <c r="A74" s="1">
        <v>44306</v>
      </c>
      <c r="B74">
        <v>48473.04</v>
      </c>
      <c r="C74">
        <v>48478.34</v>
      </c>
      <c r="D74">
        <v>47438.5</v>
      </c>
      <c r="E74">
        <v>47705.8</v>
      </c>
      <c r="F74">
        <v>-243.62</v>
      </c>
      <c r="G74">
        <v>-0.51</v>
      </c>
      <c r="H74">
        <v>1.1599999999999999</v>
      </c>
      <c r="I74">
        <v>990.42</v>
      </c>
      <c r="J74">
        <v>32.590000000000003</v>
      </c>
      <c r="K74">
        <v>3.18</v>
      </c>
      <c r="L74">
        <v>0.83</v>
      </c>
    </row>
    <row r="75" spans="1:12" x14ac:dyDescent="0.3">
      <c r="A75" s="1">
        <v>44308</v>
      </c>
      <c r="B75">
        <v>47501.71</v>
      </c>
      <c r="C75">
        <v>48143.16</v>
      </c>
      <c r="D75">
        <v>47204.5</v>
      </c>
      <c r="E75">
        <v>48080.67</v>
      </c>
      <c r="F75">
        <v>374.87</v>
      </c>
      <c r="G75">
        <v>0.79</v>
      </c>
      <c r="H75">
        <v>1.58</v>
      </c>
      <c r="I75">
        <v>1433.32</v>
      </c>
      <c r="J75">
        <v>33.119999999999997</v>
      </c>
      <c r="K75">
        <v>3.23</v>
      </c>
      <c r="L75">
        <v>0.81</v>
      </c>
    </row>
    <row r="76" spans="1:12" x14ac:dyDescent="0.3">
      <c r="A76" s="1">
        <v>44309</v>
      </c>
      <c r="B76">
        <v>47863.81</v>
      </c>
      <c r="C76">
        <v>48265.39</v>
      </c>
      <c r="D76">
        <v>47669.55</v>
      </c>
      <c r="E76">
        <v>47878.45</v>
      </c>
      <c r="F76">
        <v>-202.22</v>
      </c>
      <c r="G76">
        <v>-0.42</v>
      </c>
      <c r="H76">
        <v>1.1200000000000001</v>
      </c>
      <c r="I76">
        <v>890.23</v>
      </c>
      <c r="J76">
        <v>32.94</v>
      </c>
      <c r="K76">
        <v>3.21</v>
      </c>
      <c r="L76">
        <v>0.82</v>
      </c>
    </row>
    <row r="77" spans="1:12" x14ac:dyDescent="0.3">
      <c r="A77" s="1">
        <v>44312</v>
      </c>
      <c r="B77">
        <v>48197.37</v>
      </c>
      <c r="C77">
        <v>48667.98</v>
      </c>
      <c r="D77">
        <v>48152.24</v>
      </c>
      <c r="E77">
        <v>48386.51</v>
      </c>
      <c r="F77">
        <v>508.06</v>
      </c>
      <c r="G77">
        <v>1.06</v>
      </c>
      <c r="H77">
        <v>1.52</v>
      </c>
      <c r="I77">
        <v>1199.52</v>
      </c>
      <c r="J77">
        <v>33.26</v>
      </c>
      <c r="K77">
        <v>3.24</v>
      </c>
      <c r="L77">
        <v>0.81</v>
      </c>
    </row>
    <row r="78" spans="1:12" x14ac:dyDescent="0.3">
      <c r="A78" s="1">
        <v>44313</v>
      </c>
      <c r="B78">
        <v>48424.08</v>
      </c>
      <c r="C78">
        <v>49009.26</v>
      </c>
      <c r="D78">
        <v>48399.53</v>
      </c>
      <c r="E78">
        <v>48944.14</v>
      </c>
      <c r="F78">
        <v>557.63</v>
      </c>
      <c r="G78">
        <v>1.1499999999999999</v>
      </c>
      <c r="H78" t="s">
        <v>13</v>
      </c>
      <c r="J78">
        <v>32.96</v>
      </c>
      <c r="K78">
        <v>3.27</v>
      </c>
      <c r="L78">
        <v>0.8</v>
      </c>
    </row>
    <row r="79" spans="1:12" x14ac:dyDescent="0.3">
      <c r="A79" s="1">
        <v>44314</v>
      </c>
      <c r="B79">
        <v>49066.64</v>
      </c>
      <c r="C79">
        <v>49801.48</v>
      </c>
      <c r="D79">
        <v>49066.64</v>
      </c>
      <c r="E79">
        <v>49733.84</v>
      </c>
      <c r="F79">
        <v>789.7</v>
      </c>
      <c r="G79">
        <v>1.61</v>
      </c>
      <c r="H79" t="s">
        <v>13</v>
      </c>
      <c r="J79">
        <v>33.590000000000003</v>
      </c>
      <c r="K79">
        <v>3.33</v>
      </c>
      <c r="L79">
        <v>0.81</v>
      </c>
    </row>
    <row r="80" spans="1:12" x14ac:dyDescent="0.3">
      <c r="A80" s="1">
        <v>44315</v>
      </c>
      <c r="B80">
        <v>50093.86</v>
      </c>
      <c r="C80">
        <v>50375.77</v>
      </c>
      <c r="D80">
        <v>49535.98</v>
      </c>
      <c r="E80">
        <v>49765.94</v>
      </c>
      <c r="F80">
        <v>32.1</v>
      </c>
      <c r="G80">
        <v>0.06</v>
      </c>
      <c r="H80">
        <v>0.9</v>
      </c>
      <c r="I80">
        <v>714.46</v>
      </c>
      <c r="J80">
        <v>32.9</v>
      </c>
      <c r="K80">
        <v>3.33</v>
      </c>
      <c r="L80">
        <v>0.8</v>
      </c>
    </row>
    <row r="81" spans="1:12" x14ac:dyDescent="0.3">
      <c r="A81" s="1">
        <v>44316</v>
      </c>
      <c r="B81">
        <v>49360.89</v>
      </c>
      <c r="C81">
        <v>49569.42</v>
      </c>
      <c r="D81">
        <v>48698.080000000002</v>
      </c>
      <c r="E81">
        <v>48782.36</v>
      </c>
      <c r="F81">
        <v>-983.58</v>
      </c>
      <c r="G81">
        <v>-1.98</v>
      </c>
      <c r="H81" t="s">
        <v>13</v>
      </c>
      <c r="J81">
        <v>32.1</v>
      </c>
      <c r="K81">
        <v>3.25</v>
      </c>
      <c r="L81">
        <v>0.82</v>
      </c>
    </row>
    <row r="82" spans="1:12" x14ac:dyDescent="0.3">
      <c r="A82" s="1">
        <v>44319</v>
      </c>
      <c r="B82">
        <v>48356.01</v>
      </c>
      <c r="C82">
        <v>48863.23</v>
      </c>
      <c r="D82">
        <v>48028.07</v>
      </c>
      <c r="E82">
        <v>48718.52</v>
      </c>
      <c r="F82">
        <v>-63.84</v>
      </c>
      <c r="G82">
        <v>-0.13</v>
      </c>
      <c r="H82">
        <v>1.47</v>
      </c>
      <c r="I82">
        <v>1109.6500000000001</v>
      </c>
      <c r="J82">
        <v>31.12</v>
      </c>
      <c r="K82">
        <v>3.15</v>
      </c>
      <c r="L82">
        <v>0.85</v>
      </c>
    </row>
    <row r="83" spans="1:12" x14ac:dyDescent="0.3">
      <c r="A83" s="1">
        <v>44320</v>
      </c>
      <c r="B83">
        <v>48881.63</v>
      </c>
      <c r="C83">
        <v>48996.53</v>
      </c>
      <c r="D83">
        <v>48149.45</v>
      </c>
      <c r="E83">
        <v>48253.51</v>
      </c>
      <c r="F83">
        <v>-465.01</v>
      </c>
      <c r="G83">
        <v>-0.95</v>
      </c>
      <c r="H83">
        <v>1.32</v>
      </c>
      <c r="I83">
        <v>1107.69</v>
      </c>
      <c r="J83">
        <v>30.88</v>
      </c>
      <c r="K83">
        <v>3.12</v>
      </c>
      <c r="L83">
        <v>0.86</v>
      </c>
    </row>
    <row r="84" spans="1:12" x14ac:dyDescent="0.3">
      <c r="A84" s="1">
        <v>44321</v>
      </c>
      <c r="B84">
        <v>48569.120000000003</v>
      </c>
      <c r="C84">
        <v>48742.720000000001</v>
      </c>
      <c r="D84">
        <v>48254.32</v>
      </c>
      <c r="E84">
        <v>48677.55</v>
      </c>
      <c r="F84">
        <v>424.04</v>
      </c>
      <c r="G84">
        <v>0.88</v>
      </c>
      <c r="H84">
        <v>1.27</v>
      </c>
      <c r="I84">
        <v>840.95</v>
      </c>
      <c r="J84">
        <v>30.92</v>
      </c>
      <c r="K84">
        <v>3.13</v>
      </c>
      <c r="L84">
        <v>0.86</v>
      </c>
    </row>
    <row r="85" spans="1:12" x14ac:dyDescent="0.3">
      <c r="A85" s="1">
        <v>44322</v>
      </c>
      <c r="B85">
        <v>48877.78</v>
      </c>
      <c r="C85">
        <v>49011.31</v>
      </c>
      <c r="D85">
        <v>48614.11</v>
      </c>
      <c r="E85">
        <v>48949.760000000002</v>
      </c>
      <c r="F85">
        <v>272.20999999999998</v>
      </c>
      <c r="G85">
        <v>0.56000000000000005</v>
      </c>
      <c r="H85">
        <v>0.95</v>
      </c>
      <c r="I85">
        <v>710.88</v>
      </c>
      <c r="J85">
        <v>31.13</v>
      </c>
      <c r="K85">
        <v>3.15</v>
      </c>
      <c r="L85">
        <v>0.85</v>
      </c>
    </row>
    <row r="86" spans="1:12" x14ac:dyDescent="0.3">
      <c r="A86" s="1">
        <v>44323</v>
      </c>
      <c r="B86">
        <v>49169.14</v>
      </c>
      <c r="C86">
        <v>49417.64</v>
      </c>
      <c r="D86">
        <v>49036.38</v>
      </c>
      <c r="E86">
        <v>49206.47</v>
      </c>
      <c r="F86">
        <v>256.70999999999998</v>
      </c>
      <c r="G86">
        <v>0.52</v>
      </c>
      <c r="H86" t="s">
        <v>13</v>
      </c>
      <c r="J86">
        <v>31.41</v>
      </c>
      <c r="K86">
        <v>3.18</v>
      </c>
      <c r="L86">
        <v>0.84</v>
      </c>
    </row>
    <row r="87" spans="1:12" x14ac:dyDescent="0.3">
      <c r="A87" s="1">
        <v>44326</v>
      </c>
      <c r="B87">
        <v>49496.05</v>
      </c>
      <c r="C87">
        <v>49617.47</v>
      </c>
      <c r="D87">
        <v>49412.05</v>
      </c>
      <c r="E87">
        <v>49502.41</v>
      </c>
      <c r="F87">
        <v>295.94</v>
      </c>
      <c r="G87">
        <v>0.6</v>
      </c>
      <c r="H87">
        <v>1.22</v>
      </c>
      <c r="I87">
        <v>738.57</v>
      </c>
      <c r="J87">
        <v>31.48</v>
      </c>
      <c r="K87">
        <v>3.18</v>
      </c>
      <c r="L87">
        <v>0.85</v>
      </c>
    </row>
    <row r="88" spans="1:12" x14ac:dyDescent="0.3">
      <c r="A88" s="1">
        <v>44327</v>
      </c>
      <c r="B88">
        <v>49066.45</v>
      </c>
      <c r="C88">
        <v>49304.47</v>
      </c>
      <c r="D88">
        <v>48988.18</v>
      </c>
      <c r="E88">
        <v>49161.81</v>
      </c>
      <c r="F88">
        <v>-340.6</v>
      </c>
      <c r="G88">
        <v>-0.69</v>
      </c>
      <c r="H88">
        <v>1.5</v>
      </c>
      <c r="I88">
        <v>775.45</v>
      </c>
      <c r="J88">
        <v>31.16</v>
      </c>
      <c r="K88">
        <v>3.14</v>
      </c>
      <c r="L88">
        <v>0.86</v>
      </c>
    </row>
    <row r="89" spans="1:12" x14ac:dyDescent="0.3">
      <c r="A89" s="1">
        <v>44328</v>
      </c>
      <c r="B89">
        <v>49171.28</v>
      </c>
      <c r="C89">
        <v>49171.28</v>
      </c>
      <c r="D89">
        <v>48550.720000000001</v>
      </c>
      <c r="E89">
        <v>48690.8</v>
      </c>
      <c r="F89">
        <v>-471.01</v>
      </c>
      <c r="G89">
        <v>-0.96</v>
      </c>
      <c r="H89" t="s">
        <v>13</v>
      </c>
      <c r="J89">
        <v>30.88</v>
      </c>
      <c r="K89">
        <v>3.11</v>
      </c>
      <c r="L89">
        <v>0.87</v>
      </c>
    </row>
    <row r="90" spans="1:12" x14ac:dyDescent="0.3">
      <c r="A90" s="1">
        <v>44330</v>
      </c>
      <c r="B90">
        <v>48898.93</v>
      </c>
      <c r="C90">
        <v>48898.93</v>
      </c>
      <c r="D90">
        <v>48473.43</v>
      </c>
      <c r="E90">
        <v>48732.55</v>
      </c>
      <c r="F90">
        <v>41.75</v>
      </c>
      <c r="G90">
        <v>0.09</v>
      </c>
      <c r="H90">
        <v>1.82</v>
      </c>
      <c r="I90">
        <v>1215.23</v>
      </c>
      <c r="J90">
        <v>31.03</v>
      </c>
      <c r="K90">
        <v>3.13</v>
      </c>
      <c r="L90">
        <v>0.87</v>
      </c>
    </row>
    <row r="91" spans="1:12" x14ac:dyDescent="0.3">
      <c r="A91" s="1">
        <v>44333</v>
      </c>
      <c r="B91">
        <v>48990.7</v>
      </c>
      <c r="C91">
        <v>49628.42</v>
      </c>
      <c r="D91">
        <v>48923.13</v>
      </c>
      <c r="E91">
        <v>49580.73</v>
      </c>
      <c r="F91">
        <v>848.18</v>
      </c>
      <c r="G91">
        <v>1.74</v>
      </c>
      <c r="H91">
        <v>2.06</v>
      </c>
      <c r="I91">
        <v>1284.48</v>
      </c>
      <c r="J91">
        <v>31.43</v>
      </c>
      <c r="K91">
        <v>3.17</v>
      </c>
      <c r="L91">
        <v>0.86</v>
      </c>
    </row>
    <row r="92" spans="1:12" x14ac:dyDescent="0.3">
      <c r="A92" s="1">
        <v>44334</v>
      </c>
      <c r="B92">
        <v>49986.68</v>
      </c>
      <c r="C92">
        <v>50313.25</v>
      </c>
      <c r="D92">
        <v>49959.199999999997</v>
      </c>
      <c r="E92">
        <v>50193.33</v>
      </c>
      <c r="F92">
        <v>612.6</v>
      </c>
      <c r="G92">
        <v>1.24</v>
      </c>
      <c r="H92">
        <v>1.44</v>
      </c>
      <c r="I92">
        <v>1016.52</v>
      </c>
      <c r="J92">
        <v>31.9</v>
      </c>
      <c r="K92">
        <v>3.21</v>
      </c>
      <c r="L92">
        <v>0.85</v>
      </c>
    </row>
    <row r="93" spans="1:12" x14ac:dyDescent="0.3">
      <c r="A93" s="1">
        <v>44335</v>
      </c>
      <c r="B93">
        <v>50088.81</v>
      </c>
      <c r="C93">
        <v>50279.01</v>
      </c>
      <c r="D93">
        <v>49831.4</v>
      </c>
      <c r="E93">
        <v>49902.64</v>
      </c>
      <c r="F93">
        <v>-290.69</v>
      </c>
      <c r="G93">
        <v>-0.57999999999999996</v>
      </c>
      <c r="H93" t="s">
        <v>13</v>
      </c>
      <c r="J93">
        <v>31.69</v>
      </c>
      <c r="K93">
        <v>3.19</v>
      </c>
      <c r="L93">
        <v>0.85</v>
      </c>
    </row>
    <row r="94" spans="1:12" x14ac:dyDescent="0.3">
      <c r="A94" s="1">
        <v>44336</v>
      </c>
      <c r="B94">
        <v>49971.519999999997</v>
      </c>
      <c r="C94">
        <v>50099.17</v>
      </c>
      <c r="D94">
        <v>49496.78</v>
      </c>
      <c r="E94">
        <v>49564.86</v>
      </c>
      <c r="F94">
        <v>-337.78</v>
      </c>
      <c r="G94">
        <v>-0.68</v>
      </c>
      <c r="H94">
        <v>0.83</v>
      </c>
      <c r="I94">
        <v>633.92999999999995</v>
      </c>
      <c r="J94">
        <v>30.83</v>
      </c>
      <c r="K94">
        <v>3.16</v>
      </c>
      <c r="L94">
        <v>0.86</v>
      </c>
    </row>
    <row r="95" spans="1:12" x14ac:dyDescent="0.3">
      <c r="A95" s="1">
        <v>44337</v>
      </c>
      <c r="B95">
        <v>49833.98</v>
      </c>
      <c r="C95">
        <v>50591.12</v>
      </c>
      <c r="D95">
        <v>49832.72</v>
      </c>
      <c r="E95">
        <v>50540.480000000003</v>
      </c>
      <c r="F95">
        <v>975.62</v>
      </c>
      <c r="G95">
        <v>1.97</v>
      </c>
      <c r="H95" t="s">
        <v>13</v>
      </c>
      <c r="J95">
        <v>31.57</v>
      </c>
      <c r="K95">
        <v>3.23</v>
      </c>
      <c r="L95">
        <v>0.85</v>
      </c>
    </row>
    <row r="96" spans="1:12" x14ac:dyDescent="0.3">
      <c r="A96" s="1">
        <v>44340</v>
      </c>
      <c r="B96">
        <v>50727.28</v>
      </c>
      <c r="C96">
        <v>50857.59</v>
      </c>
      <c r="D96">
        <v>50465.9</v>
      </c>
      <c r="E96">
        <v>50651.9</v>
      </c>
      <c r="F96">
        <v>111.42</v>
      </c>
      <c r="G96">
        <v>0.22</v>
      </c>
      <c r="H96">
        <v>1.68</v>
      </c>
      <c r="I96">
        <v>1167.45</v>
      </c>
      <c r="J96">
        <v>31.51</v>
      </c>
      <c r="K96">
        <v>3.23</v>
      </c>
      <c r="L96">
        <v>0.87</v>
      </c>
    </row>
    <row r="97" spans="1:12" x14ac:dyDescent="0.3">
      <c r="A97" s="1">
        <v>44341</v>
      </c>
      <c r="B97">
        <v>50922.32</v>
      </c>
      <c r="C97">
        <v>50961.35</v>
      </c>
      <c r="D97">
        <v>50474.34</v>
      </c>
      <c r="E97">
        <v>50637.53</v>
      </c>
      <c r="F97">
        <v>-14.37</v>
      </c>
      <c r="G97">
        <v>-0.03</v>
      </c>
      <c r="H97" t="s">
        <v>13</v>
      </c>
      <c r="J97">
        <v>31.56</v>
      </c>
      <c r="K97">
        <v>3.23</v>
      </c>
      <c r="L97">
        <v>0.87</v>
      </c>
    </row>
    <row r="98" spans="1:12" x14ac:dyDescent="0.3">
      <c r="A98" s="1">
        <v>44342</v>
      </c>
      <c r="B98">
        <v>50899.58</v>
      </c>
      <c r="C98">
        <v>51072.61</v>
      </c>
      <c r="D98">
        <v>50620.45</v>
      </c>
      <c r="E98">
        <v>51017.52</v>
      </c>
      <c r="F98">
        <v>379.99</v>
      </c>
      <c r="G98">
        <v>0.75</v>
      </c>
      <c r="H98" t="s">
        <v>13</v>
      </c>
      <c r="J98">
        <v>31.62</v>
      </c>
      <c r="K98">
        <v>3.26</v>
      </c>
      <c r="L98">
        <v>0.86</v>
      </c>
    </row>
    <row r="99" spans="1:12" x14ac:dyDescent="0.3">
      <c r="A99" s="1">
        <v>44343</v>
      </c>
      <c r="B99">
        <v>51128.800000000003</v>
      </c>
      <c r="C99">
        <v>51282.9</v>
      </c>
      <c r="D99">
        <v>50891.66</v>
      </c>
      <c r="E99">
        <v>51115.22</v>
      </c>
      <c r="F99">
        <v>97.7</v>
      </c>
      <c r="G99">
        <v>0.19</v>
      </c>
      <c r="H99">
        <v>1.23</v>
      </c>
      <c r="I99">
        <v>976.34</v>
      </c>
      <c r="J99">
        <v>31.69</v>
      </c>
      <c r="K99">
        <v>3.27</v>
      </c>
      <c r="L99">
        <v>0.86</v>
      </c>
    </row>
    <row r="100" spans="1:12" x14ac:dyDescent="0.3">
      <c r="A100" s="1">
        <v>44344</v>
      </c>
      <c r="B100">
        <v>51381.27</v>
      </c>
      <c r="C100">
        <v>51529.32</v>
      </c>
      <c r="D100">
        <v>51258.69</v>
      </c>
      <c r="E100">
        <v>51422.879999999997</v>
      </c>
      <c r="F100">
        <v>307.66000000000003</v>
      </c>
      <c r="G100">
        <v>0.6</v>
      </c>
      <c r="H100">
        <v>2.31</v>
      </c>
      <c r="I100">
        <v>2134.4699999999998</v>
      </c>
      <c r="J100">
        <v>31.9</v>
      </c>
      <c r="K100">
        <v>3.29</v>
      </c>
      <c r="L100">
        <v>0.85</v>
      </c>
    </row>
    <row r="101" spans="1:12" x14ac:dyDescent="0.3">
      <c r="A101" s="1">
        <v>44347</v>
      </c>
      <c r="B101">
        <v>51476.22</v>
      </c>
      <c r="C101">
        <v>52013.22</v>
      </c>
      <c r="D101">
        <v>51179.94</v>
      </c>
      <c r="E101">
        <v>51937.440000000002</v>
      </c>
      <c r="F101">
        <v>514.55999999999995</v>
      </c>
      <c r="G101">
        <v>1</v>
      </c>
      <c r="H101">
        <v>1.53</v>
      </c>
      <c r="I101">
        <v>1386.77</v>
      </c>
      <c r="J101">
        <v>31.33</v>
      </c>
      <c r="K101">
        <v>3.3</v>
      </c>
      <c r="L101">
        <v>0.86</v>
      </c>
    </row>
    <row r="102" spans="1:12" x14ac:dyDescent="0.3">
      <c r="A102" s="1">
        <v>44348</v>
      </c>
      <c r="B102">
        <v>52067.51</v>
      </c>
      <c r="C102">
        <v>52228.65</v>
      </c>
      <c r="D102">
        <v>51808.88</v>
      </c>
      <c r="E102">
        <v>51934.879999999997</v>
      </c>
      <c r="F102">
        <v>-2.56</v>
      </c>
      <c r="G102">
        <v>0</v>
      </c>
      <c r="H102" t="s">
        <v>13</v>
      </c>
      <c r="J102">
        <v>31.23</v>
      </c>
      <c r="K102">
        <v>3.28</v>
      </c>
      <c r="L102">
        <v>0.86</v>
      </c>
    </row>
    <row r="103" spans="1:12" x14ac:dyDescent="0.3">
      <c r="A103" s="1">
        <v>44349</v>
      </c>
      <c r="B103">
        <v>51749.1</v>
      </c>
      <c r="C103">
        <v>51913.919999999998</v>
      </c>
      <c r="D103">
        <v>51450.58</v>
      </c>
      <c r="E103">
        <v>51849.48</v>
      </c>
      <c r="F103">
        <v>-85.4</v>
      </c>
      <c r="G103">
        <v>-0.16</v>
      </c>
      <c r="H103" t="s">
        <v>13</v>
      </c>
      <c r="J103">
        <v>31.15</v>
      </c>
      <c r="K103">
        <v>3.28</v>
      </c>
      <c r="L103">
        <v>0.87</v>
      </c>
    </row>
    <row r="104" spans="1:12" x14ac:dyDescent="0.3">
      <c r="A104" s="1">
        <v>44350</v>
      </c>
      <c r="B104">
        <v>52121.58</v>
      </c>
      <c r="C104">
        <v>52273.23</v>
      </c>
      <c r="D104">
        <v>51942.2</v>
      </c>
      <c r="E104">
        <v>52232.43</v>
      </c>
      <c r="F104">
        <v>382.95</v>
      </c>
      <c r="G104">
        <v>0.74</v>
      </c>
      <c r="H104">
        <v>1.17</v>
      </c>
      <c r="I104">
        <v>691.22</v>
      </c>
      <c r="J104">
        <v>31.56</v>
      </c>
      <c r="K104">
        <v>3.32</v>
      </c>
      <c r="L104">
        <v>0.96</v>
      </c>
    </row>
    <row r="105" spans="1:12" x14ac:dyDescent="0.3">
      <c r="A105" s="1">
        <v>44351</v>
      </c>
      <c r="B105">
        <v>52367.519999999997</v>
      </c>
      <c r="C105">
        <v>52389.02</v>
      </c>
      <c r="D105">
        <v>51952.7</v>
      </c>
      <c r="E105">
        <v>52100.05</v>
      </c>
      <c r="F105">
        <v>-132.38</v>
      </c>
      <c r="G105">
        <v>-0.25</v>
      </c>
      <c r="H105">
        <v>1.67</v>
      </c>
      <c r="I105">
        <v>1144.01</v>
      </c>
      <c r="J105">
        <v>31.47</v>
      </c>
      <c r="K105">
        <v>3.31</v>
      </c>
      <c r="L105">
        <v>0.96</v>
      </c>
    </row>
    <row r="106" spans="1:12" x14ac:dyDescent="0.3">
      <c r="A106" s="1">
        <v>44354</v>
      </c>
      <c r="B106">
        <v>52231.38</v>
      </c>
      <c r="C106">
        <v>52378.69</v>
      </c>
      <c r="D106">
        <v>52054.76</v>
      </c>
      <c r="E106">
        <v>52328.51</v>
      </c>
      <c r="F106">
        <v>228.46</v>
      </c>
      <c r="G106">
        <v>0.44</v>
      </c>
      <c r="H106" t="s">
        <v>13</v>
      </c>
      <c r="J106">
        <v>32.19</v>
      </c>
      <c r="K106">
        <v>3.33</v>
      </c>
      <c r="L106">
        <v>0.95</v>
      </c>
    </row>
    <row r="107" spans="1:12" x14ac:dyDescent="0.3">
      <c r="A107" s="1">
        <v>44355</v>
      </c>
      <c r="B107">
        <v>52428.72</v>
      </c>
      <c r="C107">
        <v>52432.43</v>
      </c>
      <c r="D107">
        <v>52135.040000000001</v>
      </c>
      <c r="E107">
        <v>52275.57</v>
      </c>
      <c r="F107">
        <v>-52.94</v>
      </c>
      <c r="G107">
        <v>-0.1</v>
      </c>
      <c r="H107">
        <v>1.23</v>
      </c>
      <c r="I107">
        <v>741.14</v>
      </c>
      <c r="J107">
        <v>32.130000000000003</v>
      </c>
      <c r="K107">
        <v>3.32</v>
      </c>
      <c r="L107">
        <v>0.95</v>
      </c>
    </row>
    <row r="108" spans="1:12" x14ac:dyDescent="0.3">
      <c r="A108" s="1">
        <v>44356</v>
      </c>
      <c r="B108">
        <v>52401.41</v>
      </c>
      <c r="C108">
        <v>52446.92</v>
      </c>
      <c r="D108">
        <v>51717.07</v>
      </c>
      <c r="E108">
        <v>51941.64</v>
      </c>
      <c r="F108">
        <v>-333.93</v>
      </c>
      <c r="G108">
        <v>-0.64</v>
      </c>
      <c r="H108" t="s">
        <v>13</v>
      </c>
      <c r="J108">
        <v>31.87</v>
      </c>
      <c r="K108">
        <v>3.3</v>
      </c>
      <c r="L108">
        <v>0.96</v>
      </c>
    </row>
    <row r="109" spans="1:12" x14ac:dyDescent="0.3">
      <c r="A109" s="1">
        <v>44357</v>
      </c>
      <c r="B109">
        <v>52143.9</v>
      </c>
      <c r="C109">
        <v>52346.35</v>
      </c>
      <c r="D109">
        <v>51957.919999999998</v>
      </c>
      <c r="E109">
        <v>52300.47</v>
      </c>
      <c r="F109">
        <v>358.83</v>
      </c>
      <c r="G109">
        <v>0.69</v>
      </c>
      <c r="H109">
        <v>0.86</v>
      </c>
      <c r="I109">
        <v>782.97</v>
      </c>
      <c r="J109">
        <v>32.1</v>
      </c>
      <c r="K109">
        <v>3.32</v>
      </c>
      <c r="L109">
        <v>0.96</v>
      </c>
    </row>
    <row r="110" spans="1:12" x14ac:dyDescent="0.3">
      <c r="A110" s="1">
        <v>44358</v>
      </c>
      <c r="B110">
        <v>52477.19</v>
      </c>
      <c r="C110">
        <v>52641.53</v>
      </c>
      <c r="D110">
        <v>52388.95</v>
      </c>
      <c r="E110">
        <v>52474.76</v>
      </c>
      <c r="F110">
        <v>174.29</v>
      </c>
      <c r="G110">
        <v>0.33</v>
      </c>
      <c r="H110">
        <v>0.85</v>
      </c>
      <c r="I110">
        <v>738.5</v>
      </c>
      <c r="J110">
        <v>32.22</v>
      </c>
      <c r="K110">
        <v>3.33</v>
      </c>
      <c r="L110">
        <v>0.95</v>
      </c>
    </row>
    <row r="111" spans="1:12" x14ac:dyDescent="0.3">
      <c r="A111" s="1">
        <v>44361</v>
      </c>
      <c r="B111">
        <v>52492.34</v>
      </c>
      <c r="C111">
        <v>52590.92</v>
      </c>
      <c r="D111">
        <v>51936.31</v>
      </c>
      <c r="E111">
        <v>52551.53</v>
      </c>
      <c r="F111">
        <v>76.77</v>
      </c>
      <c r="G111">
        <v>0.15</v>
      </c>
      <c r="H111">
        <v>0.99</v>
      </c>
      <c r="I111">
        <v>710.56</v>
      </c>
      <c r="J111">
        <v>32.94</v>
      </c>
      <c r="K111">
        <v>3.34</v>
      </c>
      <c r="L111">
        <v>0.95</v>
      </c>
    </row>
    <row r="112" spans="1:12" x14ac:dyDescent="0.3">
      <c r="A112" s="1">
        <v>44362</v>
      </c>
      <c r="B112">
        <v>52751.83</v>
      </c>
      <c r="C112">
        <v>52869.51</v>
      </c>
      <c r="D112">
        <v>52671.29</v>
      </c>
      <c r="E112">
        <v>52773.05</v>
      </c>
      <c r="F112">
        <v>221.52</v>
      </c>
      <c r="G112">
        <v>0.42</v>
      </c>
      <c r="H112" t="s">
        <v>13</v>
      </c>
      <c r="J112">
        <v>33.06</v>
      </c>
      <c r="K112">
        <v>3.35</v>
      </c>
      <c r="L112">
        <v>0.95</v>
      </c>
    </row>
    <row r="113" spans="1:12" x14ac:dyDescent="0.3">
      <c r="A113" s="1">
        <v>44363</v>
      </c>
      <c r="B113">
        <v>52782.21</v>
      </c>
      <c r="C113">
        <v>52816.31</v>
      </c>
      <c r="D113">
        <v>52425.57</v>
      </c>
      <c r="E113">
        <v>52501.98</v>
      </c>
      <c r="F113">
        <v>-271.07</v>
      </c>
      <c r="G113">
        <v>-0.51</v>
      </c>
      <c r="H113" t="s">
        <v>13</v>
      </c>
      <c r="J113">
        <v>32.9</v>
      </c>
      <c r="K113">
        <v>3.34</v>
      </c>
      <c r="L113">
        <v>0.95</v>
      </c>
    </row>
    <row r="114" spans="1:12" x14ac:dyDescent="0.3">
      <c r="A114" s="1">
        <v>44364</v>
      </c>
      <c r="B114">
        <v>52122.25</v>
      </c>
      <c r="C114">
        <v>52523.88</v>
      </c>
      <c r="D114">
        <v>52040.51</v>
      </c>
      <c r="E114">
        <v>52323.33</v>
      </c>
      <c r="F114">
        <v>-178.65</v>
      </c>
      <c r="G114">
        <v>-0.34</v>
      </c>
      <c r="H114" t="s">
        <v>13</v>
      </c>
      <c r="J114">
        <v>32.56</v>
      </c>
      <c r="K114">
        <v>3.3</v>
      </c>
      <c r="L114">
        <v>0.96</v>
      </c>
    </row>
    <row r="115" spans="1:12" x14ac:dyDescent="0.3">
      <c r="A115" s="1">
        <v>44365</v>
      </c>
      <c r="B115">
        <v>52568.07</v>
      </c>
      <c r="C115">
        <v>52586.41</v>
      </c>
      <c r="D115">
        <v>51601.11</v>
      </c>
      <c r="E115">
        <v>52344.45</v>
      </c>
      <c r="F115">
        <v>21.12</v>
      </c>
      <c r="G115">
        <v>0.04</v>
      </c>
      <c r="H115">
        <v>1.18</v>
      </c>
      <c r="I115">
        <v>806.94</v>
      </c>
      <c r="J115">
        <v>32.75</v>
      </c>
      <c r="K115">
        <v>3.32</v>
      </c>
      <c r="L115">
        <v>0.96</v>
      </c>
    </row>
    <row r="116" spans="1:12" x14ac:dyDescent="0.3">
      <c r="A116" s="1">
        <v>44368</v>
      </c>
      <c r="B116">
        <v>51887.55</v>
      </c>
      <c r="C116">
        <v>52629.18</v>
      </c>
      <c r="D116">
        <v>51740.19</v>
      </c>
      <c r="E116">
        <v>52574.46</v>
      </c>
      <c r="F116">
        <v>230.01</v>
      </c>
      <c r="G116">
        <v>0.44</v>
      </c>
      <c r="H116">
        <v>1.29</v>
      </c>
      <c r="I116">
        <v>1321.92</v>
      </c>
      <c r="J116">
        <v>32.35</v>
      </c>
      <c r="K116">
        <v>3.39</v>
      </c>
      <c r="L116">
        <v>0.98</v>
      </c>
    </row>
    <row r="117" spans="1:12" x14ac:dyDescent="0.3">
      <c r="A117" s="1">
        <v>44369</v>
      </c>
      <c r="B117">
        <v>52885.04</v>
      </c>
      <c r="C117">
        <v>53057.11</v>
      </c>
      <c r="D117">
        <v>52520.55</v>
      </c>
      <c r="E117">
        <v>52588.71</v>
      </c>
      <c r="F117">
        <v>14.25</v>
      </c>
      <c r="G117">
        <v>0.03</v>
      </c>
      <c r="H117">
        <v>0.77</v>
      </c>
      <c r="I117">
        <v>742.63</v>
      </c>
      <c r="J117">
        <v>32.29</v>
      </c>
      <c r="K117">
        <v>3.38</v>
      </c>
      <c r="L117">
        <v>0.99</v>
      </c>
    </row>
    <row r="118" spans="1:12" x14ac:dyDescent="0.3">
      <c r="A118" s="1">
        <v>44370</v>
      </c>
      <c r="B118">
        <v>52912.35</v>
      </c>
      <c r="C118">
        <v>52912.35</v>
      </c>
      <c r="D118">
        <v>52264.12</v>
      </c>
      <c r="E118">
        <v>52306.080000000002</v>
      </c>
      <c r="F118">
        <v>-282.63</v>
      </c>
      <c r="G118">
        <v>-0.54</v>
      </c>
      <c r="H118">
        <v>1.36</v>
      </c>
      <c r="I118">
        <v>1867.15</v>
      </c>
      <c r="J118">
        <v>31.86</v>
      </c>
      <c r="K118">
        <v>3.37</v>
      </c>
      <c r="L118">
        <v>1.04</v>
      </c>
    </row>
    <row r="119" spans="1:12" x14ac:dyDescent="0.3">
      <c r="A119" s="1">
        <v>44371</v>
      </c>
      <c r="B119">
        <v>52514.57</v>
      </c>
      <c r="C119">
        <v>52830.68</v>
      </c>
      <c r="D119">
        <v>52385.05</v>
      </c>
      <c r="E119">
        <v>52699</v>
      </c>
      <c r="F119">
        <v>392.92</v>
      </c>
      <c r="G119">
        <v>0.75</v>
      </c>
      <c r="H119">
        <v>0.79</v>
      </c>
      <c r="I119">
        <v>880.62</v>
      </c>
      <c r="J119">
        <v>32.159999999999997</v>
      </c>
      <c r="K119">
        <v>3.4</v>
      </c>
      <c r="L119">
        <v>1.03</v>
      </c>
    </row>
    <row r="120" spans="1:12" x14ac:dyDescent="0.3">
      <c r="A120" s="1">
        <v>44372</v>
      </c>
      <c r="B120">
        <v>52877.16</v>
      </c>
      <c r="C120">
        <v>52973.07</v>
      </c>
      <c r="D120">
        <v>52614.49</v>
      </c>
      <c r="E120">
        <v>52925.04</v>
      </c>
      <c r="F120">
        <v>226.04</v>
      </c>
      <c r="G120">
        <v>0.43</v>
      </c>
      <c r="H120">
        <v>1.07</v>
      </c>
      <c r="I120">
        <v>1143.53</v>
      </c>
      <c r="J120">
        <v>32.31</v>
      </c>
      <c r="K120">
        <v>3.41</v>
      </c>
      <c r="L120">
        <v>1.02</v>
      </c>
    </row>
    <row r="121" spans="1:12" x14ac:dyDescent="0.3">
      <c r="A121" s="1">
        <v>44375</v>
      </c>
      <c r="B121">
        <v>53126.73</v>
      </c>
      <c r="C121">
        <v>53126.73</v>
      </c>
      <c r="D121">
        <v>52673.5</v>
      </c>
      <c r="E121">
        <v>52735.59</v>
      </c>
      <c r="F121">
        <v>-189.45</v>
      </c>
      <c r="G121">
        <v>-0.36</v>
      </c>
      <c r="H121">
        <v>0.62</v>
      </c>
      <c r="I121">
        <v>661.24</v>
      </c>
      <c r="J121">
        <v>32.19</v>
      </c>
      <c r="K121">
        <v>3.4</v>
      </c>
      <c r="L121">
        <v>1.03</v>
      </c>
    </row>
    <row r="122" spans="1:12" x14ac:dyDescent="0.3">
      <c r="A122" s="1">
        <v>44376</v>
      </c>
      <c r="B122">
        <v>52795.76</v>
      </c>
      <c r="C122">
        <v>52816.42</v>
      </c>
      <c r="D122">
        <v>52477.77</v>
      </c>
      <c r="E122">
        <v>52549.66</v>
      </c>
      <c r="F122">
        <v>-185.93</v>
      </c>
      <c r="G122">
        <v>-0.35</v>
      </c>
      <c r="H122">
        <v>0.92</v>
      </c>
      <c r="I122">
        <v>709.9</v>
      </c>
      <c r="J122">
        <v>32.04</v>
      </c>
      <c r="K122">
        <v>3.39</v>
      </c>
      <c r="L122">
        <v>1.03</v>
      </c>
    </row>
    <row r="123" spans="1:12" x14ac:dyDescent="0.3">
      <c r="A123" s="1">
        <v>44377</v>
      </c>
      <c r="B123">
        <v>52651.09</v>
      </c>
      <c r="C123">
        <v>52875.92</v>
      </c>
      <c r="D123">
        <v>52448.639999999999</v>
      </c>
      <c r="E123">
        <v>52482.71</v>
      </c>
      <c r="F123">
        <v>-66.95</v>
      </c>
      <c r="G123">
        <v>-0.13</v>
      </c>
      <c r="H123">
        <v>0.95</v>
      </c>
      <c r="I123">
        <v>992.23</v>
      </c>
      <c r="J123">
        <v>31.97</v>
      </c>
      <c r="K123">
        <v>3.38</v>
      </c>
      <c r="L123">
        <v>1.04</v>
      </c>
    </row>
    <row r="124" spans="1:12" x14ac:dyDescent="0.3">
      <c r="A124" s="1">
        <v>44378</v>
      </c>
      <c r="B124">
        <v>52638.5</v>
      </c>
      <c r="C124">
        <v>52638.5</v>
      </c>
      <c r="D124">
        <v>52281.01</v>
      </c>
      <c r="E124">
        <v>52318.6</v>
      </c>
      <c r="F124">
        <v>-164.11</v>
      </c>
      <c r="G124">
        <v>-0.31</v>
      </c>
      <c r="H124">
        <v>0.57999999999999996</v>
      </c>
      <c r="I124">
        <v>556.62</v>
      </c>
      <c r="J124">
        <v>31.77</v>
      </c>
      <c r="K124">
        <v>3.36</v>
      </c>
      <c r="L124">
        <v>1.04</v>
      </c>
    </row>
    <row r="125" spans="1:12" x14ac:dyDescent="0.3">
      <c r="A125" s="1">
        <v>44379</v>
      </c>
      <c r="B125">
        <v>52434.55</v>
      </c>
      <c r="C125">
        <v>52527.9</v>
      </c>
      <c r="D125">
        <v>52177.68</v>
      </c>
      <c r="E125">
        <v>52484.67</v>
      </c>
      <c r="F125">
        <v>166.07</v>
      </c>
      <c r="G125">
        <v>0.32</v>
      </c>
      <c r="H125">
        <v>0.64</v>
      </c>
      <c r="I125">
        <v>560.9</v>
      </c>
      <c r="J125">
        <v>31.82</v>
      </c>
      <c r="K125">
        <v>3.36</v>
      </c>
      <c r="L125">
        <v>1.04</v>
      </c>
    </row>
    <row r="126" spans="1:12" x14ac:dyDescent="0.3">
      <c r="A126" s="1">
        <v>44382</v>
      </c>
      <c r="B126">
        <v>52682.89</v>
      </c>
      <c r="C126">
        <v>52919.17</v>
      </c>
      <c r="D126">
        <v>52604.35</v>
      </c>
      <c r="E126">
        <v>52880</v>
      </c>
      <c r="F126">
        <v>395.33</v>
      </c>
      <c r="G126">
        <v>0.75</v>
      </c>
      <c r="H126">
        <v>0.76</v>
      </c>
      <c r="I126">
        <v>708.76</v>
      </c>
      <c r="J126">
        <v>32.33</v>
      </c>
      <c r="K126">
        <v>3.41</v>
      </c>
      <c r="L126">
        <v>1.02</v>
      </c>
    </row>
    <row r="127" spans="1:12" x14ac:dyDescent="0.3">
      <c r="A127" s="1">
        <v>44383</v>
      </c>
      <c r="B127">
        <v>52874.85</v>
      </c>
      <c r="C127">
        <v>53129.37</v>
      </c>
      <c r="D127">
        <v>52804.18</v>
      </c>
      <c r="E127">
        <v>52861.18</v>
      </c>
      <c r="F127">
        <v>-18.82</v>
      </c>
      <c r="G127">
        <v>-0.04</v>
      </c>
      <c r="H127" t="s">
        <v>13</v>
      </c>
      <c r="J127">
        <v>32.21</v>
      </c>
      <c r="K127">
        <v>3.4</v>
      </c>
      <c r="L127">
        <v>1.03</v>
      </c>
    </row>
    <row r="128" spans="1:12" x14ac:dyDescent="0.3">
      <c r="A128" s="1">
        <v>44384</v>
      </c>
      <c r="B128">
        <v>52919.71</v>
      </c>
      <c r="C128">
        <v>53105.41</v>
      </c>
      <c r="D128">
        <v>52751.76</v>
      </c>
      <c r="E128">
        <v>53054.76</v>
      </c>
      <c r="F128">
        <v>193.58</v>
      </c>
      <c r="G128">
        <v>0.37</v>
      </c>
      <c r="H128">
        <v>0.8</v>
      </c>
      <c r="I128">
        <v>893.76</v>
      </c>
      <c r="J128">
        <v>32.25</v>
      </c>
      <c r="K128">
        <v>3.4</v>
      </c>
      <c r="L128">
        <v>1.03</v>
      </c>
    </row>
    <row r="129" spans="1:12" x14ac:dyDescent="0.3">
      <c r="A129" s="1">
        <v>44385</v>
      </c>
      <c r="B129">
        <v>53065.69</v>
      </c>
      <c r="C129">
        <v>53103.03</v>
      </c>
      <c r="D129">
        <v>52428.84</v>
      </c>
      <c r="E129">
        <v>52568.94</v>
      </c>
      <c r="F129">
        <v>-485.82</v>
      </c>
      <c r="G129">
        <v>-0.92</v>
      </c>
      <c r="H129">
        <v>0.64</v>
      </c>
      <c r="I129">
        <v>601.47</v>
      </c>
      <c r="J129">
        <v>31.45</v>
      </c>
      <c r="K129">
        <v>3.39</v>
      </c>
      <c r="L129">
        <v>1.04</v>
      </c>
    </row>
    <row r="130" spans="1:12" x14ac:dyDescent="0.3">
      <c r="A130" s="1">
        <v>44386</v>
      </c>
      <c r="B130">
        <v>52508.24</v>
      </c>
      <c r="C130">
        <v>52555.73</v>
      </c>
      <c r="D130">
        <v>52228.01</v>
      </c>
      <c r="E130">
        <v>52386.19</v>
      </c>
      <c r="F130">
        <v>-182.75</v>
      </c>
      <c r="G130">
        <v>-0.35</v>
      </c>
      <c r="H130">
        <v>0.64</v>
      </c>
      <c r="I130">
        <v>799.4</v>
      </c>
      <c r="J130">
        <v>31.4</v>
      </c>
      <c r="K130">
        <v>3.38</v>
      </c>
      <c r="L130">
        <v>1.04</v>
      </c>
    </row>
    <row r="131" spans="1:12" x14ac:dyDescent="0.3">
      <c r="A131" s="1">
        <v>44389</v>
      </c>
      <c r="B131">
        <v>52634.33</v>
      </c>
      <c r="C131">
        <v>52700.51</v>
      </c>
      <c r="D131">
        <v>52208.959999999999</v>
      </c>
      <c r="E131">
        <v>52372.69</v>
      </c>
      <c r="F131">
        <v>-13.5</v>
      </c>
      <c r="G131">
        <v>-0.03</v>
      </c>
      <c r="H131">
        <v>2.4900000000000002</v>
      </c>
      <c r="I131">
        <v>3221.01</v>
      </c>
      <c r="J131">
        <v>31.2</v>
      </c>
      <c r="K131">
        <v>3.37</v>
      </c>
      <c r="L131">
        <v>1.04</v>
      </c>
    </row>
    <row r="132" spans="1:12" x14ac:dyDescent="0.3">
      <c r="A132" s="1">
        <v>44390</v>
      </c>
      <c r="B132">
        <v>52694.89</v>
      </c>
      <c r="C132">
        <v>52806.86</v>
      </c>
      <c r="D132">
        <v>52545.68</v>
      </c>
      <c r="E132">
        <v>52769.73</v>
      </c>
      <c r="F132">
        <v>397.04</v>
      </c>
      <c r="G132">
        <v>0.76</v>
      </c>
      <c r="H132">
        <v>0.79</v>
      </c>
      <c r="I132">
        <v>678.69</v>
      </c>
      <c r="J132">
        <v>31.47</v>
      </c>
      <c r="K132">
        <v>3.4</v>
      </c>
      <c r="L132">
        <v>1.03</v>
      </c>
    </row>
    <row r="133" spans="1:12" x14ac:dyDescent="0.3">
      <c r="A133" s="1">
        <v>44391</v>
      </c>
      <c r="B133">
        <v>52801.440000000002</v>
      </c>
      <c r="C133">
        <v>52978.58</v>
      </c>
      <c r="D133">
        <v>52611.97</v>
      </c>
      <c r="E133">
        <v>52904.05</v>
      </c>
      <c r="F133">
        <v>134.32</v>
      </c>
      <c r="G133">
        <v>0.25</v>
      </c>
      <c r="H133">
        <v>0.93</v>
      </c>
      <c r="I133">
        <v>655.04</v>
      </c>
      <c r="J133">
        <v>31.49</v>
      </c>
      <c r="K133">
        <v>3.4</v>
      </c>
      <c r="L133">
        <v>1.03</v>
      </c>
    </row>
    <row r="134" spans="1:12" x14ac:dyDescent="0.3">
      <c r="A134" s="1">
        <v>44392</v>
      </c>
      <c r="B134">
        <v>52968.89</v>
      </c>
      <c r="C134">
        <v>53266.12</v>
      </c>
      <c r="D134">
        <v>52948.43</v>
      </c>
      <c r="E134">
        <v>53158.85</v>
      </c>
      <c r="F134">
        <v>254.8</v>
      </c>
      <c r="G134">
        <v>0.48</v>
      </c>
      <c r="H134">
        <v>0.81</v>
      </c>
      <c r="I134">
        <v>711.99</v>
      </c>
      <c r="J134">
        <v>32.270000000000003</v>
      </c>
      <c r="K134">
        <v>3.42</v>
      </c>
      <c r="L134">
        <v>1.02</v>
      </c>
    </row>
    <row r="135" spans="1:12" x14ac:dyDescent="0.3">
      <c r="A135" s="1">
        <v>44393</v>
      </c>
      <c r="B135">
        <v>53244.4</v>
      </c>
      <c r="C135">
        <v>53290.81</v>
      </c>
      <c r="D135">
        <v>52997.09</v>
      </c>
      <c r="E135">
        <v>53140.06</v>
      </c>
      <c r="F135">
        <v>-18.79</v>
      </c>
      <c r="G135">
        <v>-0.04</v>
      </c>
      <c r="H135">
        <v>0.67</v>
      </c>
      <c r="I135">
        <v>629.75</v>
      </c>
      <c r="J135">
        <v>32.01</v>
      </c>
      <c r="K135">
        <v>3.42</v>
      </c>
      <c r="L135">
        <v>1.02</v>
      </c>
    </row>
    <row r="136" spans="1:12" x14ac:dyDescent="0.3">
      <c r="A136" s="1">
        <v>44396</v>
      </c>
      <c r="B136">
        <v>52606.99</v>
      </c>
      <c r="C136">
        <v>52821.17</v>
      </c>
      <c r="D136">
        <v>52405.89</v>
      </c>
      <c r="E136">
        <v>52553.4</v>
      </c>
      <c r="F136">
        <v>-586.66</v>
      </c>
      <c r="G136">
        <v>-1.1000000000000001</v>
      </c>
      <c r="H136" t="s">
        <v>13</v>
      </c>
      <c r="J136">
        <v>31.6</v>
      </c>
      <c r="K136">
        <v>3.38</v>
      </c>
      <c r="L136">
        <v>1.04</v>
      </c>
    </row>
    <row r="137" spans="1:12" x14ac:dyDescent="0.3">
      <c r="A137" s="1">
        <v>44397</v>
      </c>
      <c r="B137">
        <v>52432.88</v>
      </c>
      <c r="C137">
        <v>52465.03</v>
      </c>
      <c r="D137">
        <v>52013.51</v>
      </c>
      <c r="E137">
        <v>52198.51</v>
      </c>
      <c r="F137">
        <v>-354.89</v>
      </c>
      <c r="G137">
        <v>-0.68</v>
      </c>
      <c r="H137">
        <v>0.8</v>
      </c>
      <c r="I137">
        <v>735.35</v>
      </c>
      <c r="J137">
        <v>31.38</v>
      </c>
      <c r="K137">
        <v>3.36</v>
      </c>
      <c r="L137">
        <v>1.04</v>
      </c>
    </row>
    <row r="138" spans="1:12" x14ac:dyDescent="0.3">
      <c r="A138" s="1">
        <v>44399</v>
      </c>
      <c r="B138">
        <v>52494.559999999998</v>
      </c>
      <c r="C138">
        <v>52867.26</v>
      </c>
      <c r="D138">
        <v>52471.23</v>
      </c>
      <c r="E138">
        <v>52837.21</v>
      </c>
      <c r="F138">
        <v>638.70000000000005</v>
      </c>
      <c r="G138">
        <v>1.22</v>
      </c>
      <c r="H138">
        <v>0.83</v>
      </c>
      <c r="I138">
        <v>729.16</v>
      </c>
      <c r="J138">
        <v>31.75</v>
      </c>
      <c r="K138">
        <v>3.4</v>
      </c>
      <c r="L138">
        <v>1.03</v>
      </c>
    </row>
    <row r="139" spans="1:12" x14ac:dyDescent="0.3">
      <c r="A139" s="1">
        <v>44400</v>
      </c>
      <c r="B139">
        <v>52967.87</v>
      </c>
      <c r="C139">
        <v>53114.7</v>
      </c>
      <c r="D139">
        <v>52653.77</v>
      </c>
      <c r="E139">
        <v>52975.8</v>
      </c>
      <c r="F139">
        <v>138.59</v>
      </c>
      <c r="G139">
        <v>0.26</v>
      </c>
      <c r="H139">
        <v>1.21</v>
      </c>
      <c r="I139">
        <v>826.31</v>
      </c>
      <c r="J139">
        <v>31.77</v>
      </c>
      <c r="K139">
        <v>3.41</v>
      </c>
      <c r="L139">
        <v>1.02</v>
      </c>
    </row>
    <row r="140" spans="1:12" x14ac:dyDescent="0.3">
      <c r="A140" s="1">
        <v>44403</v>
      </c>
      <c r="B140">
        <v>52985.26</v>
      </c>
      <c r="C140">
        <v>53103.42</v>
      </c>
      <c r="D140">
        <v>52783.63</v>
      </c>
      <c r="E140">
        <v>52852.27</v>
      </c>
      <c r="F140">
        <v>-123.53</v>
      </c>
      <c r="G140">
        <v>-0.23</v>
      </c>
      <c r="H140">
        <v>2.09</v>
      </c>
      <c r="I140">
        <v>1050.21</v>
      </c>
      <c r="J140">
        <v>31.67</v>
      </c>
      <c r="K140">
        <v>3.4</v>
      </c>
      <c r="L140">
        <v>1.03</v>
      </c>
    </row>
    <row r="141" spans="1:12" x14ac:dyDescent="0.3">
      <c r="A141" s="1">
        <v>44404</v>
      </c>
      <c r="B141">
        <v>52995.72</v>
      </c>
      <c r="C141">
        <v>53024.7</v>
      </c>
      <c r="D141">
        <v>52433.18</v>
      </c>
      <c r="E141">
        <v>52578.76</v>
      </c>
      <c r="F141">
        <v>-273.51</v>
      </c>
      <c r="G141">
        <v>-0.52</v>
      </c>
      <c r="H141">
        <v>0.63</v>
      </c>
      <c r="I141">
        <v>701.81</v>
      </c>
      <c r="J141">
        <v>31.12</v>
      </c>
      <c r="K141">
        <v>3.37</v>
      </c>
      <c r="L141">
        <v>1.04</v>
      </c>
    </row>
    <row r="142" spans="1:12" x14ac:dyDescent="0.3">
      <c r="A142" s="1">
        <v>44405</v>
      </c>
      <c r="B142">
        <v>52673.69</v>
      </c>
      <c r="C142">
        <v>52673.69</v>
      </c>
      <c r="D142">
        <v>51802.73</v>
      </c>
      <c r="E142">
        <v>52443.71</v>
      </c>
      <c r="F142">
        <v>-135.05000000000001</v>
      </c>
      <c r="G142">
        <v>-0.26</v>
      </c>
      <c r="H142">
        <v>0.8</v>
      </c>
      <c r="I142">
        <v>816.8</v>
      </c>
      <c r="J142">
        <v>30.76</v>
      </c>
      <c r="K142">
        <v>3.36</v>
      </c>
      <c r="L142">
        <v>1.04</v>
      </c>
    </row>
    <row r="143" spans="1:12" x14ac:dyDescent="0.3">
      <c r="A143" s="1">
        <v>44406</v>
      </c>
      <c r="B143">
        <v>52693.53</v>
      </c>
      <c r="C143">
        <v>52777.18</v>
      </c>
      <c r="D143">
        <v>52561.39</v>
      </c>
      <c r="E143">
        <v>52653.07</v>
      </c>
      <c r="F143">
        <v>209.36</v>
      </c>
      <c r="G143">
        <v>0.4</v>
      </c>
      <c r="H143">
        <v>0.88</v>
      </c>
      <c r="I143">
        <v>829.54</v>
      </c>
      <c r="J143">
        <v>30.99</v>
      </c>
      <c r="K143">
        <v>3.38</v>
      </c>
      <c r="L143">
        <v>1.03</v>
      </c>
    </row>
    <row r="144" spans="1:12" x14ac:dyDescent="0.3">
      <c r="A144" s="1">
        <v>44407</v>
      </c>
      <c r="B144">
        <v>52792.36</v>
      </c>
      <c r="C144">
        <v>52910.23</v>
      </c>
      <c r="D144">
        <v>52533.91</v>
      </c>
      <c r="E144">
        <v>52586.84</v>
      </c>
      <c r="F144">
        <v>-66.23</v>
      </c>
      <c r="G144">
        <v>-0.13</v>
      </c>
      <c r="H144">
        <v>0.99</v>
      </c>
      <c r="I144">
        <v>867.6</v>
      </c>
      <c r="J144">
        <v>30.72</v>
      </c>
      <c r="K144">
        <v>3.37</v>
      </c>
      <c r="L144">
        <v>1.04</v>
      </c>
    </row>
    <row r="145" spans="1:12" x14ac:dyDescent="0.3">
      <c r="A145" s="1">
        <v>44410</v>
      </c>
      <c r="B145">
        <v>52901.279999999999</v>
      </c>
      <c r="C145">
        <v>52986.77</v>
      </c>
      <c r="D145">
        <v>52804.08</v>
      </c>
      <c r="E145">
        <v>52950.63</v>
      </c>
      <c r="F145">
        <v>363.79</v>
      </c>
      <c r="G145">
        <v>0.69</v>
      </c>
      <c r="H145">
        <v>0.79</v>
      </c>
      <c r="I145">
        <v>741.36</v>
      </c>
      <c r="J145">
        <v>30.69</v>
      </c>
      <c r="K145">
        <v>3.39</v>
      </c>
      <c r="L145">
        <v>1.03</v>
      </c>
    </row>
    <row r="146" spans="1:12" x14ac:dyDescent="0.3">
      <c r="A146" s="1">
        <v>44411</v>
      </c>
      <c r="B146">
        <v>53125.97</v>
      </c>
      <c r="C146">
        <v>53887.98</v>
      </c>
      <c r="D146">
        <v>53088.35</v>
      </c>
      <c r="E146">
        <v>53823.360000000001</v>
      </c>
      <c r="F146">
        <v>872.73</v>
      </c>
      <c r="G146">
        <v>1.65</v>
      </c>
      <c r="H146">
        <v>0.81</v>
      </c>
      <c r="I146">
        <v>830.62</v>
      </c>
      <c r="J146">
        <v>31.18</v>
      </c>
      <c r="K146">
        <v>3.45</v>
      </c>
      <c r="L146">
        <v>1.01</v>
      </c>
    </row>
    <row r="147" spans="1:12" x14ac:dyDescent="0.3">
      <c r="A147" s="1">
        <v>44412</v>
      </c>
      <c r="B147">
        <v>54071.22</v>
      </c>
      <c r="C147">
        <v>54465.91</v>
      </c>
      <c r="D147">
        <v>54034.31</v>
      </c>
      <c r="E147">
        <v>54369.77</v>
      </c>
      <c r="F147">
        <v>546.41</v>
      </c>
      <c r="G147">
        <v>1.02</v>
      </c>
      <c r="H147" t="s">
        <v>13</v>
      </c>
      <c r="J147">
        <v>31.29</v>
      </c>
      <c r="K147">
        <v>3.49</v>
      </c>
      <c r="L147">
        <v>1</v>
      </c>
    </row>
    <row r="148" spans="1:12" x14ac:dyDescent="0.3">
      <c r="A148" s="1">
        <v>44413</v>
      </c>
      <c r="B148">
        <v>54576.639999999999</v>
      </c>
      <c r="C148">
        <v>54717.24</v>
      </c>
      <c r="D148">
        <v>54230.89</v>
      </c>
      <c r="E148">
        <v>54492.84</v>
      </c>
      <c r="F148">
        <v>123.07</v>
      </c>
      <c r="G148">
        <v>0.23</v>
      </c>
      <c r="H148">
        <v>1.53</v>
      </c>
      <c r="I148">
        <v>1078.77</v>
      </c>
      <c r="J148">
        <v>31.31</v>
      </c>
      <c r="K148">
        <v>3.49</v>
      </c>
      <c r="L148">
        <v>1</v>
      </c>
    </row>
    <row r="149" spans="1:12" x14ac:dyDescent="0.3">
      <c r="A149" s="1">
        <v>44414</v>
      </c>
      <c r="B149">
        <v>54492.17</v>
      </c>
      <c r="C149">
        <v>54633.58</v>
      </c>
      <c r="D149">
        <v>54210.33</v>
      </c>
      <c r="E149">
        <v>54277.72</v>
      </c>
      <c r="F149">
        <v>-215.12</v>
      </c>
      <c r="G149">
        <v>-0.39</v>
      </c>
      <c r="H149" t="s">
        <v>13</v>
      </c>
      <c r="J149">
        <v>29.84</v>
      </c>
      <c r="K149">
        <v>3.47</v>
      </c>
      <c r="L149">
        <v>1</v>
      </c>
    </row>
    <row r="150" spans="1:12" x14ac:dyDescent="0.3">
      <c r="A150" s="1">
        <v>44417</v>
      </c>
      <c r="B150">
        <v>54385.71</v>
      </c>
      <c r="C150">
        <v>54584.73</v>
      </c>
      <c r="D150">
        <v>54124.27</v>
      </c>
      <c r="E150">
        <v>54402.85</v>
      </c>
      <c r="F150">
        <v>125.13</v>
      </c>
      <c r="G150">
        <v>0.23</v>
      </c>
      <c r="H150">
        <v>1.1499999999999999</v>
      </c>
      <c r="I150">
        <v>1374.26</v>
      </c>
      <c r="J150">
        <v>29.88</v>
      </c>
      <c r="K150">
        <v>3.47</v>
      </c>
      <c r="L150">
        <v>1</v>
      </c>
    </row>
    <row r="151" spans="1:12" x14ac:dyDescent="0.3">
      <c r="A151" s="1">
        <v>44418</v>
      </c>
      <c r="B151">
        <v>54461.31</v>
      </c>
      <c r="C151">
        <v>54779.66</v>
      </c>
      <c r="D151">
        <v>54308.77</v>
      </c>
      <c r="E151">
        <v>54554.66</v>
      </c>
      <c r="F151">
        <v>151.81</v>
      </c>
      <c r="G151">
        <v>0.28000000000000003</v>
      </c>
      <c r="H151">
        <v>0.87</v>
      </c>
      <c r="I151">
        <v>761.44</v>
      </c>
      <c r="J151">
        <v>29.9</v>
      </c>
      <c r="K151">
        <v>3.48</v>
      </c>
      <c r="L151">
        <v>1</v>
      </c>
    </row>
    <row r="152" spans="1:12" x14ac:dyDescent="0.3">
      <c r="A152" s="1">
        <v>44419</v>
      </c>
      <c r="B152">
        <v>54730.65</v>
      </c>
      <c r="C152">
        <v>54758.74</v>
      </c>
      <c r="D152">
        <v>54167.199999999997</v>
      </c>
      <c r="E152">
        <v>54525.93</v>
      </c>
      <c r="F152">
        <v>-28.73</v>
      </c>
      <c r="G152">
        <v>-0.05</v>
      </c>
      <c r="H152">
        <v>0.65</v>
      </c>
      <c r="I152">
        <v>655.9</v>
      </c>
      <c r="J152">
        <v>29.88</v>
      </c>
      <c r="K152">
        <v>3.47</v>
      </c>
      <c r="L152">
        <v>1</v>
      </c>
    </row>
    <row r="153" spans="1:12" x14ac:dyDescent="0.3">
      <c r="A153" s="1">
        <v>44420</v>
      </c>
      <c r="B153">
        <v>54641.22</v>
      </c>
      <c r="C153">
        <v>54874.1</v>
      </c>
      <c r="D153">
        <v>54536.65</v>
      </c>
      <c r="E153">
        <v>54843.98</v>
      </c>
      <c r="F153">
        <v>318.05</v>
      </c>
      <c r="G153">
        <v>0.57999999999999996</v>
      </c>
      <c r="H153">
        <v>0.93</v>
      </c>
      <c r="I153">
        <v>677.87</v>
      </c>
      <c r="J153">
        <v>30.12</v>
      </c>
      <c r="K153">
        <v>3.5</v>
      </c>
      <c r="L153">
        <v>0.99</v>
      </c>
    </row>
    <row r="154" spans="1:12" x14ac:dyDescent="0.3">
      <c r="A154" s="1">
        <v>44421</v>
      </c>
      <c r="B154">
        <v>54911.95</v>
      </c>
      <c r="C154">
        <v>55487.79</v>
      </c>
      <c r="D154">
        <v>54905.49</v>
      </c>
      <c r="E154">
        <v>55437.29</v>
      </c>
      <c r="F154">
        <v>593.30999999999995</v>
      </c>
      <c r="G154">
        <v>1.08</v>
      </c>
      <c r="H154">
        <v>1.41</v>
      </c>
      <c r="I154">
        <v>1387.7</v>
      </c>
      <c r="J154">
        <v>30.13</v>
      </c>
      <c r="K154">
        <v>3.54</v>
      </c>
      <c r="L154">
        <v>0.97</v>
      </c>
    </row>
    <row r="155" spans="1:12" x14ac:dyDescent="0.3">
      <c r="A155" s="1">
        <v>44424</v>
      </c>
      <c r="B155">
        <v>55479.74</v>
      </c>
      <c r="C155">
        <v>55680.75</v>
      </c>
      <c r="D155">
        <v>55281.02</v>
      </c>
      <c r="E155">
        <v>55582.58</v>
      </c>
      <c r="F155">
        <v>145.29</v>
      </c>
      <c r="G155">
        <v>0.26</v>
      </c>
      <c r="H155">
        <v>0.6</v>
      </c>
      <c r="I155">
        <v>676.86</v>
      </c>
      <c r="J155">
        <v>30.27</v>
      </c>
      <c r="K155">
        <v>3.55</v>
      </c>
      <c r="L155">
        <v>0.97</v>
      </c>
    </row>
    <row r="156" spans="1:12" x14ac:dyDescent="0.3">
      <c r="A156" s="1">
        <v>44425</v>
      </c>
      <c r="B156">
        <v>55565.64</v>
      </c>
      <c r="C156">
        <v>55854.879999999997</v>
      </c>
      <c r="D156">
        <v>55386.49</v>
      </c>
      <c r="E156">
        <v>55792.27</v>
      </c>
      <c r="F156">
        <v>209.69</v>
      </c>
      <c r="G156">
        <v>0.38</v>
      </c>
      <c r="H156">
        <v>0.68</v>
      </c>
      <c r="I156">
        <v>849.83</v>
      </c>
      <c r="J156">
        <v>30.32</v>
      </c>
      <c r="K156">
        <v>3.56</v>
      </c>
      <c r="L156">
        <v>0.97</v>
      </c>
    </row>
    <row r="157" spans="1:12" x14ac:dyDescent="0.3">
      <c r="A157" s="1">
        <v>44426</v>
      </c>
      <c r="B157">
        <v>56073.31</v>
      </c>
      <c r="C157">
        <v>56118.57</v>
      </c>
      <c r="D157">
        <v>55514.89</v>
      </c>
      <c r="E157">
        <v>55629.49</v>
      </c>
      <c r="F157">
        <v>-162.78</v>
      </c>
      <c r="G157">
        <v>-0.28999999999999998</v>
      </c>
      <c r="H157">
        <v>1.61</v>
      </c>
      <c r="I157">
        <v>1589.2</v>
      </c>
      <c r="J157">
        <v>30.24</v>
      </c>
      <c r="K157">
        <v>3.55</v>
      </c>
      <c r="L157">
        <v>0.97</v>
      </c>
    </row>
    <row r="158" spans="1:12" x14ac:dyDescent="0.3">
      <c r="A158" s="1">
        <v>44428</v>
      </c>
      <c r="B158">
        <v>55159.13</v>
      </c>
      <c r="C158">
        <v>55543.16</v>
      </c>
      <c r="D158">
        <v>55013.98</v>
      </c>
      <c r="E158">
        <v>55329.32</v>
      </c>
      <c r="F158">
        <v>-300.17</v>
      </c>
      <c r="G158">
        <v>-0.54</v>
      </c>
      <c r="H158">
        <v>0.68</v>
      </c>
      <c r="I158">
        <v>826.11</v>
      </c>
      <c r="J158">
        <v>28.83</v>
      </c>
      <c r="K158">
        <v>3.53</v>
      </c>
      <c r="L158">
        <v>0.98</v>
      </c>
    </row>
    <row r="159" spans="1:12" x14ac:dyDescent="0.3">
      <c r="A159" s="1">
        <v>44431</v>
      </c>
      <c r="B159">
        <v>55695.839999999997</v>
      </c>
      <c r="C159">
        <v>55781.17</v>
      </c>
      <c r="D159">
        <v>55240.29</v>
      </c>
      <c r="E159">
        <v>55555.79</v>
      </c>
      <c r="F159">
        <v>226.47</v>
      </c>
      <c r="G159">
        <v>0.41</v>
      </c>
      <c r="H159">
        <v>0.75</v>
      </c>
      <c r="I159">
        <v>1121.72</v>
      </c>
      <c r="J159">
        <v>29.01</v>
      </c>
      <c r="K159">
        <v>3.55</v>
      </c>
      <c r="L159">
        <v>0.97</v>
      </c>
    </row>
    <row r="160" spans="1:12" x14ac:dyDescent="0.3">
      <c r="A160" s="1">
        <v>44432</v>
      </c>
      <c r="B160">
        <v>55647.11</v>
      </c>
      <c r="C160">
        <v>56023.22</v>
      </c>
      <c r="D160">
        <v>55536.84</v>
      </c>
      <c r="E160">
        <v>55958.98</v>
      </c>
      <c r="F160">
        <v>403.19</v>
      </c>
      <c r="G160">
        <v>0.73</v>
      </c>
      <c r="H160">
        <v>0.76</v>
      </c>
      <c r="I160">
        <v>874.62</v>
      </c>
      <c r="J160">
        <v>29.24</v>
      </c>
      <c r="K160">
        <v>3.58</v>
      </c>
      <c r="L160">
        <v>0.96</v>
      </c>
    </row>
    <row r="161" spans="1:12" x14ac:dyDescent="0.3">
      <c r="A161" s="1">
        <v>44433</v>
      </c>
      <c r="B161">
        <v>56067.06</v>
      </c>
      <c r="C161">
        <v>56198.13</v>
      </c>
      <c r="D161">
        <v>55899.96</v>
      </c>
      <c r="E161">
        <v>55944.21</v>
      </c>
      <c r="F161">
        <v>-14.77</v>
      </c>
      <c r="G161">
        <v>-0.03</v>
      </c>
      <c r="H161">
        <v>0.54</v>
      </c>
      <c r="I161">
        <v>778.83</v>
      </c>
      <c r="J161">
        <v>29.16</v>
      </c>
      <c r="K161">
        <v>3.57</v>
      </c>
      <c r="L161">
        <v>0.97</v>
      </c>
    </row>
    <row r="162" spans="1:12" x14ac:dyDescent="0.3">
      <c r="A162" s="1">
        <v>44434</v>
      </c>
      <c r="B162">
        <v>55988.41</v>
      </c>
      <c r="C162">
        <v>56112.39</v>
      </c>
      <c r="D162">
        <v>55854.07</v>
      </c>
      <c r="E162">
        <v>55949.1</v>
      </c>
      <c r="F162">
        <v>4.8899999999999997</v>
      </c>
      <c r="G162">
        <v>0.01</v>
      </c>
      <c r="H162">
        <v>0.83</v>
      </c>
      <c r="I162">
        <v>1102.7</v>
      </c>
      <c r="J162">
        <v>29.17</v>
      </c>
      <c r="K162">
        <v>3.57</v>
      </c>
      <c r="L162">
        <v>0.97</v>
      </c>
    </row>
    <row r="163" spans="1:12" x14ac:dyDescent="0.3">
      <c r="A163" s="1">
        <v>44435</v>
      </c>
      <c r="B163">
        <v>55862.93</v>
      </c>
      <c r="C163">
        <v>56188.23</v>
      </c>
      <c r="D163">
        <v>55675.87</v>
      </c>
      <c r="E163">
        <v>56124.72</v>
      </c>
      <c r="F163">
        <v>175.62</v>
      </c>
      <c r="G163">
        <v>0.31</v>
      </c>
      <c r="H163">
        <v>0.6</v>
      </c>
      <c r="I163">
        <v>1020.02</v>
      </c>
      <c r="J163">
        <v>29.41</v>
      </c>
      <c r="K163">
        <v>3.6</v>
      </c>
      <c r="L163">
        <v>0.96</v>
      </c>
    </row>
    <row r="164" spans="1:12" x14ac:dyDescent="0.3">
      <c r="A164" s="1">
        <v>44438</v>
      </c>
      <c r="B164">
        <v>56329.25</v>
      </c>
      <c r="C164">
        <v>56958.27</v>
      </c>
      <c r="D164">
        <v>56309.86</v>
      </c>
      <c r="E164">
        <v>56889.760000000002</v>
      </c>
      <c r="F164">
        <v>765.04</v>
      </c>
      <c r="G164">
        <v>1.36</v>
      </c>
      <c r="H164">
        <v>0.66</v>
      </c>
      <c r="I164">
        <v>785.32</v>
      </c>
      <c r="J164">
        <v>29.82</v>
      </c>
      <c r="K164">
        <v>3.65</v>
      </c>
      <c r="L164">
        <v>0.94</v>
      </c>
    </row>
    <row r="165" spans="1:12" x14ac:dyDescent="0.3">
      <c r="A165" s="1">
        <v>44439</v>
      </c>
      <c r="B165">
        <v>56995.15</v>
      </c>
      <c r="C165">
        <v>57625.26</v>
      </c>
      <c r="D165">
        <v>56859.1</v>
      </c>
      <c r="E165">
        <v>57552.39</v>
      </c>
      <c r="F165">
        <v>662.63</v>
      </c>
      <c r="G165">
        <v>1.1599999999999999</v>
      </c>
      <c r="H165">
        <v>1.1200000000000001</v>
      </c>
      <c r="I165">
        <v>1622.87</v>
      </c>
      <c r="J165">
        <v>30.28</v>
      </c>
      <c r="K165">
        <v>3.7</v>
      </c>
      <c r="L165">
        <v>0.93</v>
      </c>
    </row>
    <row r="166" spans="1:12" x14ac:dyDescent="0.3">
      <c r="A166" s="1">
        <v>44440</v>
      </c>
      <c r="B166">
        <v>57763.53</v>
      </c>
      <c r="C166">
        <v>57918.71</v>
      </c>
      <c r="D166">
        <v>57263.9</v>
      </c>
      <c r="E166">
        <v>57338.21</v>
      </c>
      <c r="F166">
        <v>-214.18</v>
      </c>
      <c r="G166">
        <v>-0.37</v>
      </c>
      <c r="H166">
        <v>0.73</v>
      </c>
      <c r="I166">
        <v>1061.83</v>
      </c>
      <c r="J166">
        <v>30.04</v>
      </c>
      <c r="K166">
        <v>3.67</v>
      </c>
      <c r="L166">
        <v>0.94</v>
      </c>
    </row>
    <row r="167" spans="1:12" x14ac:dyDescent="0.3">
      <c r="A167" s="1">
        <v>44441</v>
      </c>
      <c r="B167">
        <v>57423.65</v>
      </c>
      <c r="C167">
        <v>57892.37</v>
      </c>
      <c r="D167">
        <v>57287.79</v>
      </c>
      <c r="E167">
        <v>57852.54</v>
      </c>
      <c r="F167">
        <v>514.33000000000004</v>
      </c>
      <c r="G167">
        <v>0.9</v>
      </c>
      <c r="H167">
        <v>0.51</v>
      </c>
      <c r="I167">
        <v>660.83</v>
      </c>
      <c r="J167">
        <v>30.21</v>
      </c>
      <c r="K167">
        <v>3.69</v>
      </c>
      <c r="L167">
        <v>0.93</v>
      </c>
    </row>
    <row r="168" spans="1:12" x14ac:dyDescent="0.3">
      <c r="A168" s="1">
        <v>44442</v>
      </c>
      <c r="B168">
        <v>57983.45</v>
      </c>
      <c r="C168">
        <v>58194.79</v>
      </c>
      <c r="D168">
        <v>57764.07</v>
      </c>
      <c r="E168">
        <v>58129.95</v>
      </c>
      <c r="F168">
        <v>277.41000000000003</v>
      </c>
      <c r="G168">
        <v>0.48</v>
      </c>
      <c r="H168">
        <v>0.61</v>
      </c>
      <c r="I168">
        <v>751.28</v>
      </c>
      <c r="J168">
        <v>30.35</v>
      </c>
      <c r="K168">
        <v>3.71</v>
      </c>
      <c r="L168">
        <v>0.93</v>
      </c>
    </row>
    <row r="169" spans="1:12" x14ac:dyDescent="0.3">
      <c r="A169" s="1">
        <v>44445</v>
      </c>
      <c r="B169">
        <v>58411.62</v>
      </c>
      <c r="C169">
        <v>58515.85</v>
      </c>
      <c r="D169">
        <v>58200.29</v>
      </c>
      <c r="E169">
        <v>58296.91</v>
      </c>
      <c r="F169">
        <v>166.96</v>
      </c>
      <c r="G169">
        <v>0.28999999999999998</v>
      </c>
      <c r="H169">
        <v>0.56000000000000005</v>
      </c>
      <c r="I169">
        <v>662.64</v>
      </c>
      <c r="J169">
        <v>30.4</v>
      </c>
      <c r="K169">
        <v>3.72</v>
      </c>
      <c r="L169">
        <v>0.92</v>
      </c>
    </row>
    <row r="170" spans="1:12" x14ac:dyDescent="0.3">
      <c r="A170" s="1">
        <v>44446</v>
      </c>
      <c r="B170">
        <v>58418.69</v>
      </c>
      <c r="C170">
        <v>58553.07</v>
      </c>
      <c r="D170">
        <v>58005.07</v>
      </c>
      <c r="E170">
        <v>58279.48</v>
      </c>
      <c r="F170">
        <v>-17.43</v>
      </c>
      <c r="G170">
        <v>-0.03</v>
      </c>
      <c r="H170">
        <v>0.74</v>
      </c>
      <c r="I170">
        <v>608.26</v>
      </c>
      <c r="J170">
        <v>30.26</v>
      </c>
      <c r="K170">
        <v>3.71</v>
      </c>
      <c r="L170">
        <v>0.93</v>
      </c>
    </row>
    <row r="171" spans="1:12" x14ac:dyDescent="0.3">
      <c r="A171" s="1">
        <v>44447</v>
      </c>
      <c r="B171">
        <v>58350.559999999998</v>
      </c>
      <c r="C171">
        <v>58372.94</v>
      </c>
      <c r="D171">
        <v>57924.480000000003</v>
      </c>
      <c r="E171">
        <v>58250.26</v>
      </c>
      <c r="F171">
        <v>-29.22</v>
      </c>
      <c r="G171">
        <v>-0.05</v>
      </c>
      <c r="H171">
        <v>0.53</v>
      </c>
      <c r="I171">
        <v>527.88</v>
      </c>
      <c r="J171">
        <v>30.21</v>
      </c>
      <c r="K171">
        <v>3.7</v>
      </c>
      <c r="L171">
        <v>0.93</v>
      </c>
    </row>
    <row r="172" spans="1:12" x14ac:dyDescent="0.3">
      <c r="A172" s="1">
        <v>44448</v>
      </c>
      <c r="B172">
        <v>58172.98</v>
      </c>
      <c r="C172">
        <v>58334.59</v>
      </c>
      <c r="D172">
        <v>58084.99</v>
      </c>
      <c r="E172">
        <v>58305.07</v>
      </c>
      <c r="F172">
        <v>54.81</v>
      </c>
      <c r="G172">
        <v>0.09</v>
      </c>
      <c r="H172">
        <v>0.53</v>
      </c>
      <c r="I172">
        <v>626.36</v>
      </c>
      <c r="J172">
        <v>30.33</v>
      </c>
      <c r="K172">
        <v>3.72</v>
      </c>
      <c r="L172">
        <v>0.93</v>
      </c>
    </row>
    <row r="173" spans="1:12" x14ac:dyDescent="0.3">
      <c r="A173" s="1">
        <v>44452</v>
      </c>
      <c r="B173">
        <v>58262.11</v>
      </c>
      <c r="C173">
        <v>58314.64</v>
      </c>
      <c r="D173">
        <v>57944.63</v>
      </c>
      <c r="E173">
        <v>58177.760000000002</v>
      </c>
      <c r="F173">
        <v>-127.31</v>
      </c>
      <c r="G173">
        <v>-0.22</v>
      </c>
      <c r="H173" t="s">
        <v>13</v>
      </c>
      <c r="J173">
        <v>30.29</v>
      </c>
      <c r="K173">
        <v>3.71</v>
      </c>
      <c r="L173">
        <v>0.93</v>
      </c>
    </row>
    <row r="174" spans="1:12" x14ac:dyDescent="0.3">
      <c r="A174" s="1">
        <v>44453</v>
      </c>
      <c r="B174">
        <v>58482.62</v>
      </c>
      <c r="C174">
        <v>58482.62</v>
      </c>
      <c r="D174">
        <v>58214.29</v>
      </c>
      <c r="E174">
        <v>58247.09</v>
      </c>
      <c r="F174">
        <v>69.33</v>
      </c>
      <c r="G174">
        <v>0.12</v>
      </c>
      <c r="H174">
        <v>0.67</v>
      </c>
      <c r="I174">
        <v>945.15</v>
      </c>
      <c r="J174">
        <v>30.32</v>
      </c>
      <c r="K174">
        <v>3.72</v>
      </c>
      <c r="L174">
        <v>0.93</v>
      </c>
    </row>
    <row r="175" spans="1:12" x14ac:dyDescent="0.3">
      <c r="A175" s="1">
        <v>44454</v>
      </c>
      <c r="B175">
        <v>58354.11</v>
      </c>
      <c r="C175">
        <v>58777.06</v>
      </c>
      <c r="D175">
        <v>58272.82</v>
      </c>
      <c r="E175">
        <v>58723.199999999997</v>
      </c>
      <c r="F175">
        <v>476.11</v>
      </c>
      <c r="G175">
        <v>0.82</v>
      </c>
      <c r="H175">
        <v>0.96</v>
      </c>
      <c r="I175">
        <v>655.96</v>
      </c>
      <c r="J175">
        <v>30.61</v>
      </c>
      <c r="K175">
        <v>3.75</v>
      </c>
      <c r="L175">
        <v>0.92</v>
      </c>
    </row>
    <row r="176" spans="1:12" x14ac:dyDescent="0.3">
      <c r="A176" s="1">
        <v>44455</v>
      </c>
      <c r="B176">
        <v>58881.04</v>
      </c>
      <c r="C176">
        <v>59204.29</v>
      </c>
      <c r="D176">
        <v>58700.5</v>
      </c>
      <c r="E176">
        <v>59141.16</v>
      </c>
      <c r="F176">
        <v>417.96</v>
      </c>
      <c r="G176">
        <v>0.71</v>
      </c>
      <c r="H176">
        <v>2.4700000000000002</v>
      </c>
      <c r="I176">
        <v>1572.92</v>
      </c>
      <c r="J176">
        <v>30.91</v>
      </c>
      <c r="K176">
        <v>3.79</v>
      </c>
      <c r="L176">
        <v>0.91</v>
      </c>
    </row>
    <row r="177" spans="1:12" x14ac:dyDescent="0.3">
      <c r="A177" s="1">
        <v>44456</v>
      </c>
      <c r="B177">
        <v>59409.98</v>
      </c>
      <c r="C177">
        <v>59737.32</v>
      </c>
      <c r="D177">
        <v>58871.73</v>
      </c>
      <c r="E177">
        <v>59015.89</v>
      </c>
      <c r="F177">
        <v>-125.27</v>
      </c>
      <c r="G177">
        <v>-0.21</v>
      </c>
      <c r="H177">
        <v>1.31</v>
      </c>
      <c r="I177">
        <v>1034.53</v>
      </c>
      <c r="J177">
        <v>30.78</v>
      </c>
      <c r="K177">
        <v>3.77</v>
      </c>
      <c r="L177">
        <v>0.91</v>
      </c>
    </row>
    <row r="178" spans="1:12" x14ac:dyDescent="0.3">
      <c r="A178" s="1">
        <v>44459</v>
      </c>
      <c r="B178">
        <v>58634.69</v>
      </c>
      <c r="C178">
        <v>59202.559999999998</v>
      </c>
      <c r="D178">
        <v>58389.69</v>
      </c>
      <c r="E178">
        <v>58490.93</v>
      </c>
      <c r="F178">
        <v>-524.96</v>
      </c>
      <c r="G178">
        <v>-0.89</v>
      </c>
      <c r="H178">
        <v>1.74</v>
      </c>
      <c r="I178">
        <v>1302.6199999999999</v>
      </c>
      <c r="J178">
        <v>30.44</v>
      </c>
      <c r="K178">
        <v>3.73</v>
      </c>
      <c r="L178">
        <v>0.93</v>
      </c>
    </row>
    <row r="179" spans="1:12" x14ac:dyDescent="0.3">
      <c r="A179" s="1">
        <v>44460</v>
      </c>
      <c r="B179">
        <v>58630.06</v>
      </c>
      <c r="C179">
        <v>59084.51</v>
      </c>
      <c r="D179">
        <v>58232.54</v>
      </c>
      <c r="E179">
        <v>59005.27</v>
      </c>
      <c r="F179">
        <v>514.34</v>
      </c>
      <c r="G179">
        <v>0.88</v>
      </c>
      <c r="H179">
        <v>0.95</v>
      </c>
      <c r="I179">
        <v>974.74</v>
      </c>
      <c r="J179">
        <v>30.76</v>
      </c>
      <c r="K179">
        <v>3.77</v>
      </c>
      <c r="L179">
        <v>0.92</v>
      </c>
    </row>
    <row r="180" spans="1:12" x14ac:dyDescent="0.3">
      <c r="A180" s="1">
        <v>44461</v>
      </c>
      <c r="B180">
        <v>59166.15</v>
      </c>
      <c r="C180">
        <v>59178.44</v>
      </c>
      <c r="D180">
        <v>58878.38</v>
      </c>
      <c r="E180">
        <v>58927.33</v>
      </c>
      <c r="F180">
        <v>-77.94</v>
      </c>
      <c r="G180">
        <v>-0.13</v>
      </c>
      <c r="H180">
        <v>1.92</v>
      </c>
      <c r="I180">
        <v>1542</v>
      </c>
      <c r="J180">
        <v>30.61</v>
      </c>
      <c r="K180">
        <v>3.76</v>
      </c>
      <c r="L180">
        <v>0.92</v>
      </c>
    </row>
    <row r="181" spans="1:12" x14ac:dyDescent="0.3">
      <c r="A181" s="1">
        <v>44462</v>
      </c>
      <c r="B181">
        <v>59358.18</v>
      </c>
      <c r="C181">
        <v>59957.25</v>
      </c>
      <c r="D181">
        <v>59243.15</v>
      </c>
      <c r="E181">
        <v>59885.36</v>
      </c>
      <c r="F181">
        <v>958.03</v>
      </c>
      <c r="G181">
        <v>1.63</v>
      </c>
      <c r="H181">
        <v>4.46</v>
      </c>
      <c r="I181">
        <v>5381.27</v>
      </c>
      <c r="J181">
        <v>31.24</v>
      </c>
      <c r="K181">
        <v>3.83</v>
      </c>
      <c r="L181">
        <v>0.9</v>
      </c>
    </row>
    <row r="182" spans="1:12" x14ac:dyDescent="0.3">
      <c r="A182" s="1">
        <v>44463</v>
      </c>
      <c r="B182">
        <v>60158.76</v>
      </c>
      <c r="C182">
        <v>60333</v>
      </c>
      <c r="D182">
        <v>59946.55</v>
      </c>
      <c r="E182">
        <v>60048.47</v>
      </c>
      <c r="F182">
        <v>163.11000000000001</v>
      </c>
      <c r="G182">
        <v>0.27</v>
      </c>
      <c r="H182" t="s">
        <v>13</v>
      </c>
      <c r="J182">
        <v>31.34</v>
      </c>
      <c r="K182">
        <v>3.85</v>
      </c>
      <c r="L182">
        <v>0.9</v>
      </c>
    </row>
    <row r="183" spans="1:12" x14ac:dyDescent="0.3">
      <c r="A183" s="1">
        <v>44466</v>
      </c>
      <c r="B183">
        <v>60303.79</v>
      </c>
      <c r="C183">
        <v>60412.32</v>
      </c>
      <c r="D183">
        <v>59887.19</v>
      </c>
      <c r="E183">
        <v>60077.88</v>
      </c>
      <c r="F183">
        <v>29.41</v>
      </c>
      <c r="G183">
        <v>0.05</v>
      </c>
      <c r="H183">
        <v>0.62</v>
      </c>
      <c r="I183">
        <v>737.37</v>
      </c>
      <c r="J183">
        <v>31.31</v>
      </c>
      <c r="K183">
        <v>3.84</v>
      </c>
      <c r="L183">
        <v>0.9</v>
      </c>
    </row>
    <row r="184" spans="1:12" x14ac:dyDescent="0.3">
      <c r="A184" s="1">
        <v>44467</v>
      </c>
      <c r="B184">
        <v>60285.89</v>
      </c>
      <c r="C184">
        <v>60288.44</v>
      </c>
      <c r="D184">
        <v>59045.53</v>
      </c>
      <c r="E184">
        <v>59667.6</v>
      </c>
      <c r="F184">
        <v>-410.28</v>
      </c>
      <c r="G184">
        <v>-0.68</v>
      </c>
      <c r="H184">
        <v>2.11</v>
      </c>
      <c r="I184">
        <v>1959.51</v>
      </c>
      <c r="J184">
        <v>30.98</v>
      </c>
      <c r="K184">
        <v>3.8</v>
      </c>
      <c r="L184">
        <v>0.91</v>
      </c>
    </row>
    <row r="185" spans="1:12" x14ac:dyDescent="0.3">
      <c r="A185" s="1">
        <v>44468</v>
      </c>
      <c r="B185">
        <v>59296.54</v>
      </c>
      <c r="C185">
        <v>59678.66</v>
      </c>
      <c r="D185">
        <v>59111.41</v>
      </c>
      <c r="E185">
        <v>59413.27</v>
      </c>
      <c r="F185">
        <v>-254.33</v>
      </c>
      <c r="G185">
        <v>-0.43</v>
      </c>
      <c r="H185">
        <v>1.61</v>
      </c>
      <c r="I185">
        <v>1527.06</v>
      </c>
      <c r="J185">
        <v>30.8</v>
      </c>
      <c r="K185">
        <v>3.78</v>
      </c>
      <c r="L185">
        <v>0.91</v>
      </c>
    </row>
    <row r="186" spans="1:12" x14ac:dyDescent="0.3">
      <c r="A186" s="1">
        <v>44469</v>
      </c>
      <c r="B186">
        <v>59549.57</v>
      </c>
      <c r="C186">
        <v>59557.24</v>
      </c>
      <c r="D186">
        <v>59019.28</v>
      </c>
      <c r="E186">
        <v>59126.36</v>
      </c>
      <c r="F186">
        <v>-286.91000000000003</v>
      </c>
      <c r="G186">
        <v>-0.48</v>
      </c>
      <c r="H186" t="s">
        <v>13</v>
      </c>
      <c r="J186">
        <v>30.77</v>
      </c>
      <c r="K186">
        <v>3.78</v>
      </c>
      <c r="L186">
        <v>0.92</v>
      </c>
    </row>
    <row r="187" spans="1:12" x14ac:dyDescent="0.3">
      <c r="A187" s="1">
        <v>44470</v>
      </c>
      <c r="B187">
        <v>58889.77</v>
      </c>
      <c r="C187">
        <v>58890.080000000002</v>
      </c>
      <c r="D187">
        <v>58551.14</v>
      </c>
      <c r="E187">
        <v>58765.58</v>
      </c>
      <c r="F187">
        <v>-360.78</v>
      </c>
      <c r="G187">
        <v>-0.61</v>
      </c>
      <c r="H187">
        <v>1.02</v>
      </c>
      <c r="I187">
        <v>1362.03</v>
      </c>
      <c r="J187">
        <v>30.67</v>
      </c>
      <c r="K187">
        <v>3.76</v>
      </c>
      <c r="L187">
        <v>0.92</v>
      </c>
    </row>
    <row r="188" spans="1:12" x14ac:dyDescent="0.3">
      <c r="A188" s="1">
        <v>44473</v>
      </c>
      <c r="B188">
        <v>59143</v>
      </c>
      <c r="C188">
        <v>59548.82</v>
      </c>
      <c r="D188">
        <v>58952.11</v>
      </c>
      <c r="E188">
        <v>59299.32</v>
      </c>
      <c r="F188">
        <v>533.74</v>
      </c>
      <c r="G188">
        <v>0.91</v>
      </c>
      <c r="H188">
        <v>1</v>
      </c>
      <c r="I188">
        <v>1011.12</v>
      </c>
      <c r="J188">
        <v>30.77</v>
      </c>
      <c r="K188">
        <v>3.78</v>
      </c>
      <c r="L188">
        <v>0.91</v>
      </c>
    </row>
    <row r="189" spans="1:12" x14ac:dyDescent="0.3">
      <c r="A189" s="1">
        <v>44474</v>
      </c>
      <c r="B189">
        <v>59320.14</v>
      </c>
      <c r="C189">
        <v>59778.87</v>
      </c>
      <c r="D189">
        <v>59127.040000000001</v>
      </c>
      <c r="E189">
        <v>59744.88</v>
      </c>
      <c r="F189">
        <v>445.56</v>
      </c>
      <c r="G189">
        <v>0.75</v>
      </c>
      <c r="H189">
        <v>1.29</v>
      </c>
      <c r="I189">
        <v>915.96</v>
      </c>
      <c r="J189">
        <v>30.94</v>
      </c>
      <c r="K189">
        <v>3.8</v>
      </c>
      <c r="L189">
        <v>0.91</v>
      </c>
    </row>
    <row r="190" spans="1:12" x14ac:dyDescent="0.3">
      <c r="A190" s="1">
        <v>44475</v>
      </c>
      <c r="B190">
        <v>59942</v>
      </c>
      <c r="C190">
        <v>59963.57</v>
      </c>
      <c r="D190">
        <v>59079.86</v>
      </c>
      <c r="E190">
        <v>59189.73</v>
      </c>
      <c r="F190">
        <v>-555.15</v>
      </c>
      <c r="G190">
        <v>-0.93</v>
      </c>
      <c r="H190" t="s">
        <v>13</v>
      </c>
      <c r="J190">
        <v>30.63</v>
      </c>
      <c r="K190">
        <v>3.76</v>
      </c>
      <c r="L190">
        <v>0.92</v>
      </c>
    </row>
    <row r="191" spans="1:12" x14ac:dyDescent="0.3">
      <c r="A191" s="1">
        <v>44476</v>
      </c>
      <c r="B191">
        <v>59632.81</v>
      </c>
      <c r="C191">
        <v>59914.91</v>
      </c>
      <c r="D191">
        <v>59597.06</v>
      </c>
      <c r="E191">
        <v>59677.83</v>
      </c>
      <c r="F191">
        <v>488.1</v>
      </c>
      <c r="G191">
        <v>0.82</v>
      </c>
      <c r="H191">
        <v>0.56999999999999995</v>
      </c>
      <c r="I191">
        <v>677.18</v>
      </c>
      <c r="J191">
        <v>30.93</v>
      </c>
      <c r="K191">
        <v>3.8</v>
      </c>
      <c r="L191">
        <v>0.91</v>
      </c>
    </row>
    <row r="192" spans="1:12" x14ac:dyDescent="0.3">
      <c r="A192" s="1">
        <v>44477</v>
      </c>
      <c r="B192">
        <v>59960.39</v>
      </c>
      <c r="C192">
        <v>60212.3</v>
      </c>
      <c r="D192">
        <v>59830.93</v>
      </c>
      <c r="E192">
        <v>60059.06</v>
      </c>
      <c r="F192">
        <v>381.23</v>
      </c>
      <c r="G192">
        <v>0.64</v>
      </c>
      <c r="H192">
        <v>0.56999999999999995</v>
      </c>
      <c r="I192">
        <v>674.29</v>
      </c>
      <c r="J192">
        <v>31.13</v>
      </c>
      <c r="K192">
        <v>3.82</v>
      </c>
      <c r="L192">
        <v>0.9</v>
      </c>
    </row>
    <row r="193" spans="1:12" x14ac:dyDescent="0.3">
      <c r="A193" s="1">
        <v>44480</v>
      </c>
      <c r="B193">
        <v>60099.68</v>
      </c>
      <c r="C193">
        <v>60476.13</v>
      </c>
      <c r="D193">
        <v>59811.42</v>
      </c>
      <c r="E193">
        <v>60135.78</v>
      </c>
      <c r="F193">
        <v>76.72</v>
      </c>
      <c r="G193">
        <v>0.13</v>
      </c>
      <c r="H193">
        <v>4.25</v>
      </c>
      <c r="I193">
        <v>5300.42</v>
      </c>
      <c r="J193">
        <v>31.01</v>
      </c>
      <c r="K193">
        <v>3.82</v>
      </c>
      <c r="L193">
        <v>0.91</v>
      </c>
    </row>
    <row r="194" spans="1:12" x14ac:dyDescent="0.3">
      <c r="A194" s="1">
        <v>44481</v>
      </c>
      <c r="B194">
        <v>60045.75</v>
      </c>
      <c r="C194">
        <v>60331.74</v>
      </c>
      <c r="D194">
        <v>59885.39</v>
      </c>
      <c r="E194">
        <v>60284.31</v>
      </c>
      <c r="F194">
        <v>148.53</v>
      </c>
      <c r="G194">
        <v>0.25</v>
      </c>
      <c r="H194">
        <v>0.65</v>
      </c>
      <c r="I194">
        <v>723.74</v>
      </c>
      <c r="J194">
        <v>31.04</v>
      </c>
      <c r="K194">
        <v>3.82</v>
      </c>
      <c r="L194">
        <v>0.9</v>
      </c>
    </row>
    <row r="195" spans="1:12" x14ac:dyDescent="0.3">
      <c r="A195" s="1">
        <v>44482</v>
      </c>
      <c r="B195">
        <v>60619.91</v>
      </c>
      <c r="C195">
        <v>60836.63</v>
      </c>
      <c r="D195">
        <v>60452.29</v>
      </c>
      <c r="E195">
        <v>60737.05</v>
      </c>
      <c r="F195">
        <v>452.74</v>
      </c>
      <c r="G195">
        <v>0.75</v>
      </c>
      <c r="H195">
        <v>0.85</v>
      </c>
      <c r="I195">
        <v>748.27</v>
      </c>
      <c r="J195">
        <v>31.45</v>
      </c>
      <c r="K195">
        <v>3.87</v>
      </c>
      <c r="L195">
        <v>0.89</v>
      </c>
    </row>
    <row r="196" spans="1:12" x14ac:dyDescent="0.3">
      <c r="A196" s="1">
        <v>44483</v>
      </c>
      <c r="B196">
        <v>61088.82</v>
      </c>
      <c r="C196">
        <v>61353.25</v>
      </c>
      <c r="D196">
        <v>60978.04</v>
      </c>
      <c r="E196">
        <v>61305.95</v>
      </c>
      <c r="F196">
        <v>568.9</v>
      </c>
      <c r="G196">
        <v>0.94</v>
      </c>
      <c r="H196">
        <v>1.26</v>
      </c>
      <c r="I196">
        <v>908.45</v>
      </c>
      <c r="J196">
        <v>31.84</v>
      </c>
      <c r="K196">
        <v>3.92</v>
      </c>
      <c r="L196">
        <v>0.88</v>
      </c>
    </row>
    <row r="197" spans="1:12" x14ac:dyDescent="0.3">
      <c r="A197" s="1">
        <v>44487</v>
      </c>
      <c r="B197">
        <v>61817.32</v>
      </c>
      <c r="C197">
        <v>61963.07</v>
      </c>
      <c r="D197">
        <v>61624.65</v>
      </c>
      <c r="E197">
        <v>61765.59</v>
      </c>
      <c r="F197">
        <v>459.64</v>
      </c>
      <c r="G197">
        <v>0.75</v>
      </c>
      <c r="H197">
        <v>1.18</v>
      </c>
      <c r="I197">
        <v>939.43</v>
      </c>
      <c r="J197">
        <v>31.81</v>
      </c>
      <c r="K197">
        <v>3.93</v>
      </c>
      <c r="L197">
        <v>0.88</v>
      </c>
    </row>
    <row r="198" spans="1:12" x14ac:dyDescent="0.3">
      <c r="A198" s="1">
        <v>44488</v>
      </c>
      <c r="B198">
        <v>62156.480000000003</v>
      </c>
      <c r="C198">
        <v>62245.43</v>
      </c>
      <c r="D198">
        <v>61594.29</v>
      </c>
      <c r="E198">
        <v>61716.05</v>
      </c>
      <c r="F198">
        <v>-49.54</v>
      </c>
      <c r="G198">
        <v>-0.08</v>
      </c>
      <c r="H198">
        <v>0.86</v>
      </c>
      <c r="I198">
        <v>818.8</v>
      </c>
      <c r="J198">
        <v>31.74</v>
      </c>
      <c r="K198">
        <v>3.93</v>
      </c>
      <c r="L198">
        <v>0.88</v>
      </c>
    </row>
    <row r="199" spans="1:12" x14ac:dyDescent="0.3">
      <c r="A199" s="1">
        <v>44489</v>
      </c>
      <c r="B199">
        <v>61800.07</v>
      </c>
      <c r="C199">
        <v>61880.36</v>
      </c>
      <c r="D199">
        <v>61109.29</v>
      </c>
      <c r="E199">
        <v>61259.96</v>
      </c>
      <c r="F199">
        <v>-456.09</v>
      </c>
      <c r="G199">
        <v>-0.74</v>
      </c>
      <c r="H199">
        <v>4.84</v>
      </c>
      <c r="I199">
        <v>5587.52</v>
      </c>
      <c r="J199">
        <v>31.63</v>
      </c>
      <c r="K199">
        <v>3.91</v>
      </c>
      <c r="L199">
        <v>0.9</v>
      </c>
    </row>
    <row r="200" spans="1:12" x14ac:dyDescent="0.3">
      <c r="A200" s="1">
        <v>44490</v>
      </c>
      <c r="B200">
        <v>61557.94</v>
      </c>
      <c r="C200">
        <v>61621.2</v>
      </c>
      <c r="D200">
        <v>60485.65</v>
      </c>
      <c r="E200">
        <v>60923.5</v>
      </c>
      <c r="F200">
        <v>-336.46</v>
      </c>
      <c r="G200">
        <v>-0.55000000000000004</v>
      </c>
      <c r="H200">
        <v>0.73</v>
      </c>
      <c r="I200">
        <v>788.39</v>
      </c>
      <c r="J200">
        <v>31.42</v>
      </c>
      <c r="K200">
        <v>3.89</v>
      </c>
      <c r="L200">
        <v>0.9</v>
      </c>
    </row>
    <row r="201" spans="1:12" x14ac:dyDescent="0.3">
      <c r="A201" s="1">
        <v>44491</v>
      </c>
      <c r="B201">
        <v>61044.54</v>
      </c>
      <c r="C201">
        <v>61420.13</v>
      </c>
      <c r="D201">
        <v>60551.15</v>
      </c>
      <c r="E201">
        <v>60821.62</v>
      </c>
      <c r="F201">
        <v>-101.88</v>
      </c>
      <c r="G201">
        <v>-0.17</v>
      </c>
      <c r="H201">
        <v>0.94</v>
      </c>
      <c r="I201">
        <v>919.5</v>
      </c>
      <c r="J201">
        <v>31.26</v>
      </c>
      <c r="K201">
        <v>3.87</v>
      </c>
      <c r="L201">
        <v>0.9</v>
      </c>
    </row>
    <row r="202" spans="1:12" x14ac:dyDescent="0.3">
      <c r="A202" s="1">
        <v>44494</v>
      </c>
      <c r="B202">
        <v>61398.75</v>
      </c>
      <c r="C202">
        <v>61404.99</v>
      </c>
      <c r="D202">
        <v>60449.68</v>
      </c>
      <c r="E202">
        <v>60967.05</v>
      </c>
      <c r="F202">
        <v>145.43</v>
      </c>
      <c r="G202">
        <v>0.24</v>
      </c>
      <c r="H202">
        <v>1.05</v>
      </c>
      <c r="I202">
        <v>1071.05</v>
      </c>
      <c r="J202">
        <v>31.02</v>
      </c>
      <c r="K202">
        <v>3.83</v>
      </c>
      <c r="L202">
        <v>0.9</v>
      </c>
    </row>
    <row r="203" spans="1:12" x14ac:dyDescent="0.3">
      <c r="A203" s="1">
        <v>44495</v>
      </c>
      <c r="B203">
        <v>60997.9</v>
      </c>
      <c r="C203">
        <v>61497.71</v>
      </c>
      <c r="D203">
        <v>60791.29</v>
      </c>
      <c r="E203">
        <v>61350.26</v>
      </c>
      <c r="F203">
        <v>383.21</v>
      </c>
      <c r="G203">
        <v>0.63</v>
      </c>
      <c r="H203">
        <v>0.67</v>
      </c>
      <c r="I203">
        <v>787.79</v>
      </c>
      <c r="J203">
        <v>31.23</v>
      </c>
      <c r="K203">
        <v>3.85</v>
      </c>
      <c r="L203">
        <v>0.89</v>
      </c>
    </row>
    <row r="204" spans="1:12" x14ac:dyDescent="0.3">
      <c r="A204" s="1">
        <v>44496</v>
      </c>
      <c r="B204">
        <v>61499.7</v>
      </c>
      <c r="C204">
        <v>61576.85</v>
      </c>
      <c r="D204">
        <v>60989.39</v>
      </c>
      <c r="E204">
        <v>61143.33</v>
      </c>
      <c r="F204">
        <v>-206.93</v>
      </c>
      <c r="G204">
        <v>-0.34</v>
      </c>
      <c r="H204" t="s">
        <v>13</v>
      </c>
      <c r="J204">
        <v>31.12</v>
      </c>
      <c r="K204">
        <v>3.84</v>
      </c>
      <c r="L204">
        <v>0.9</v>
      </c>
    </row>
    <row r="205" spans="1:12" x14ac:dyDescent="0.3">
      <c r="A205" s="1">
        <v>44497</v>
      </c>
      <c r="B205">
        <v>61081</v>
      </c>
      <c r="C205">
        <v>61081</v>
      </c>
      <c r="D205">
        <v>59777.58</v>
      </c>
      <c r="E205">
        <v>59984.7</v>
      </c>
      <c r="F205">
        <v>-1158.6300000000001</v>
      </c>
      <c r="G205">
        <v>-1.89</v>
      </c>
      <c r="H205" t="s">
        <v>13</v>
      </c>
      <c r="J205">
        <v>30.34</v>
      </c>
      <c r="K205">
        <v>3.76</v>
      </c>
      <c r="L205">
        <v>0.94</v>
      </c>
    </row>
    <row r="206" spans="1:12" x14ac:dyDescent="0.3">
      <c r="A206" s="1">
        <v>44498</v>
      </c>
      <c r="B206">
        <v>59857.33</v>
      </c>
      <c r="C206">
        <v>60132.81</v>
      </c>
      <c r="D206">
        <v>59089.37</v>
      </c>
      <c r="E206">
        <v>59306.93</v>
      </c>
      <c r="F206">
        <v>-677.77</v>
      </c>
      <c r="G206">
        <v>-1.1299999999999999</v>
      </c>
      <c r="H206">
        <v>0.9</v>
      </c>
      <c r="I206">
        <v>835.09</v>
      </c>
      <c r="J206">
        <v>29.57</v>
      </c>
      <c r="K206">
        <v>3.72</v>
      </c>
      <c r="L206">
        <v>0.95</v>
      </c>
    </row>
    <row r="207" spans="1:12" x14ac:dyDescent="0.3">
      <c r="A207" s="1">
        <v>44501</v>
      </c>
      <c r="B207">
        <v>59577.48</v>
      </c>
      <c r="C207">
        <v>60220.21</v>
      </c>
      <c r="D207">
        <v>59355.12</v>
      </c>
      <c r="E207">
        <v>60138.46</v>
      </c>
      <c r="F207">
        <v>831.53</v>
      </c>
      <c r="G207">
        <v>1.4</v>
      </c>
      <c r="H207">
        <v>0.72</v>
      </c>
      <c r="I207">
        <v>823.43</v>
      </c>
      <c r="J207">
        <v>30.36</v>
      </c>
      <c r="K207">
        <v>3.75</v>
      </c>
      <c r="L207">
        <v>0.94</v>
      </c>
    </row>
    <row r="208" spans="1:12" x14ac:dyDescent="0.3">
      <c r="A208" s="1">
        <v>44502</v>
      </c>
      <c r="B208">
        <v>60360.61</v>
      </c>
      <c r="C208">
        <v>60421.14</v>
      </c>
      <c r="D208">
        <v>59881.75</v>
      </c>
      <c r="E208">
        <v>60029.06</v>
      </c>
      <c r="F208">
        <v>-109.4</v>
      </c>
      <c r="G208">
        <v>-0.18</v>
      </c>
      <c r="H208">
        <v>0.6</v>
      </c>
      <c r="I208">
        <v>664.28</v>
      </c>
      <c r="J208">
        <v>30.37</v>
      </c>
      <c r="K208">
        <v>3.76</v>
      </c>
      <c r="L208">
        <v>0.94</v>
      </c>
    </row>
    <row r="209" spans="1:12" x14ac:dyDescent="0.3">
      <c r="A209" s="1">
        <v>44503</v>
      </c>
      <c r="B209">
        <v>60275.21</v>
      </c>
      <c r="C209">
        <v>60361.82</v>
      </c>
      <c r="D209">
        <v>59552.49</v>
      </c>
      <c r="E209">
        <v>59771.92</v>
      </c>
      <c r="F209">
        <v>-257.14</v>
      </c>
      <c r="G209">
        <v>-0.43</v>
      </c>
      <c r="H209">
        <v>0.85</v>
      </c>
      <c r="I209">
        <v>742.28</v>
      </c>
      <c r="J209">
        <v>30.28</v>
      </c>
      <c r="K209">
        <v>3.74</v>
      </c>
      <c r="L209">
        <v>0.94</v>
      </c>
    </row>
    <row r="210" spans="1:12" x14ac:dyDescent="0.3">
      <c r="A210" s="1">
        <v>44504</v>
      </c>
      <c r="B210">
        <v>60207.97</v>
      </c>
      <c r="C210">
        <v>60207.97</v>
      </c>
      <c r="D210">
        <v>60011.46</v>
      </c>
      <c r="E210">
        <v>60067.62</v>
      </c>
      <c r="F210">
        <v>295.7</v>
      </c>
      <c r="G210">
        <v>0.49</v>
      </c>
      <c r="H210" t="s">
        <v>13</v>
      </c>
      <c r="J210">
        <v>29.89</v>
      </c>
      <c r="K210">
        <v>3.75</v>
      </c>
      <c r="L210">
        <v>0.94</v>
      </c>
    </row>
    <row r="211" spans="1:12" x14ac:dyDescent="0.3">
      <c r="A211" s="1">
        <v>44508</v>
      </c>
      <c r="B211">
        <v>60385.760000000002</v>
      </c>
      <c r="C211">
        <v>60609.16</v>
      </c>
      <c r="D211">
        <v>59779.19</v>
      </c>
      <c r="E211">
        <v>60545.61</v>
      </c>
      <c r="F211">
        <v>477.99</v>
      </c>
      <c r="G211">
        <v>0.8</v>
      </c>
      <c r="H211">
        <v>0.75</v>
      </c>
      <c r="I211">
        <v>793.52</v>
      </c>
      <c r="J211">
        <v>29.49</v>
      </c>
      <c r="K211">
        <v>3.75</v>
      </c>
      <c r="L211">
        <v>0.93</v>
      </c>
    </row>
    <row r="212" spans="1:12" x14ac:dyDescent="0.3">
      <c r="A212" s="1">
        <v>44509</v>
      </c>
      <c r="B212">
        <v>60609.72</v>
      </c>
      <c r="C212">
        <v>60670.47</v>
      </c>
      <c r="D212">
        <v>60213.64</v>
      </c>
      <c r="E212">
        <v>60433.45</v>
      </c>
      <c r="F212">
        <v>-112.16</v>
      </c>
      <c r="G212">
        <v>-0.19</v>
      </c>
      <c r="H212">
        <v>0.62</v>
      </c>
      <c r="I212">
        <v>636.16</v>
      </c>
      <c r="J212">
        <v>29.43</v>
      </c>
      <c r="K212">
        <v>3.74</v>
      </c>
      <c r="L212">
        <v>0.93</v>
      </c>
    </row>
    <row r="213" spans="1:12" x14ac:dyDescent="0.3">
      <c r="A213" s="1">
        <v>44510</v>
      </c>
      <c r="B213">
        <v>60295.26</v>
      </c>
      <c r="C213">
        <v>60506.5</v>
      </c>
      <c r="D213">
        <v>59967.45</v>
      </c>
      <c r="E213">
        <v>60352.82</v>
      </c>
      <c r="F213">
        <v>-80.63</v>
      </c>
      <c r="G213">
        <v>-0.13</v>
      </c>
      <c r="H213">
        <v>0.75</v>
      </c>
      <c r="I213">
        <v>767.96</v>
      </c>
      <c r="J213">
        <v>29.14</v>
      </c>
      <c r="K213">
        <v>3.7</v>
      </c>
      <c r="L213">
        <v>0.94</v>
      </c>
    </row>
    <row r="214" spans="1:12" x14ac:dyDescent="0.3">
      <c r="A214" s="1">
        <v>44511</v>
      </c>
      <c r="B214">
        <v>60291.7</v>
      </c>
      <c r="C214">
        <v>60293.25</v>
      </c>
      <c r="D214">
        <v>59656.26</v>
      </c>
      <c r="E214">
        <v>59919.69</v>
      </c>
      <c r="F214">
        <v>-433.13</v>
      </c>
      <c r="G214">
        <v>-0.72</v>
      </c>
      <c r="H214">
        <v>0.62</v>
      </c>
      <c r="I214">
        <v>710.77</v>
      </c>
      <c r="J214">
        <v>28.81</v>
      </c>
      <c r="K214">
        <v>3.67</v>
      </c>
      <c r="L214">
        <v>0.95</v>
      </c>
    </row>
    <row r="215" spans="1:12" x14ac:dyDescent="0.3">
      <c r="A215" s="1">
        <v>44512</v>
      </c>
      <c r="B215">
        <v>60248.04</v>
      </c>
      <c r="C215">
        <v>60750.720000000001</v>
      </c>
      <c r="D215">
        <v>59997.96</v>
      </c>
      <c r="E215">
        <v>60686.69</v>
      </c>
      <c r="F215">
        <v>767</v>
      </c>
      <c r="G215">
        <v>1.28</v>
      </c>
      <c r="H215">
        <v>0.69</v>
      </c>
      <c r="I215">
        <v>698.01</v>
      </c>
      <c r="J215">
        <v>29.31</v>
      </c>
      <c r="K215">
        <v>3.74</v>
      </c>
      <c r="L215">
        <v>0.93</v>
      </c>
    </row>
    <row r="216" spans="1:12" x14ac:dyDescent="0.3">
      <c r="A216" s="1">
        <v>44515</v>
      </c>
      <c r="B216">
        <v>60837.4</v>
      </c>
      <c r="C216">
        <v>61036.56</v>
      </c>
      <c r="D216">
        <v>60597.36</v>
      </c>
      <c r="E216">
        <v>60718.71</v>
      </c>
      <c r="F216">
        <v>32.020000000000003</v>
      </c>
      <c r="G216">
        <v>0.05</v>
      </c>
      <c r="H216">
        <v>0.71</v>
      </c>
      <c r="I216">
        <v>599.91999999999996</v>
      </c>
      <c r="J216">
        <v>29.31</v>
      </c>
      <c r="K216">
        <v>3.74</v>
      </c>
      <c r="L216">
        <v>0.93</v>
      </c>
    </row>
    <row r="217" spans="1:12" x14ac:dyDescent="0.3">
      <c r="A217" s="1">
        <v>44516</v>
      </c>
      <c r="B217">
        <v>60755.38</v>
      </c>
      <c r="C217">
        <v>60802.79</v>
      </c>
      <c r="D217">
        <v>60199.56</v>
      </c>
      <c r="E217">
        <v>60322.37</v>
      </c>
      <c r="F217">
        <v>-396.34</v>
      </c>
      <c r="G217">
        <v>-0.65</v>
      </c>
      <c r="H217">
        <v>0.63</v>
      </c>
      <c r="I217">
        <v>682.67</v>
      </c>
      <c r="J217">
        <v>28.32</v>
      </c>
      <c r="K217">
        <v>3.69</v>
      </c>
      <c r="L217">
        <v>0.93</v>
      </c>
    </row>
    <row r="218" spans="1:12" x14ac:dyDescent="0.3">
      <c r="A218" s="1">
        <v>44517</v>
      </c>
      <c r="B218">
        <v>60179.93</v>
      </c>
      <c r="C218">
        <v>60426.61</v>
      </c>
      <c r="D218">
        <v>59944.77</v>
      </c>
      <c r="E218">
        <v>60008.33</v>
      </c>
      <c r="F218">
        <v>-314.04000000000002</v>
      </c>
      <c r="G218">
        <v>-0.52</v>
      </c>
      <c r="H218">
        <v>1.99</v>
      </c>
      <c r="I218">
        <v>1515.41</v>
      </c>
      <c r="J218">
        <v>28.21</v>
      </c>
      <c r="K218">
        <v>3.68</v>
      </c>
      <c r="L218">
        <v>0.94</v>
      </c>
    </row>
    <row r="219" spans="1:12" x14ac:dyDescent="0.3">
      <c r="A219" s="1">
        <v>44518</v>
      </c>
      <c r="B219">
        <v>59968.75</v>
      </c>
      <c r="C219">
        <v>60177.52</v>
      </c>
      <c r="D219">
        <v>59376.5</v>
      </c>
      <c r="E219">
        <v>59636.01</v>
      </c>
      <c r="F219">
        <v>-372.32</v>
      </c>
      <c r="G219">
        <v>-0.62</v>
      </c>
      <c r="H219">
        <v>0.78</v>
      </c>
      <c r="I219">
        <v>753.53</v>
      </c>
      <c r="J219">
        <v>28.1</v>
      </c>
      <c r="K219">
        <v>3.66</v>
      </c>
      <c r="L219">
        <v>0.94</v>
      </c>
    </row>
    <row r="220" spans="1:12" x14ac:dyDescent="0.3">
      <c r="A220" s="1">
        <v>44522</v>
      </c>
      <c r="B220">
        <v>59710.48</v>
      </c>
      <c r="C220">
        <v>59778.37</v>
      </c>
      <c r="D220">
        <v>58011.92</v>
      </c>
      <c r="E220">
        <v>58465.89</v>
      </c>
      <c r="F220">
        <v>-1170.1199999999999</v>
      </c>
      <c r="G220">
        <v>-1.96</v>
      </c>
      <c r="H220">
        <v>1.06</v>
      </c>
      <c r="I220">
        <v>1073.9100000000001</v>
      </c>
      <c r="J220">
        <v>27.42</v>
      </c>
      <c r="K220">
        <v>3.57</v>
      </c>
      <c r="L220">
        <v>0.97</v>
      </c>
    </row>
    <row r="221" spans="1:12" x14ac:dyDescent="0.3">
      <c r="A221" s="1">
        <v>44523</v>
      </c>
      <c r="B221">
        <v>57983.95</v>
      </c>
      <c r="C221">
        <v>58834.95</v>
      </c>
      <c r="D221">
        <v>57718.34</v>
      </c>
      <c r="E221">
        <v>58664.33</v>
      </c>
      <c r="F221">
        <v>198.44</v>
      </c>
      <c r="G221">
        <v>0.34</v>
      </c>
      <c r="H221">
        <v>1.2</v>
      </c>
      <c r="I221">
        <v>1167.1400000000001</v>
      </c>
      <c r="J221">
        <v>27.53</v>
      </c>
      <c r="K221">
        <v>3.59</v>
      </c>
      <c r="L221">
        <v>0.96</v>
      </c>
    </row>
    <row r="222" spans="1:12" x14ac:dyDescent="0.3">
      <c r="A222" s="1">
        <v>44524</v>
      </c>
      <c r="B222">
        <v>58839.32</v>
      </c>
      <c r="C222">
        <v>58968.12</v>
      </c>
      <c r="D222">
        <v>58143.44</v>
      </c>
      <c r="E222">
        <v>58340.99</v>
      </c>
      <c r="F222">
        <v>-323.33999999999997</v>
      </c>
      <c r="G222">
        <v>-0.55000000000000004</v>
      </c>
      <c r="H222">
        <v>0.88</v>
      </c>
      <c r="I222">
        <v>1064.97</v>
      </c>
      <c r="J222">
        <v>27.42</v>
      </c>
      <c r="K222">
        <v>3.57</v>
      </c>
      <c r="L222">
        <v>0.97</v>
      </c>
    </row>
    <row r="223" spans="1:12" x14ac:dyDescent="0.3">
      <c r="A223" s="1">
        <v>44525</v>
      </c>
      <c r="B223">
        <v>58363.93</v>
      </c>
      <c r="C223">
        <v>58901.58</v>
      </c>
      <c r="D223">
        <v>58143.86</v>
      </c>
      <c r="E223">
        <v>58795.09</v>
      </c>
      <c r="F223">
        <v>454.1</v>
      </c>
      <c r="G223">
        <v>0.78</v>
      </c>
      <c r="H223">
        <v>0.68</v>
      </c>
      <c r="I223">
        <v>676.19</v>
      </c>
      <c r="J223">
        <v>27.58</v>
      </c>
      <c r="K223">
        <v>3.6</v>
      </c>
      <c r="L223">
        <v>0.96</v>
      </c>
    </row>
    <row r="224" spans="1:12" x14ac:dyDescent="0.3">
      <c r="A224" s="1">
        <v>44526</v>
      </c>
      <c r="B224">
        <v>58254.79</v>
      </c>
      <c r="C224">
        <v>58254.79</v>
      </c>
      <c r="D224">
        <v>56993.89</v>
      </c>
      <c r="E224">
        <v>57107.15</v>
      </c>
      <c r="F224">
        <v>-1687.94</v>
      </c>
      <c r="G224">
        <v>-2.87</v>
      </c>
      <c r="H224">
        <v>0.84</v>
      </c>
      <c r="I224">
        <v>852</v>
      </c>
      <c r="J224">
        <v>26.7</v>
      </c>
      <c r="K224">
        <v>3.48</v>
      </c>
      <c r="L224">
        <v>0.99</v>
      </c>
    </row>
    <row r="225" spans="1:12" x14ac:dyDescent="0.3">
      <c r="A225" s="1">
        <v>44529</v>
      </c>
      <c r="B225">
        <v>57028.04</v>
      </c>
      <c r="C225">
        <v>57626.51</v>
      </c>
      <c r="D225">
        <v>56382.93</v>
      </c>
      <c r="E225">
        <v>57260.58</v>
      </c>
      <c r="F225">
        <v>153.43</v>
      </c>
      <c r="G225">
        <v>0.27</v>
      </c>
      <c r="H225">
        <v>0.84</v>
      </c>
      <c r="I225">
        <v>800.86</v>
      </c>
      <c r="J225">
        <v>26.81</v>
      </c>
      <c r="K225">
        <v>3.5</v>
      </c>
      <c r="L225">
        <v>0.99</v>
      </c>
    </row>
    <row r="226" spans="1:12" x14ac:dyDescent="0.3">
      <c r="A226" s="1">
        <v>44530</v>
      </c>
      <c r="B226">
        <v>57272.08</v>
      </c>
      <c r="C226">
        <v>58183.77</v>
      </c>
      <c r="D226">
        <v>56867.51</v>
      </c>
      <c r="E226">
        <v>57064.87</v>
      </c>
      <c r="F226">
        <v>-195.71</v>
      </c>
      <c r="G226">
        <v>-0.34</v>
      </c>
      <c r="H226" t="s">
        <v>13</v>
      </c>
      <c r="J226">
        <v>26.75</v>
      </c>
      <c r="K226">
        <v>3.49</v>
      </c>
      <c r="L226">
        <v>0.99</v>
      </c>
    </row>
    <row r="227" spans="1:12" x14ac:dyDescent="0.3">
      <c r="A227" s="1">
        <v>44531</v>
      </c>
      <c r="B227">
        <v>57365.85</v>
      </c>
      <c r="C227">
        <v>57846.45</v>
      </c>
      <c r="D227">
        <v>57346.78</v>
      </c>
      <c r="E227">
        <v>57684.79</v>
      </c>
      <c r="F227">
        <v>619.91999999999996</v>
      </c>
      <c r="G227">
        <v>1.0900000000000001</v>
      </c>
      <c r="H227">
        <v>1.17</v>
      </c>
      <c r="I227">
        <v>1429.38</v>
      </c>
      <c r="J227">
        <v>27.11</v>
      </c>
      <c r="K227">
        <v>3.54</v>
      </c>
      <c r="L227">
        <v>0.98</v>
      </c>
    </row>
    <row r="228" spans="1:12" x14ac:dyDescent="0.3">
      <c r="A228" s="1">
        <v>44532</v>
      </c>
      <c r="B228">
        <v>57781.48</v>
      </c>
      <c r="C228">
        <v>58513.93</v>
      </c>
      <c r="D228">
        <v>57680.41</v>
      </c>
      <c r="E228">
        <v>58461.29</v>
      </c>
      <c r="F228">
        <v>776.5</v>
      </c>
      <c r="G228">
        <v>1.35</v>
      </c>
      <c r="H228">
        <v>0.81</v>
      </c>
      <c r="I228">
        <v>766.42</v>
      </c>
      <c r="J228">
        <v>27.42</v>
      </c>
      <c r="K228">
        <v>3.58</v>
      </c>
      <c r="L228">
        <v>0.96</v>
      </c>
    </row>
    <row r="229" spans="1:12" x14ac:dyDescent="0.3">
      <c r="A229" s="1">
        <v>44533</v>
      </c>
      <c r="B229">
        <v>58555.58</v>
      </c>
      <c r="C229">
        <v>58757.09</v>
      </c>
      <c r="D229">
        <v>57640.57</v>
      </c>
      <c r="E229">
        <v>57696.46</v>
      </c>
      <c r="F229">
        <v>-764.83</v>
      </c>
      <c r="G229">
        <v>-1.31</v>
      </c>
      <c r="H229">
        <v>0.85</v>
      </c>
      <c r="I229">
        <v>853.79</v>
      </c>
      <c r="J229">
        <v>27.04</v>
      </c>
      <c r="K229">
        <v>3.53</v>
      </c>
      <c r="L229">
        <v>0.98</v>
      </c>
    </row>
    <row r="230" spans="1:12" x14ac:dyDescent="0.3">
      <c r="A230" s="1">
        <v>44536</v>
      </c>
      <c r="B230">
        <v>57778.01</v>
      </c>
      <c r="C230">
        <v>57781.46</v>
      </c>
      <c r="D230">
        <v>56687.62</v>
      </c>
      <c r="E230">
        <v>56747.14</v>
      </c>
      <c r="F230">
        <v>-949.32</v>
      </c>
      <c r="G230">
        <v>-1.65</v>
      </c>
      <c r="H230">
        <v>0.72</v>
      </c>
      <c r="I230">
        <v>689.02</v>
      </c>
      <c r="J230">
        <v>26.57</v>
      </c>
      <c r="K230">
        <v>3.47</v>
      </c>
      <c r="L230">
        <v>1</v>
      </c>
    </row>
    <row r="231" spans="1:12" x14ac:dyDescent="0.3">
      <c r="A231" s="1">
        <v>44537</v>
      </c>
      <c r="B231">
        <v>57125.98</v>
      </c>
      <c r="C231">
        <v>57905.63</v>
      </c>
      <c r="D231">
        <v>56992.27</v>
      </c>
      <c r="E231">
        <v>57633.65</v>
      </c>
      <c r="F231">
        <v>886.51</v>
      </c>
      <c r="G231">
        <v>1.56</v>
      </c>
      <c r="H231">
        <v>1.0900000000000001</v>
      </c>
      <c r="I231">
        <v>979.12</v>
      </c>
      <c r="J231">
        <v>26.96</v>
      </c>
      <c r="K231">
        <v>3.52</v>
      </c>
      <c r="L231">
        <v>0.98</v>
      </c>
    </row>
    <row r="232" spans="1:12" x14ac:dyDescent="0.3">
      <c r="A232" s="1">
        <v>44538</v>
      </c>
      <c r="B232">
        <v>58158.559999999998</v>
      </c>
      <c r="C232">
        <v>58702.65</v>
      </c>
      <c r="D232">
        <v>58122.27</v>
      </c>
      <c r="E232">
        <v>58649.68</v>
      </c>
      <c r="F232">
        <v>1016.03</v>
      </c>
      <c r="G232">
        <v>1.76</v>
      </c>
      <c r="H232">
        <v>1.34</v>
      </c>
      <c r="I232">
        <v>1436.71</v>
      </c>
      <c r="J232">
        <v>27.47</v>
      </c>
      <c r="K232">
        <v>3.58</v>
      </c>
      <c r="L232">
        <v>0.96</v>
      </c>
    </row>
    <row r="233" spans="1:12" x14ac:dyDescent="0.3">
      <c r="A233" s="1">
        <v>44539</v>
      </c>
      <c r="B233">
        <v>58831.41</v>
      </c>
      <c r="C233">
        <v>58889.96</v>
      </c>
      <c r="D233">
        <v>58340.85</v>
      </c>
      <c r="E233">
        <v>58807.13</v>
      </c>
      <c r="F233">
        <v>157.44999999999999</v>
      </c>
      <c r="G233">
        <v>0.27</v>
      </c>
      <c r="H233">
        <v>0.79</v>
      </c>
      <c r="I233">
        <v>643.76</v>
      </c>
      <c r="J233">
        <v>27.52</v>
      </c>
      <c r="K233">
        <v>3.59</v>
      </c>
      <c r="L233">
        <v>0.96</v>
      </c>
    </row>
    <row r="234" spans="1:12" x14ac:dyDescent="0.3">
      <c r="A234" s="1">
        <v>44540</v>
      </c>
      <c r="B234">
        <v>58696.71</v>
      </c>
      <c r="C234">
        <v>58859.91</v>
      </c>
      <c r="D234">
        <v>58414.76</v>
      </c>
      <c r="E234">
        <v>58786.67</v>
      </c>
      <c r="F234">
        <v>-20.46</v>
      </c>
      <c r="G234">
        <v>-0.03</v>
      </c>
      <c r="H234">
        <v>0.56000000000000005</v>
      </c>
      <c r="I234">
        <v>499.25</v>
      </c>
      <c r="J234">
        <v>27.42</v>
      </c>
      <c r="K234">
        <v>3.58</v>
      </c>
      <c r="L234">
        <v>0.97</v>
      </c>
    </row>
    <row r="235" spans="1:12" x14ac:dyDescent="0.3">
      <c r="A235" s="1">
        <v>44543</v>
      </c>
      <c r="B235">
        <v>59103.72</v>
      </c>
      <c r="C235">
        <v>59203.37</v>
      </c>
      <c r="D235">
        <v>58242.8</v>
      </c>
      <c r="E235">
        <v>58283.42</v>
      </c>
      <c r="F235">
        <v>-503.25</v>
      </c>
      <c r="G235">
        <v>-0.86</v>
      </c>
      <c r="H235">
        <v>0.59</v>
      </c>
      <c r="I235">
        <v>578.03</v>
      </c>
      <c r="J235">
        <v>27.32</v>
      </c>
      <c r="K235">
        <v>3.57</v>
      </c>
      <c r="L235">
        <v>0.97</v>
      </c>
    </row>
    <row r="236" spans="1:12" x14ac:dyDescent="0.3">
      <c r="A236" s="1">
        <v>44544</v>
      </c>
      <c r="B236">
        <v>58059.76</v>
      </c>
      <c r="C236">
        <v>58322.42</v>
      </c>
      <c r="D236">
        <v>57803.87</v>
      </c>
      <c r="E236">
        <v>58117.09</v>
      </c>
      <c r="F236">
        <v>-166.33</v>
      </c>
      <c r="G236">
        <v>-0.28999999999999998</v>
      </c>
      <c r="H236">
        <v>0.68</v>
      </c>
      <c r="I236">
        <v>560.98</v>
      </c>
      <c r="J236">
        <v>27.2</v>
      </c>
      <c r="K236">
        <v>3.55</v>
      </c>
      <c r="L236">
        <v>0.97</v>
      </c>
    </row>
    <row r="237" spans="1:12" x14ac:dyDescent="0.3">
      <c r="A237" s="1">
        <v>44545</v>
      </c>
      <c r="B237">
        <v>58122</v>
      </c>
      <c r="C237">
        <v>58218.25</v>
      </c>
      <c r="D237">
        <v>57671.61</v>
      </c>
      <c r="E237">
        <v>57788.03</v>
      </c>
      <c r="F237">
        <v>-329.06</v>
      </c>
      <c r="G237">
        <v>-0.56999999999999995</v>
      </c>
      <c r="H237">
        <v>0.76</v>
      </c>
      <c r="I237">
        <v>754.13</v>
      </c>
      <c r="J237">
        <v>26.98</v>
      </c>
      <c r="K237">
        <v>3.52</v>
      </c>
      <c r="L237">
        <v>0.98</v>
      </c>
    </row>
    <row r="238" spans="1:12" x14ac:dyDescent="0.3">
      <c r="A238" s="1">
        <v>44546</v>
      </c>
      <c r="B238">
        <v>58243.43</v>
      </c>
      <c r="C238">
        <v>58337.2</v>
      </c>
      <c r="D238">
        <v>57683.11</v>
      </c>
      <c r="E238">
        <v>57901.14</v>
      </c>
      <c r="F238">
        <v>113.11</v>
      </c>
      <c r="G238">
        <v>0.2</v>
      </c>
      <c r="H238">
        <v>0.52</v>
      </c>
      <c r="I238">
        <v>528.79999999999995</v>
      </c>
      <c r="J238">
        <v>27.12</v>
      </c>
      <c r="K238">
        <v>3.54</v>
      </c>
      <c r="L238">
        <v>0.98</v>
      </c>
    </row>
    <row r="239" spans="1:12" x14ac:dyDescent="0.3">
      <c r="A239" s="1">
        <v>44547</v>
      </c>
      <c r="B239">
        <v>58021.63</v>
      </c>
      <c r="C239">
        <v>58062.28</v>
      </c>
      <c r="D239">
        <v>56950.98</v>
      </c>
      <c r="E239">
        <v>57011.74</v>
      </c>
      <c r="F239">
        <v>-889.4</v>
      </c>
      <c r="G239">
        <v>-1.54</v>
      </c>
      <c r="H239">
        <v>0.86</v>
      </c>
      <c r="I239">
        <v>843.8</v>
      </c>
      <c r="J239">
        <v>26.76</v>
      </c>
      <c r="K239">
        <v>3.49</v>
      </c>
      <c r="L239">
        <v>0.99</v>
      </c>
    </row>
    <row r="240" spans="1:12" x14ac:dyDescent="0.3">
      <c r="A240" s="1">
        <v>44550</v>
      </c>
      <c r="B240">
        <v>56517.26</v>
      </c>
      <c r="C240">
        <v>56538.15</v>
      </c>
      <c r="D240">
        <v>55132.68</v>
      </c>
      <c r="E240">
        <v>55822.01</v>
      </c>
      <c r="F240">
        <v>-1189.73</v>
      </c>
      <c r="G240">
        <v>-2.09</v>
      </c>
      <c r="H240">
        <v>1.28</v>
      </c>
      <c r="I240">
        <v>1431.62</v>
      </c>
      <c r="J240">
        <v>26.38</v>
      </c>
      <c r="K240">
        <v>3.44</v>
      </c>
      <c r="L240">
        <v>0.98</v>
      </c>
    </row>
    <row r="241" spans="1:12" x14ac:dyDescent="0.3">
      <c r="A241" s="1">
        <v>44551</v>
      </c>
      <c r="B241">
        <v>56320.02</v>
      </c>
      <c r="C241">
        <v>56900.74</v>
      </c>
      <c r="D241">
        <v>56047.22</v>
      </c>
      <c r="E241">
        <v>56319.01</v>
      </c>
      <c r="F241">
        <v>497</v>
      </c>
      <c r="G241">
        <v>0.89</v>
      </c>
      <c r="H241">
        <v>0.74</v>
      </c>
      <c r="I241">
        <v>673.56</v>
      </c>
      <c r="J241">
        <v>26.72</v>
      </c>
      <c r="K241">
        <v>3.48</v>
      </c>
      <c r="L241">
        <v>0.96</v>
      </c>
    </row>
    <row r="242" spans="1:12" x14ac:dyDescent="0.3">
      <c r="A242" s="1">
        <v>44552</v>
      </c>
      <c r="B242">
        <v>56599.47</v>
      </c>
      <c r="C242">
        <v>56989.01</v>
      </c>
      <c r="D242">
        <v>56471.03</v>
      </c>
      <c r="E242">
        <v>56930.559999999998</v>
      </c>
      <c r="F242">
        <v>611.54999999999995</v>
      </c>
      <c r="G242">
        <v>1.0900000000000001</v>
      </c>
      <c r="H242" t="s">
        <v>13</v>
      </c>
      <c r="J242">
        <v>26.96</v>
      </c>
      <c r="K242">
        <v>3.51</v>
      </c>
      <c r="L242">
        <v>0.95</v>
      </c>
    </row>
    <row r="243" spans="1:12" x14ac:dyDescent="0.3">
      <c r="A243" s="1">
        <v>44553</v>
      </c>
      <c r="B243">
        <v>57251.15</v>
      </c>
      <c r="C243">
        <v>57490.52</v>
      </c>
      <c r="D243">
        <v>57146.28</v>
      </c>
      <c r="E243">
        <v>57315.28</v>
      </c>
      <c r="F243">
        <v>384.72</v>
      </c>
      <c r="G243">
        <v>0.68</v>
      </c>
      <c r="H243">
        <v>0.6</v>
      </c>
      <c r="I243">
        <v>516.58000000000004</v>
      </c>
      <c r="J243">
        <v>27.18</v>
      </c>
      <c r="K243">
        <v>3.54</v>
      </c>
      <c r="L243">
        <v>0.95</v>
      </c>
    </row>
    <row r="244" spans="1:12" x14ac:dyDescent="0.3">
      <c r="A244" s="1">
        <v>44554</v>
      </c>
      <c r="B244">
        <v>57567.11</v>
      </c>
      <c r="C244">
        <v>57623.69</v>
      </c>
      <c r="D244">
        <v>56813.42</v>
      </c>
      <c r="E244">
        <v>57124.31</v>
      </c>
      <c r="F244">
        <v>-190.97</v>
      </c>
      <c r="G244">
        <v>-0.33</v>
      </c>
      <c r="H244">
        <v>0.64</v>
      </c>
      <c r="I244">
        <v>583.89</v>
      </c>
      <c r="J244">
        <v>27.11</v>
      </c>
      <c r="K244">
        <v>3.53</v>
      </c>
      <c r="L244">
        <v>0.95</v>
      </c>
    </row>
    <row r="245" spans="1:12" x14ac:dyDescent="0.3">
      <c r="A245" s="1">
        <v>44557</v>
      </c>
      <c r="B245">
        <v>56948.33</v>
      </c>
      <c r="C245">
        <v>57512.01</v>
      </c>
      <c r="D245">
        <v>56543.08</v>
      </c>
      <c r="E245">
        <v>57420.24</v>
      </c>
      <c r="F245">
        <v>295.93</v>
      </c>
      <c r="G245">
        <v>0.52</v>
      </c>
      <c r="H245">
        <v>0.56999999999999995</v>
      </c>
      <c r="I245">
        <v>506.41</v>
      </c>
      <c r="J245">
        <v>27.17</v>
      </c>
      <c r="K245">
        <v>3.54</v>
      </c>
      <c r="L245">
        <v>0.95</v>
      </c>
    </row>
    <row r="246" spans="1:12" x14ac:dyDescent="0.3">
      <c r="A246" s="1">
        <v>44558</v>
      </c>
      <c r="B246">
        <v>57751.21</v>
      </c>
      <c r="C246">
        <v>57952.480000000003</v>
      </c>
      <c r="D246">
        <v>57650.29</v>
      </c>
      <c r="E246">
        <v>57897.48</v>
      </c>
      <c r="F246">
        <v>477.24</v>
      </c>
      <c r="G246">
        <v>0.83</v>
      </c>
      <c r="H246">
        <v>0.55000000000000004</v>
      </c>
      <c r="I246">
        <v>502.49</v>
      </c>
      <c r="J246">
        <v>27.5</v>
      </c>
      <c r="K246">
        <v>3.58</v>
      </c>
      <c r="L246">
        <v>0.94</v>
      </c>
    </row>
    <row r="247" spans="1:12" x14ac:dyDescent="0.3">
      <c r="A247" s="1">
        <v>44559</v>
      </c>
      <c r="B247">
        <v>57892.31</v>
      </c>
      <c r="C247">
        <v>58097.07</v>
      </c>
      <c r="D247">
        <v>57684.58</v>
      </c>
      <c r="E247">
        <v>57806.49</v>
      </c>
      <c r="F247">
        <v>-90.99</v>
      </c>
      <c r="G247">
        <v>-0.16</v>
      </c>
      <c r="H247">
        <v>0.53</v>
      </c>
      <c r="I247">
        <v>520.1</v>
      </c>
      <c r="J247">
        <v>27.39</v>
      </c>
      <c r="K247">
        <v>3.57</v>
      </c>
      <c r="L247">
        <v>0.94</v>
      </c>
    </row>
    <row r="248" spans="1:12" x14ac:dyDescent="0.3">
      <c r="A248" s="1">
        <v>44560</v>
      </c>
      <c r="B248">
        <v>57755.4</v>
      </c>
      <c r="C248">
        <v>58010.03</v>
      </c>
      <c r="D248">
        <v>57578.99</v>
      </c>
      <c r="E248">
        <v>57794.32</v>
      </c>
      <c r="F248">
        <v>-12.17</v>
      </c>
      <c r="G248">
        <v>-0.02</v>
      </c>
      <c r="H248" t="s">
        <v>13</v>
      </c>
      <c r="J248">
        <v>27.63</v>
      </c>
      <c r="K248">
        <v>3.6</v>
      </c>
      <c r="L248">
        <v>0.93</v>
      </c>
    </row>
    <row r="249" spans="1:12" x14ac:dyDescent="0.3">
      <c r="A249" s="1">
        <v>44561</v>
      </c>
      <c r="B249">
        <v>57849.760000000002</v>
      </c>
      <c r="C249">
        <v>58409.3</v>
      </c>
      <c r="D249">
        <v>57846.52</v>
      </c>
      <c r="E249">
        <v>58253.82</v>
      </c>
      <c r="F249">
        <v>459.5</v>
      </c>
      <c r="G249">
        <v>0.8</v>
      </c>
      <c r="H249">
        <v>0.7</v>
      </c>
      <c r="I249">
        <v>589.1</v>
      </c>
      <c r="J249">
        <v>27.87</v>
      </c>
      <c r="K249">
        <v>3.63</v>
      </c>
      <c r="L249">
        <v>0.92</v>
      </c>
    </row>
    <row r="250" spans="1:12" x14ac:dyDescent="0.3">
      <c r="A250" s="1">
        <v>44564</v>
      </c>
      <c r="B250">
        <v>58310.09</v>
      </c>
      <c r="C250">
        <v>59266.39</v>
      </c>
      <c r="D250">
        <v>58306.45</v>
      </c>
      <c r="E250">
        <v>59183.22</v>
      </c>
      <c r="F250">
        <v>929.4</v>
      </c>
      <c r="G250">
        <v>1.6</v>
      </c>
      <c r="H250">
        <v>0.82</v>
      </c>
      <c r="I250">
        <v>891.43</v>
      </c>
      <c r="J250">
        <v>28.25</v>
      </c>
      <c r="K250">
        <v>3.68</v>
      </c>
      <c r="L250">
        <v>0.91</v>
      </c>
    </row>
    <row r="251" spans="1:12" x14ac:dyDescent="0.3">
      <c r="A251" s="1">
        <v>44565</v>
      </c>
      <c r="B251">
        <v>59343.79</v>
      </c>
      <c r="C251">
        <v>59937.33</v>
      </c>
      <c r="D251">
        <v>59084.4</v>
      </c>
      <c r="E251">
        <v>59855.93</v>
      </c>
      <c r="F251">
        <v>672.71</v>
      </c>
      <c r="G251">
        <v>1.1399999999999999</v>
      </c>
      <c r="H251">
        <v>0.91</v>
      </c>
      <c r="I251">
        <v>1020.61</v>
      </c>
      <c r="J251">
        <v>28.51</v>
      </c>
      <c r="K251">
        <v>3.71</v>
      </c>
      <c r="L251">
        <v>0.91</v>
      </c>
    </row>
    <row r="252" spans="1:12" x14ac:dyDescent="0.3">
      <c r="A252" s="1">
        <v>44566</v>
      </c>
      <c r="B252">
        <v>59921.98</v>
      </c>
      <c r="C252">
        <v>60332.72</v>
      </c>
      <c r="D252">
        <v>59661.38</v>
      </c>
      <c r="E252">
        <v>60223.15</v>
      </c>
      <c r="F252">
        <v>367.22</v>
      </c>
      <c r="G252">
        <v>0.61</v>
      </c>
      <c r="H252">
        <v>0.86</v>
      </c>
      <c r="I252">
        <v>864.06</v>
      </c>
      <c r="J252">
        <v>28.72</v>
      </c>
      <c r="K252">
        <v>3.74</v>
      </c>
      <c r="L252">
        <v>0.9</v>
      </c>
    </row>
    <row r="253" spans="1:12" x14ac:dyDescent="0.3">
      <c r="A253" s="1">
        <v>44567</v>
      </c>
      <c r="B253">
        <v>59731.75</v>
      </c>
      <c r="C253">
        <v>59781.86</v>
      </c>
      <c r="D253">
        <v>59290.58</v>
      </c>
      <c r="E253">
        <v>59601.84</v>
      </c>
      <c r="F253">
        <v>-621.30999999999995</v>
      </c>
      <c r="G253">
        <v>-1.03</v>
      </c>
      <c r="H253" t="s">
        <v>13</v>
      </c>
      <c r="J253">
        <v>28.42</v>
      </c>
      <c r="K253">
        <v>3.7</v>
      </c>
      <c r="L253">
        <v>0.91</v>
      </c>
    </row>
    <row r="254" spans="1:12" x14ac:dyDescent="0.3">
      <c r="A254" s="1">
        <v>44568</v>
      </c>
      <c r="B254">
        <v>59776.1</v>
      </c>
      <c r="C254">
        <v>60130.18</v>
      </c>
      <c r="D254">
        <v>59401.440000000002</v>
      </c>
      <c r="E254">
        <v>59744.65</v>
      </c>
      <c r="F254">
        <v>142.81</v>
      </c>
      <c r="G254">
        <v>0.24</v>
      </c>
      <c r="H254" t="s">
        <v>13</v>
      </c>
      <c r="J254">
        <v>28.48</v>
      </c>
      <c r="K254">
        <v>3.71</v>
      </c>
      <c r="L254">
        <v>0.91</v>
      </c>
    </row>
    <row r="255" spans="1:12" x14ac:dyDescent="0.3">
      <c r="A255" s="1">
        <v>44571</v>
      </c>
      <c r="B255">
        <v>60070.39</v>
      </c>
      <c r="C255">
        <v>60427.360000000001</v>
      </c>
      <c r="D255">
        <v>59987.18</v>
      </c>
      <c r="E255">
        <v>60395.63</v>
      </c>
      <c r="F255">
        <v>650.98</v>
      </c>
      <c r="G255">
        <v>1.0900000000000001</v>
      </c>
      <c r="H255">
        <v>0.76</v>
      </c>
      <c r="I255">
        <v>706.06</v>
      </c>
      <c r="J255">
        <v>28.82</v>
      </c>
      <c r="K255">
        <v>3.75</v>
      </c>
      <c r="L255">
        <v>0.89</v>
      </c>
    </row>
    <row r="256" spans="1:12" x14ac:dyDescent="0.3">
      <c r="A256" s="1">
        <v>44572</v>
      </c>
      <c r="B256">
        <v>60342.7</v>
      </c>
      <c r="C256">
        <v>60689.25</v>
      </c>
      <c r="D256">
        <v>60281.52</v>
      </c>
      <c r="E256">
        <v>60616.89</v>
      </c>
      <c r="F256">
        <v>221.26</v>
      </c>
      <c r="G256">
        <v>0.37</v>
      </c>
      <c r="H256">
        <v>0.65</v>
      </c>
      <c r="I256">
        <v>609.36</v>
      </c>
      <c r="J256">
        <v>28.99</v>
      </c>
      <c r="K256">
        <v>3.77</v>
      </c>
      <c r="L256">
        <v>0.89</v>
      </c>
    </row>
    <row r="257" spans="1:12" x14ac:dyDescent="0.3">
      <c r="A257" s="1">
        <v>44573</v>
      </c>
      <c r="B257">
        <v>61014.37</v>
      </c>
      <c r="C257">
        <v>61218.19</v>
      </c>
      <c r="D257">
        <v>60850.93</v>
      </c>
      <c r="E257">
        <v>61150.04</v>
      </c>
      <c r="F257">
        <v>533.15</v>
      </c>
      <c r="G257">
        <v>0.88</v>
      </c>
      <c r="H257">
        <v>0.62</v>
      </c>
      <c r="I257">
        <v>657.02</v>
      </c>
      <c r="J257">
        <v>29.18</v>
      </c>
      <c r="K257">
        <v>3.8</v>
      </c>
      <c r="L257">
        <v>0.88</v>
      </c>
    </row>
    <row r="258" spans="1:12" x14ac:dyDescent="0.3">
      <c r="A258" s="1">
        <v>44574</v>
      </c>
      <c r="B258">
        <v>61259.99</v>
      </c>
      <c r="C258">
        <v>61348.57</v>
      </c>
      <c r="D258">
        <v>60949.81</v>
      </c>
      <c r="E258">
        <v>61235.3</v>
      </c>
      <c r="F258">
        <v>85.26</v>
      </c>
      <c r="G258">
        <v>0.14000000000000001</v>
      </c>
      <c r="H258">
        <v>0.93</v>
      </c>
      <c r="I258">
        <v>1075.05</v>
      </c>
      <c r="J258">
        <v>29.14</v>
      </c>
      <c r="K258">
        <v>3.79</v>
      </c>
      <c r="L258">
        <v>0.88</v>
      </c>
    </row>
    <row r="259" spans="1:12" x14ac:dyDescent="0.3">
      <c r="A259" s="1">
        <v>44575</v>
      </c>
      <c r="B259">
        <v>61040.32</v>
      </c>
      <c r="C259">
        <v>61324.59</v>
      </c>
      <c r="D259">
        <v>60757.03</v>
      </c>
      <c r="E259">
        <v>61223.03</v>
      </c>
      <c r="F259">
        <v>-12.27</v>
      </c>
      <c r="G259">
        <v>-0.02</v>
      </c>
      <c r="H259">
        <v>0.69</v>
      </c>
      <c r="I259">
        <v>735.2</v>
      </c>
      <c r="J259">
        <v>29.04</v>
      </c>
      <c r="K259">
        <v>3.78</v>
      </c>
      <c r="L259">
        <v>0.89</v>
      </c>
    </row>
    <row r="260" spans="1:12" x14ac:dyDescent="0.3">
      <c r="A260" s="1">
        <v>44578</v>
      </c>
      <c r="B260">
        <v>61219.64</v>
      </c>
      <c r="C260">
        <v>61385.48</v>
      </c>
      <c r="D260">
        <v>61107.6</v>
      </c>
      <c r="E260">
        <v>61308.91</v>
      </c>
      <c r="F260">
        <v>85.88</v>
      </c>
      <c r="G260">
        <v>0.14000000000000001</v>
      </c>
      <c r="H260">
        <v>0.76</v>
      </c>
      <c r="I260">
        <v>790.86</v>
      </c>
      <c r="J260">
        <v>29.1</v>
      </c>
      <c r="K260">
        <v>3.8</v>
      </c>
      <c r="L260">
        <v>0.88</v>
      </c>
    </row>
    <row r="261" spans="1:12" x14ac:dyDescent="0.3">
      <c r="A261" s="1">
        <v>44579</v>
      </c>
      <c r="B261">
        <v>61430.77</v>
      </c>
      <c r="C261">
        <v>61475.15</v>
      </c>
      <c r="D261">
        <v>60662.57</v>
      </c>
      <c r="E261">
        <v>60754.86</v>
      </c>
      <c r="F261">
        <v>-554.04999999999995</v>
      </c>
      <c r="G261">
        <v>-0.9</v>
      </c>
      <c r="H261">
        <v>1.25</v>
      </c>
      <c r="I261">
        <v>721.25</v>
      </c>
      <c r="J261">
        <v>28.57</v>
      </c>
      <c r="K261">
        <v>3.73</v>
      </c>
      <c r="L261">
        <v>0.9</v>
      </c>
    </row>
    <row r="262" spans="1:12" x14ac:dyDescent="0.3">
      <c r="A262" s="1">
        <v>44580</v>
      </c>
      <c r="B262">
        <v>60845.59</v>
      </c>
      <c r="C262">
        <v>60870.17</v>
      </c>
      <c r="D262">
        <v>59949.22</v>
      </c>
      <c r="E262">
        <v>60098.82</v>
      </c>
      <c r="F262">
        <v>-656.04</v>
      </c>
      <c r="G262">
        <v>-1.08</v>
      </c>
      <c r="H262">
        <v>0.7</v>
      </c>
      <c r="I262">
        <v>860.77</v>
      </c>
      <c r="J262">
        <v>28.34</v>
      </c>
      <c r="K262">
        <v>3.7</v>
      </c>
      <c r="L262">
        <v>0.9</v>
      </c>
    </row>
    <row r="263" spans="1:12" x14ac:dyDescent="0.3">
      <c r="A263" s="1">
        <v>44581</v>
      </c>
      <c r="B263">
        <v>60045.48</v>
      </c>
      <c r="C263">
        <v>60045.48</v>
      </c>
      <c r="D263">
        <v>59068.31</v>
      </c>
      <c r="E263">
        <v>59464.62</v>
      </c>
      <c r="F263">
        <v>-634.20000000000005</v>
      </c>
      <c r="G263">
        <v>-1.06</v>
      </c>
      <c r="H263">
        <v>1.18</v>
      </c>
      <c r="I263">
        <v>890.52</v>
      </c>
      <c r="J263">
        <v>28.09</v>
      </c>
      <c r="K263">
        <v>3.67</v>
      </c>
      <c r="L263">
        <v>0.91</v>
      </c>
    </row>
    <row r="264" spans="1:12" x14ac:dyDescent="0.3">
      <c r="A264" s="1">
        <v>44582</v>
      </c>
      <c r="B264">
        <v>59039.37</v>
      </c>
      <c r="C264">
        <v>59329.63</v>
      </c>
      <c r="D264">
        <v>58620.93</v>
      </c>
      <c r="E264">
        <v>59037.18</v>
      </c>
      <c r="F264">
        <v>-427.44</v>
      </c>
      <c r="G264">
        <v>-0.72</v>
      </c>
      <c r="H264">
        <v>0.76</v>
      </c>
      <c r="I264">
        <v>897.1</v>
      </c>
      <c r="J264">
        <v>27.85</v>
      </c>
      <c r="K264">
        <v>3.64</v>
      </c>
      <c r="L264">
        <v>0.92</v>
      </c>
    </row>
    <row r="265" spans="1:12" x14ac:dyDescent="0.3">
      <c r="A265" s="1">
        <v>44585</v>
      </c>
      <c r="B265">
        <v>59023.97</v>
      </c>
      <c r="C265">
        <v>59023.97</v>
      </c>
      <c r="D265">
        <v>56984.01</v>
      </c>
      <c r="E265">
        <v>57491.51</v>
      </c>
      <c r="F265">
        <v>-1545.67</v>
      </c>
      <c r="G265">
        <v>-2.62</v>
      </c>
      <c r="H265">
        <v>1.08</v>
      </c>
      <c r="I265">
        <v>1095.81</v>
      </c>
      <c r="J265">
        <v>27</v>
      </c>
      <c r="K265">
        <v>3.53</v>
      </c>
      <c r="L265">
        <v>0.96</v>
      </c>
    </row>
    <row r="266" spans="1:12" x14ac:dyDescent="0.3">
      <c r="A266" s="1">
        <v>44586</v>
      </c>
      <c r="B266">
        <v>57158.63</v>
      </c>
      <c r="C266">
        <v>57966.93</v>
      </c>
      <c r="D266">
        <v>56409.63</v>
      </c>
      <c r="E266">
        <v>57858.15</v>
      </c>
      <c r="F266">
        <v>366.64</v>
      </c>
      <c r="G266">
        <v>0.64</v>
      </c>
      <c r="H266">
        <v>1.04</v>
      </c>
      <c r="I266">
        <v>1074.1099999999999</v>
      </c>
      <c r="J266">
        <v>27.15</v>
      </c>
      <c r="K266">
        <v>3.55</v>
      </c>
      <c r="L266">
        <v>0.96</v>
      </c>
    </row>
    <row r="267" spans="1:12" x14ac:dyDescent="0.3">
      <c r="A267" s="1">
        <v>44588</v>
      </c>
      <c r="B267">
        <v>57317.38</v>
      </c>
      <c r="C267">
        <v>57508.61</v>
      </c>
      <c r="D267">
        <v>56439.360000000001</v>
      </c>
      <c r="E267">
        <v>57276.94</v>
      </c>
      <c r="F267">
        <v>-581.21</v>
      </c>
      <c r="G267">
        <v>-1</v>
      </c>
      <c r="H267">
        <v>1.03</v>
      </c>
      <c r="I267">
        <v>1068.4100000000001</v>
      </c>
      <c r="J267">
        <v>26.39</v>
      </c>
      <c r="K267">
        <v>3.49</v>
      </c>
      <c r="L267">
        <v>0.97</v>
      </c>
    </row>
    <row r="268" spans="1:12" x14ac:dyDescent="0.3">
      <c r="A268" s="1">
        <v>44589</v>
      </c>
      <c r="B268">
        <v>57795.11</v>
      </c>
      <c r="C268">
        <v>58084.33</v>
      </c>
      <c r="D268">
        <v>57119.28</v>
      </c>
      <c r="E268">
        <v>57200.23</v>
      </c>
      <c r="F268">
        <v>-76.709999999999994</v>
      </c>
      <c r="G268">
        <v>-0.13</v>
      </c>
      <c r="H268" t="s">
        <v>13</v>
      </c>
      <c r="J268">
        <v>26.51</v>
      </c>
      <c r="K268">
        <v>3.51</v>
      </c>
      <c r="L268">
        <v>0.97</v>
      </c>
    </row>
    <row r="269" spans="1:12" x14ac:dyDescent="0.3">
      <c r="A269" s="1">
        <v>44592</v>
      </c>
      <c r="B269">
        <v>57845.91</v>
      </c>
      <c r="C269">
        <v>58257.63</v>
      </c>
      <c r="D269">
        <v>57746.15</v>
      </c>
      <c r="E269">
        <v>58014.17</v>
      </c>
      <c r="F269">
        <v>813.94</v>
      </c>
      <c r="G269">
        <v>1.42</v>
      </c>
      <c r="H269">
        <v>0.74</v>
      </c>
      <c r="I269">
        <v>732.65</v>
      </c>
      <c r="J269">
        <v>26.89</v>
      </c>
      <c r="K269">
        <v>3.57</v>
      </c>
      <c r="L269">
        <v>0.95</v>
      </c>
    </row>
    <row r="270" spans="1:12" x14ac:dyDescent="0.3">
      <c r="A270" s="1">
        <v>44593</v>
      </c>
      <c r="B270">
        <v>58672.86</v>
      </c>
      <c r="C270">
        <v>59032.2</v>
      </c>
      <c r="D270">
        <v>57737.66</v>
      </c>
      <c r="E270">
        <v>58862.57</v>
      </c>
      <c r="F270">
        <v>848.4</v>
      </c>
      <c r="G270">
        <v>1.46</v>
      </c>
      <c r="H270">
        <v>1.4</v>
      </c>
      <c r="I270">
        <v>1716.64</v>
      </c>
      <c r="J270">
        <v>27.18</v>
      </c>
      <c r="K270">
        <v>3.62</v>
      </c>
      <c r="L270">
        <v>0.93</v>
      </c>
    </row>
    <row r="271" spans="1:12" x14ac:dyDescent="0.3">
      <c r="A271" s="1">
        <v>44594</v>
      </c>
      <c r="B271">
        <v>59293.440000000002</v>
      </c>
      <c r="C271">
        <v>59618.51</v>
      </c>
      <c r="D271">
        <v>59193.05</v>
      </c>
      <c r="E271">
        <v>59558.33</v>
      </c>
      <c r="F271">
        <v>695.76</v>
      </c>
      <c r="G271">
        <v>1.18</v>
      </c>
      <c r="H271">
        <v>0.85</v>
      </c>
      <c r="I271">
        <v>833.82</v>
      </c>
      <c r="J271">
        <v>27.3</v>
      </c>
      <c r="K271">
        <v>3.64</v>
      </c>
      <c r="L271">
        <v>0.94</v>
      </c>
    </row>
    <row r="272" spans="1:12" x14ac:dyDescent="0.3">
      <c r="A272" s="1">
        <v>44595</v>
      </c>
      <c r="B272">
        <v>59528.160000000003</v>
      </c>
      <c r="C272">
        <v>59557.87</v>
      </c>
      <c r="D272">
        <v>58653.94</v>
      </c>
      <c r="E272">
        <v>58788.02</v>
      </c>
      <c r="F272">
        <v>-770.31</v>
      </c>
      <c r="G272">
        <v>-1.29</v>
      </c>
      <c r="H272">
        <v>0.71</v>
      </c>
      <c r="I272">
        <v>711.98</v>
      </c>
      <c r="J272">
        <v>27.03</v>
      </c>
      <c r="K272">
        <v>3.6</v>
      </c>
      <c r="L272">
        <v>0.95</v>
      </c>
    </row>
    <row r="273" spans="1:12" x14ac:dyDescent="0.3">
      <c r="A273" s="1">
        <v>44596</v>
      </c>
      <c r="B273">
        <v>58918.65</v>
      </c>
      <c r="C273">
        <v>58943.62</v>
      </c>
      <c r="D273">
        <v>58446.95</v>
      </c>
      <c r="E273">
        <v>58644.82</v>
      </c>
      <c r="F273">
        <v>-143.19999999999999</v>
      </c>
      <c r="G273">
        <v>-0.24</v>
      </c>
      <c r="H273">
        <v>0.73</v>
      </c>
      <c r="I273">
        <v>691.31</v>
      </c>
      <c r="J273">
        <v>27</v>
      </c>
      <c r="K273">
        <v>3.6</v>
      </c>
      <c r="L273">
        <v>0.95</v>
      </c>
    </row>
    <row r="274" spans="1:12" x14ac:dyDescent="0.3">
      <c r="A274" s="1">
        <v>44599</v>
      </c>
      <c r="B274">
        <v>58549.67</v>
      </c>
      <c r="C274">
        <v>58707.76</v>
      </c>
      <c r="D274">
        <v>57299.05</v>
      </c>
      <c r="E274">
        <v>57621.19</v>
      </c>
      <c r="F274">
        <v>-1023.63</v>
      </c>
      <c r="G274">
        <v>-1.75</v>
      </c>
      <c r="H274" t="s">
        <v>13</v>
      </c>
      <c r="J274">
        <v>26.36</v>
      </c>
      <c r="K274">
        <v>3.53</v>
      </c>
      <c r="L274">
        <v>0.96</v>
      </c>
    </row>
    <row r="275" spans="1:12" x14ac:dyDescent="0.3">
      <c r="A275" s="1">
        <v>44600</v>
      </c>
      <c r="B275">
        <v>57799.67</v>
      </c>
      <c r="C275">
        <v>57925.82</v>
      </c>
      <c r="D275">
        <v>57058.77</v>
      </c>
      <c r="E275">
        <v>57808.58</v>
      </c>
      <c r="F275">
        <v>187.39</v>
      </c>
      <c r="G275">
        <v>0.33</v>
      </c>
      <c r="H275">
        <v>0.89</v>
      </c>
      <c r="I275">
        <v>1083.03</v>
      </c>
      <c r="J275">
        <v>26.01</v>
      </c>
      <c r="K275">
        <v>3.54</v>
      </c>
      <c r="L275">
        <v>0.96</v>
      </c>
    </row>
    <row r="276" spans="1:12" x14ac:dyDescent="0.3">
      <c r="A276" s="1">
        <v>44601</v>
      </c>
      <c r="B276">
        <v>58163.01</v>
      </c>
      <c r="C276">
        <v>58507.61</v>
      </c>
      <c r="D276">
        <v>58105.18</v>
      </c>
      <c r="E276">
        <v>58465.97</v>
      </c>
      <c r="F276">
        <v>657.39</v>
      </c>
      <c r="G276">
        <v>1.1399999999999999</v>
      </c>
      <c r="H276">
        <v>0.34</v>
      </c>
      <c r="I276">
        <v>550.12</v>
      </c>
      <c r="J276">
        <v>26.29</v>
      </c>
      <c r="K276">
        <v>3.58</v>
      </c>
      <c r="L276">
        <v>0.95</v>
      </c>
    </row>
    <row r="277" spans="1:12" x14ac:dyDescent="0.3">
      <c r="A277" s="1">
        <v>44602</v>
      </c>
      <c r="B277">
        <v>58810.53</v>
      </c>
      <c r="C277">
        <v>59060.24</v>
      </c>
      <c r="D277">
        <v>58332.28</v>
      </c>
      <c r="E277">
        <v>58926.03</v>
      </c>
      <c r="F277">
        <v>460.06</v>
      </c>
      <c r="G277">
        <v>0.79</v>
      </c>
      <c r="H277">
        <v>0.67</v>
      </c>
      <c r="I277">
        <v>1051.9000000000001</v>
      </c>
      <c r="J277">
        <v>26.32</v>
      </c>
      <c r="K277">
        <v>3.59</v>
      </c>
      <c r="L277">
        <v>0.95</v>
      </c>
    </row>
    <row r="278" spans="1:12" x14ac:dyDescent="0.3">
      <c r="A278" s="1">
        <v>44603</v>
      </c>
      <c r="B278">
        <v>58447.15</v>
      </c>
      <c r="C278">
        <v>58447.15</v>
      </c>
      <c r="D278">
        <v>57914.1</v>
      </c>
      <c r="E278">
        <v>58152.92</v>
      </c>
      <c r="F278">
        <v>-773.11</v>
      </c>
      <c r="G278">
        <v>-1.31</v>
      </c>
      <c r="H278">
        <v>0.56999999999999995</v>
      </c>
      <c r="I278">
        <v>607.91999999999996</v>
      </c>
      <c r="J278">
        <v>25.44</v>
      </c>
      <c r="K278">
        <v>3.53</v>
      </c>
      <c r="L278">
        <v>0.96</v>
      </c>
    </row>
    <row r="279" spans="1:12" x14ac:dyDescent="0.3">
      <c r="A279" s="1">
        <v>44606</v>
      </c>
      <c r="B279">
        <v>56720.32</v>
      </c>
      <c r="C279">
        <v>57191.91</v>
      </c>
      <c r="D279">
        <v>56295.7</v>
      </c>
      <c r="E279">
        <v>56405.84</v>
      </c>
      <c r="F279">
        <v>-1747.08</v>
      </c>
      <c r="G279">
        <v>-3</v>
      </c>
      <c r="H279">
        <v>0.83</v>
      </c>
      <c r="I279">
        <v>945.12</v>
      </c>
      <c r="J279">
        <v>24.82</v>
      </c>
      <c r="K279">
        <v>3.44</v>
      </c>
      <c r="L279">
        <v>0.99</v>
      </c>
    </row>
    <row r="280" spans="1:12" x14ac:dyDescent="0.3">
      <c r="A280" s="1">
        <v>44607</v>
      </c>
      <c r="B280">
        <v>56731.56</v>
      </c>
      <c r="C280">
        <v>58211.38</v>
      </c>
      <c r="D280">
        <v>56438.47</v>
      </c>
      <c r="E280">
        <v>58142.05</v>
      </c>
      <c r="F280">
        <v>1736.21</v>
      </c>
      <c r="G280">
        <v>3.08</v>
      </c>
      <c r="H280">
        <v>1</v>
      </c>
      <c r="I280">
        <v>978.27</v>
      </c>
      <c r="J280">
        <v>25.65</v>
      </c>
      <c r="K280">
        <v>3.56</v>
      </c>
      <c r="L280">
        <v>0.96</v>
      </c>
    </row>
    <row r="281" spans="1:12" x14ac:dyDescent="0.3">
      <c r="A281" s="1">
        <v>44608</v>
      </c>
      <c r="B281">
        <v>58310.68</v>
      </c>
      <c r="C281">
        <v>58569.22</v>
      </c>
      <c r="D281">
        <v>57780.28</v>
      </c>
      <c r="E281">
        <v>57996.68</v>
      </c>
      <c r="F281">
        <v>-145.37</v>
      </c>
      <c r="G281">
        <v>-0.25</v>
      </c>
      <c r="H281">
        <v>0.73</v>
      </c>
      <c r="I281">
        <v>669.04</v>
      </c>
      <c r="J281">
        <v>25.72</v>
      </c>
      <c r="K281">
        <v>3.57</v>
      </c>
      <c r="L281">
        <v>0.95</v>
      </c>
    </row>
    <row r="282" spans="1:12" x14ac:dyDescent="0.3">
      <c r="A282" s="1">
        <v>44609</v>
      </c>
      <c r="B282">
        <v>58217.69</v>
      </c>
      <c r="C282">
        <v>58346</v>
      </c>
      <c r="D282">
        <v>57635.43</v>
      </c>
      <c r="E282">
        <v>57892.01</v>
      </c>
      <c r="F282">
        <v>-104.67</v>
      </c>
      <c r="G282">
        <v>-0.18</v>
      </c>
      <c r="H282">
        <v>0.64</v>
      </c>
      <c r="I282">
        <v>683.08</v>
      </c>
      <c r="J282">
        <v>25.52</v>
      </c>
      <c r="K282">
        <v>3.54</v>
      </c>
      <c r="L282">
        <v>0.96</v>
      </c>
    </row>
    <row r="283" spans="1:12" x14ac:dyDescent="0.3">
      <c r="A283" s="1">
        <v>44610</v>
      </c>
      <c r="B283">
        <v>57488.39</v>
      </c>
      <c r="C283">
        <v>58175.35</v>
      </c>
      <c r="D283">
        <v>57488.39</v>
      </c>
      <c r="E283">
        <v>57832.97</v>
      </c>
      <c r="F283">
        <v>-59.04</v>
      </c>
      <c r="G283">
        <v>-0.1</v>
      </c>
      <c r="H283">
        <v>0.98</v>
      </c>
      <c r="I283">
        <v>1155.1199999999999</v>
      </c>
      <c r="J283">
        <v>25.56</v>
      </c>
      <c r="K283">
        <v>3.54</v>
      </c>
      <c r="L283">
        <v>0.95</v>
      </c>
    </row>
    <row r="284" spans="1:12" x14ac:dyDescent="0.3">
      <c r="A284" s="1">
        <v>44613</v>
      </c>
      <c r="B284">
        <v>57551.65</v>
      </c>
      <c r="C284">
        <v>58141.96</v>
      </c>
      <c r="D284">
        <v>57167.02</v>
      </c>
      <c r="E284">
        <v>57683.59</v>
      </c>
      <c r="F284">
        <v>-149.38</v>
      </c>
      <c r="G284">
        <v>-0.26</v>
      </c>
      <c r="H284" t="s">
        <v>13</v>
      </c>
      <c r="J284">
        <v>25.49</v>
      </c>
      <c r="K284">
        <v>3.53</v>
      </c>
      <c r="L284">
        <v>0.96</v>
      </c>
    </row>
    <row r="285" spans="1:12" x14ac:dyDescent="0.3">
      <c r="A285" s="1">
        <v>44614</v>
      </c>
      <c r="B285">
        <v>56438.64</v>
      </c>
      <c r="C285">
        <v>57505.85</v>
      </c>
      <c r="D285">
        <v>56394.85</v>
      </c>
      <c r="E285">
        <v>57300.68</v>
      </c>
      <c r="F285">
        <v>-382.91</v>
      </c>
      <c r="G285">
        <v>-0.66</v>
      </c>
      <c r="H285">
        <v>1.41</v>
      </c>
      <c r="I285">
        <v>2474.48</v>
      </c>
      <c r="J285">
        <v>25.18</v>
      </c>
      <c r="K285">
        <v>3.49</v>
      </c>
      <c r="L285">
        <v>0.97</v>
      </c>
    </row>
    <row r="286" spans="1:12" x14ac:dyDescent="0.3">
      <c r="A286" s="1">
        <v>44615</v>
      </c>
      <c r="B286">
        <v>57632.94</v>
      </c>
      <c r="C286">
        <v>57733.37</v>
      </c>
      <c r="D286">
        <v>57109.24</v>
      </c>
      <c r="E286">
        <v>57232.06</v>
      </c>
      <c r="F286">
        <v>-68.62</v>
      </c>
      <c r="G286">
        <v>-0.12</v>
      </c>
      <c r="H286">
        <v>0.62</v>
      </c>
      <c r="I286">
        <v>683.4</v>
      </c>
      <c r="J286">
        <v>25.27</v>
      </c>
      <c r="K286">
        <v>3.5</v>
      </c>
      <c r="L286">
        <v>0.97</v>
      </c>
    </row>
    <row r="287" spans="1:12" x14ac:dyDescent="0.3">
      <c r="A287" s="1">
        <v>44616</v>
      </c>
      <c r="B287">
        <v>55418.45</v>
      </c>
      <c r="C287">
        <v>55996.09</v>
      </c>
      <c r="D287">
        <v>54383.199999999997</v>
      </c>
      <c r="E287">
        <v>54529.91</v>
      </c>
      <c r="F287">
        <v>-2702.15</v>
      </c>
      <c r="G287">
        <v>-4.72</v>
      </c>
      <c r="H287">
        <v>1.56</v>
      </c>
      <c r="I287">
        <v>1604.43</v>
      </c>
      <c r="J287">
        <v>23.79</v>
      </c>
      <c r="K287">
        <v>3.3</v>
      </c>
      <c r="L287">
        <v>1.03</v>
      </c>
    </row>
    <row r="288" spans="1:12" x14ac:dyDescent="0.3">
      <c r="A288" s="1">
        <v>44617</v>
      </c>
      <c r="B288">
        <v>55321.72</v>
      </c>
      <c r="C288">
        <v>56183.7</v>
      </c>
      <c r="D288">
        <v>55299.28</v>
      </c>
      <c r="E288">
        <v>55858.52</v>
      </c>
      <c r="F288">
        <v>1328.61</v>
      </c>
      <c r="G288">
        <v>2.44</v>
      </c>
      <c r="H288">
        <v>0.99</v>
      </c>
      <c r="I288">
        <v>1230.29</v>
      </c>
      <c r="J288">
        <v>24.39</v>
      </c>
      <c r="K288">
        <v>3.38</v>
      </c>
      <c r="L288">
        <v>1.01</v>
      </c>
    </row>
    <row r="289" spans="1:12" x14ac:dyDescent="0.3">
      <c r="A289" s="1">
        <v>44620</v>
      </c>
      <c r="B289">
        <v>55329.46</v>
      </c>
      <c r="C289">
        <v>56324.54</v>
      </c>
      <c r="D289">
        <v>54833.5</v>
      </c>
      <c r="E289">
        <v>56247.28</v>
      </c>
      <c r="F289">
        <v>388.76</v>
      </c>
      <c r="G289">
        <v>0.7</v>
      </c>
      <c r="H289">
        <v>0.77</v>
      </c>
      <c r="I289">
        <v>786.28</v>
      </c>
      <c r="J289">
        <v>24.67</v>
      </c>
      <c r="K289">
        <v>3.42</v>
      </c>
      <c r="L289">
        <v>0.99</v>
      </c>
    </row>
    <row r="290" spans="1:12" x14ac:dyDescent="0.3">
      <c r="A290" s="1">
        <v>44622</v>
      </c>
      <c r="B290">
        <v>55629.3</v>
      </c>
      <c r="C290">
        <v>55755.09</v>
      </c>
      <c r="D290">
        <v>55020.1</v>
      </c>
      <c r="E290">
        <v>55468.9</v>
      </c>
      <c r="F290">
        <v>-778.38</v>
      </c>
      <c r="G290">
        <v>-1.38</v>
      </c>
      <c r="H290">
        <v>1.24</v>
      </c>
      <c r="I290">
        <v>1221.5</v>
      </c>
      <c r="J290">
        <v>24.26</v>
      </c>
      <c r="K290">
        <v>3.37</v>
      </c>
      <c r="L290">
        <v>1.01</v>
      </c>
    </row>
    <row r="291" spans="1:12" x14ac:dyDescent="0.3">
      <c r="A291" s="1">
        <v>44623</v>
      </c>
      <c r="B291">
        <v>55921.440000000002</v>
      </c>
      <c r="C291">
        <v>55996.62</v>
      </c>
      <c r="D291">
        <v>54931.48</v>
      </c>
      <c r="E291">
        <v>55102.68</v>
      </c>
      <c r="F291">
        <v>-366.22</v>
      </c>
      <c r="G291">
        <v>-0.66</v>
      </c>
      <c r="H291">
        <v>0.99</v>
      </c>
      <c r="I291">
        <v>1011.33</v>
      </c>
      <c r="J291">
        <v>24.23</v>
      </c>
      <c r="K291">
        <v>3.36</v>
      </c>
      <c r="L291">
        <v>1.02</v>
      </c>
    </row>
    <row r="292" spans="1:12" x14ac:dyDescent="0.3">
      <c r="A292" s="1">
        <v>44624</v>
      </c>
      <c r="B292">
        <v>54653.59</v>
      </c>
      <c r="C292">
        <v>55013.27</v>
      </c>
      <c r="D292">
        <v>53887.72</v>
      </c>
      <c r="E292">
        <v>54333.81</v>
      </c>
      <c r="F292">
        <v>-768.87</v>
      </c>
      <c r="G292">
        <v>-1.4</v>
      </c>
      <c r="H292">
        <v>1.1000000000000001</v>
      </c>
      <c r="I292">
        <v>1029.3399999999999</v>
      </c>
      <c r="J292">
        <v>23.71</v>
      </c>
      <c r="K292">
        <v>3.29</v>
      </c>
      <c r="L292">
        <v>1.03</v>
      </c>
    </row>
    <row r="293" spans="1:12" x14ac:dyDescent="0.3">
      <c r="A293" s="1">
        <v>44627</v>
      </c>
      <c r="B293">
        <v>53172.51</v>
      </c>
      <c r="C293">
        <v>53203.87</v>
      </c>
      <c r="D293">
        <v>52367.1</v>
      </c>
      <c r="E293">
        <v>52842.75</v>
      </c>
      <c r="F293">
        <v>-1491.06</v>
      </c>
      <c r="G293">
        <v>-2.74</v>
      </c>
      <c r="H293">
        <v>1.71</v>
      </c>
      <c r="I293">
        <v>1888.39</v>
      </c>
      <c r="J293">
        <v>23.08</v>
      </c>
      <c r="K293">
        <v>3.2</v>
      </c>
      <c r="L293">
        <v>1.07</v>
      </c>
    </row>
    <row r="294" spans="1:12" x14ac:dyDescent="0.3">
      <c r="A294" s="1">
        <v>44628</v>
      </c>
      <c r="B294">
        <v>52430.06</v>
      </c>
      <c r="C294">
        <v>53484.26</v>
      </c>
      <c r="D294">
        <v>52260.82</v>
      </c>
      <c r="E294">
        <v>53424.09</v>
      </c>
      <c r="F294">
        <v>581.34</v>
      </c>
      <c r="G294">
        <v>1.1000000000000001</v>
      </c>
      <c r="H294">
        <v>1.63</v>
      </c>
      <c r="I294">
        <v>1382.25</v>
      </c>
      <c r="J294">
        <v>23.36</v>
      </c>
      <c r="K294">
        <v>3.24</v>
      </c>
      <c r="L294">
        <v>1.05</v>
      </c>
    </row>
    <row r="295" spans="1:12" x14ac:dyDescent="0.3">
      <c r="A295" s="1">
        <v>44629</v>
      </c>
      <c r="B295">
        <v>53793.99</v>
      </c>
      <c r="C295">
        <v>54893.73</v>
      </c>
      <c r="D295">
        <v>53367.519999999997</v>
      </c>
      <c r="E295">
        <v>54647.33</v>
      </c>
      <c r="F295">
        <v>1223.24</v>
      </c>
      <c r="G295">
        <v>2.29</v>
      </c>
      <c r="H295">
        <v>1.41</v>
      </c>
      <c r="I295">
        <v>1539.07</v>
      </c>
      <c r="J295">
        <v>24.15</v>
      </c>
      <c r="K295">
        <v>3.35</v>
      </c>
      <c r="L295">
        <v>1.02</v>
      </c>
    </row>
    <row r="296" spans="1:12" x14ac:dyDescent="0.3">
      <c r="A296" s="1">
        <v>44630</v>
      </c>
      <c r="B296">
        <v>56242.47</v>
      </c>
      <c r="C296">
        <v>56242.47</v>
      </c>
      <c r="D296">
        <v>54982.82</v>
      </c>
      <c r="E296">
        <v>55464.39</v>
      </c>
      <c r="F296">
        <v>817.06</v>
      </c>
      <c r="G296">
        <v>1.5</v>
      </c>
      <c r="H296" t="s">
        <v>13</v>
      </c>
      <c r="J296">
        <v>24.6</v>
      </c>
      <c r="K296">
        <v>3.42</v>
      </c>
      <c r="L296">
        <v>1</v>
      </c>
    </row>
    <row r="297" spans="1:12" x14ac:dyDescent="0.3">
      <c r="A297" s="1">
        <v>44631</v>
      </c>
      <c r="B297">
        <v>55218.78</v>
      </c>
      <c r="C297">
        <v>55833.95</v>
      </c>
      <c r="D297">
        <v>55049.95</v>
      </c>
      <c r="E297">
        <v>55550.3</v>
      </c>
      <c r="F297">
        <v>85.91</v>
      </c>
      <c r="G297">
        <v>0.15</v>
      </c>
      <c r="H297">
        <v>0.97</v>
      </c>
      <c r="I297">
        <v>1156.5899999999999</v>
      </c>
      <c r="J297">
        <v>24.32</v>
      </c>
      <c r="K297">
        <v>3.37</v>
      </c>
      <c r="L297">
        <v>1.01</v>
      </c>
    </row>
    <row r="298" spans="1:12" x14ac:dyDescent="0.3">
      <c r="A298" s="1">
        <v>44634</v>
      </c>
      <c r="B298">
        <v>55614.400000000001</v>
      </c>
      <c r="C298">
        <v>56545.83</v>
      </c>
      <c r="D298">
        <v>55556.47</v>
      </c>
      <c r="E298">
        <v>56486.02</v>
      </c>
      <c r="F298">
        <v>935.72</v>
      </c>
      <c r="G298">
        <v>1.68</v>
      </c>
      <c r="H298">
        <v>0.91</v>
      </c>
      <c r="I298">
        <v>876.86</v>
      </c>
      <c r="J298">
        <v>24.87</v>
      </c>
      <c r="K298">
        <v>3.45</v>
      </c>
      <c r="L298">
        <v>0.99</v>
      </c>
    </row>
    <row r="299" spans="1:12" x14ac:dyDescent="0.3">
      <c r="A299" s="1">
        <v>44635</v>
      </c>
      <c r="B299">
        <v>56663.87</v>
      </c>
      <c r="C299">
        <v>56720.6</v>
      </c>
      <c r="D299">
        <v>55418.95</v>
      </c>
      <c r="E299">
        <v>55776.85</v>
      </c>
      <c r="F299">
        <v>-709.17</v>
      </c>
      <c r="G299">
        <v>-1.26</v>
      </c>
      <c r="H299">
        <v>0.81</v>
      </c>
      <c r="I299">
        <v>770.65</v>
      </c>
      <c r="J299">
        <v>24.55</v>
      </c>
      <c r="K299">
        <v>3.41</v>
      </c>
      <c r="L299">
        <v>1</v>
      </c>
    </row>
    <row r="300" spans="1:12" x14ac:dyDescent="0.3">
      <c r="A300" s="1">
        <v>44636</v>
      </c>
      <c r="B300">
        <v>56555.33</v>
      </c>
      <c r="C300">
        <v>56860.89</v>
      </c>
      <c r="D300">
        <v>56389.26</v>
      </c>
      <c r="E300">
        <v>56816.65</v>
      </c>
      <c r="F300">
        <v>1039.8</v>
      </c>
      <c r="G300">
        <v>1.86</v>
      </c>
      <c r="H300">
        <v>0.69</v>
      </c>
      <c r="I300">
        <v>782.95</v>
      </c>
      <c r="J300">
        <v>25.05</v>
      </c>
      <c r="K300">
        <v>3.48</v>
      </c>
      <c r="L300">
        <v>0.98</v>
      </c>
    </row>
    <row r="301" spans="1:12" x14ac:dyDescent="0.3">
      <c r="A301" s="1">
        <v>44637</v>
      </c>
      <c r="B301">
        <v>57620.28</v>
      </c>
      <c r="C301">
        <v>58095.839999999997</v>
      </c>
      <c r="D301">
        <v>57518.06</v>
      </c>
      <c r="E301">
        <v>57863.93</v>
      </c>
      <c r="F301">
        <v>1047.28</v>
      </c>
      <c r="G301">
        <v>1.84</v>
      </c>
      <c r="H301">
        <v>0.72</v>
      </c>
      <c r="I301">
        <v>684.43</v>
      </c>
      <c r="J301">
        <v>25.6</v>
      </c>
      <c r="K301">
        <v>3.55</v>
      </c>
      <c r="L301">
        <v>0.96</v>
      </c>
    </row>
    <row r="302" spans="1:12" x14ac:dyDescent="0.3">
      <c r="A302" s="1">
        <v>44641</v>
      </c>
      <c r="B302">
        <v>58030.41</v>
      </c>
      <c r="C302">
        <v>58127.95</v>
      </c>
      <c r="D302">
        <v>57229.08</v>
      </c>
      <c r="E302">
        <v>57292.49</v>
      </c>
      <c r="F302">
        <v>-571.44000000000005</v>
      </c>
      <c r="G302">
        <v>-0.99</v>
      </c>
      <c r="H302">
        <v>0.64</v>
      </c>
      <c r="I302">
        <v>685.06</v>
      </c>
      <c r="J302">
        <v>25.18</v>
      </c>
      <c r="K302">
        <v>3.49</v>
      </c>
      <c r="L302">
        <v>0.98</v>
      </c>
    </row>
    <row r="303" spans="1:12" x14ac:dyDescent="0.3">
      <c r="A303" s="1">
        <v>44642</v>
      </c>
      <c r="B303">
        <v>57297.57</v>
      </c>
      <c r="C303">
        <v>58052.87</v>
      </c>
      <c r="D303">
        <v>56930.3</v>
      </c>
      <c r="E303">
        <v>57989.3</v>
      </c>
      <c r="F303">
        <v>696.81</v>
      </c>
      <c r="G303">
        <v>1.22</v>
      </c>
      <c r="H303" t="s">
        <v>13</v>
      </c>
      <c r="J303">
        <v>25.48</v>
      </c>
      <c r="K303">
        <v>3.54</v>
      </c>
      <c r="L303">
        <v>0.97</v>
      </c>
    </row>
    <row r="304" spans="1:12" x14ac:dyDescent="0.3">
      <c r="A304" s="1">
        <v>44643</v>
      </c>
      <c r="B304">
        <v>58198.64</v>
      </c>
      <c r="C304">
        <v>58416.56</v>
      </c>
      <c r="D304">
        <v>57568.59</v>
      </c>
      <c r="E304">
        <v>57684.82</v>
      </c>
      <c r="F304">
        <v>-304.48</v>
      </c>
      <c r="G304">
        <v>-0.53</v>
      </c>
      <c r="H304">
        <v>0.91</v>
      </c>
      <c r="I304">
        <v>797.56</v>
      </c>
      <c r="J304">
        <v>25.41</v>
      </c>
      <c r="K304">
        <v>3.53</v>
      </c>
      <c r="L304">
        <v>0.97</v>
      </c>
    </row>
    <row r="305" spans="1:12" x14ac:dyDescent="0.3">
      <c r="A305" s="1">
        <v>44644</v>
      </c>
      <c r="B305">
        <v>57190.05</v>
      </c>
      <c r="C305">
        <v>57827.99</v>
      </c>
      <c r="D305">
        <v>57138.51</v>
      </c>
      <c r="E305">
        <v>57595.68</v>
      </c>
      <c r="F305">
        <v>-89.14</v>
      </c>
      <c r="G305">
        <v>-0.15</v>
      </c>
      <c r="H305">
        <v>5.14</v>
      </c>
      <c r="I305">
        <v>8190.23</v>
      </c>
      <c r="J305">
        <v>25.28</v>
      </c>
      <c r="K305">
        <v>3.51</v>
      </c>
      <c r="L305">
        <v>0.97</v>
      </c>
    </row>
    <row r="306" spans="1:12" x14ac:dyDescent="0.3">
      <c r="A306" s="1">
        <v>44645</v>
      </c>
      <c r="B306">
        <v>57801.72</v>
      </c>
      <c r="C306">
        <v>57845.37</v>
      </c>
      <c r="D306">
        <v>57100.24</v>
      </c>
      <c r="E306">
        <v>57362.2</v>
      </c>
      <c r="F306">
        <v>-233.48</v>
      </c>
      <c r="G306">
        <v>-0.41</v>
      </c>
      <c r="H306" t="s">
        <v>13</v>
      </c>
      <c r="J306">
        <v>25.37</v>
      </c>
      <c r="K306">
        <v>3.52</v>
      </c>
      <c r="L306">
        <v>0.97</v>
      </c>
    </row>
    <row r="307" spans="1:12" x14ac:dyDescent="0.3">
      <c r="A307" s="1">
        <v>44648</v>
      </c>
      <c r="B307">
        <v>57472.72</v>
      </c>
      <c r="C307">
        <v>57638.34</v>
      </c>
      <c r="D307">
        <v>56825.09</v>
      </c>
      <c r="E307">
        <v>57593.49</v>
      </c>
      <c r="F307">
        <v>231.29</v>
      </c>
      <c r="G307">
        <v>0.4</v>
      </c>
      <c r="H307">
        <v>0.63</v>
      </c>
      <c r="I307">
        <v>715.47</v>
      </c>
      <c r="J307">
        <v>25.38</v>
      </c>
      <c r="K307">
        <v>3.52</v>
      </c>
      <c r="L307">
        <v>0.97</v>
      </c>
    </row>
    <row r="308" spans="1:12" x14ac:dyDescent="0.3">
      <c r="A308" s="1">
        <v>44649</v>
      </c>
      <c r="B308">
        <v>57814.76</v>
      </c>
      <c r="C308">
        <v>58001.53</v>
      </c>
      <c r="D308">
        <v>57639.35</v>
      </c>
      <c r="E308">
        <v>57943.65</v>
      </c>
      <c r="F308">
        <v>350.16</v>
      </c>
      <c r="G308">
        <v>0.61</v>
      </c>
      <c r="H308">
        <v>1.21</v>
      </c>
      <c r="I308">
        <v>1050.6300000000001</v>
      </c>
      <c r="J308">
        <v>25.56</v>
      </c>
      <c r="K308">
        <v>3.55</v>
      </c>
      <c r="L308">
        <v>0.96</v>
      </c>
    </row>
    <row r="309" spans="1:12" x14ac:dyDescent="0.3">
      <c r="A309" s="1">
        <v>44650</v>
      </c>
      <c r="B309">
        <v>58362.85</v>
      </c>
      <c r="C309">
        <v>58727.78</v>
      </c>
      <c r="D309">
        <v>58176</v>
      </c>
      <c r="E309">
        <v>58683.99</v>
      </c>
      <c r="F309">
        <v>740.34</v>
      </c>
      <c r="G309">
        <v>1.28</v>
      </c>
      <c r="H309">
        <v>0.63</v>
      </c>
      <c r="I309">
        <v>688.3</v>
      </c>
      <c r="J309">
        <v>25.91</v>
      </c>
      <c r="K309">
        <v>3.6</v>
      </c>
      <c r="L309">
        <v>0.95</v>
      </c>
    </row>
    <row r="310" spans="1:12" x14ac:dyDescent="0.3">
      <c r="A310" s="1">
        <v>44651</v>
      </c>
      <c r="B310">
        <v>58779.71</v>
      </c>
      <c r="C310">
        <v>58890.92</v>
      </c>
      <c r="D310">
        <v>58485.79</v>
      </c>
      <c r="E310">
        <v>58568.51</v>
      </c>
      <c r="F310">
        <v>-115.48</v>
      </c>
      <c r="G310">
        <v>-0.2</v>
      </c>
      <c r="H310">
        <v>0.44</v>
      </c>
      <c r="I310">
        <v>512.75</v>
      </c>
      <c r="J310">
        <v>25.77</v>
      </c>
      <c r="K310">
        <v>3.57</v>
      </c>
      <c r="L310">
        <v>0.95</v>
      </c>
    </row>
    <row r="311" spans="1:12" x14ac:dyDescent="0.3">
      <c r="A311" s="1">
        <v>44652</v>
      </c>
      <c r="B311">
        <v>58530.73</v>
      </c>
      <c r="C311">
        <v>59396.62</v>
      </c>
      <c r="D311">
        <v>58450.04</v>
      </c>
      <c r="E311">
        <v>59276.69</v>
      </c>
      <c r="F311">
        <v>708.18</v>
      </c>
      <c r="G311">
        <v>1.21</v>
      </c>
      <c r="H311">
        <v>0.64</v>
      </c>
      <c r="I311">
        <v>511.38</v>
      </c>
      <c r="J311">
        <v>26.06</v>
      </c>
      <c r="K311">
        <v>3.62</v>
      </c>
      <c r="L311">
        <v>0.94</v>
      </c>
    </row>
    <row r="312" spans="1:12" x14ac:dyDescent="0.3">
      <c r="A312" s="1">
        <v>44655</v>
      </c>
      <c r="B312">
        <v>59764.13</v>
      </c>
      <c r="C312">
        <v>60845.1</v>
      </c>
      <c r="D312">
        <v>59760.22</v>
      </c>
      <c r="E312">
        <v>60611.74</v>
      </c>
      <c r="F312">
        <v>1335.05</v>
      </c>
      <c r="G312">
        <v>2.25</v>
      </c>
      <c r="H312">
        <v>1.26</v>
      </c>
      <c r="I312">
        <v>1604.06</v>
      </c>
      <c r="J312">
        <v>26.84</v>
      </c>
      <c r="K312">
        <v>3.72</v>
      </c>
      <c r="L312">
        <v>0.92</v>
      </c>
    </row>
    <row r="313" spans="1:12" x14ac:dyDescent="0.3">
      <c r="A313" s="1">
        <v>44656</v>
      </c>
      <c r="B313">
        <v>60786.07</v>
      </c>
      <c r="C313">
        <v>60786.07</v>
      </c>
      <c r="D313">
        <v>60067.18</v>
      </c>
      <c r="E313">
        <v>60176.5</v>
      </c>
      <c r="F313">
        <v>-435.24</v>
      </c>
      <c r="G313">
        <v>-0.72</v>
      </c>
      <c r="H313">
        <v>0.68</v>
      </c>
      <c r="I313">
        <v>663.3</v>
      </c>
      <c r="J313">
        <v>26.7</v>
      </c>
      <c r="K313">
        <v>3.7</v>
      </c>
      <c r="L313">
        <v>0.92</v>
      </c>
    </row>
    <row r="314" spans="1:12" x14ac:dyDescent="0.3">
      <c r="A314" s="1">
        <v>44657</v>
      </c>
      <c r="B314">
        <v>59815.71</v>
      </c>
      <c r="C314">
        <v>59941.57</v>
      </c>
      <c r="D314">
        <v>59509.84</v>
      </c>
      <c r="E314">
        <v>59610.41</v>
      </c>
      <c r="F314">
        <v>-566.09</v>
      </c>
      <c r="G314">
        <v>-0.94</v>
      </c>
      <c r="H314">
        <v>1.06</v>
      </c>
      <c r="I314">
        <v>814.07</v>
      </c>
      <c r="J314">
        <v>26.15</v>
      </c>
      <c r="K314">
        <v>3.63</v>
      </c>
      <c r="L314">
        <v>0.94</v>
      </c>
    </row>
    <row r="315" spans="1:12" x14ac:dyDescent="0.3">
      <c r="A315" s="1">
        <v>44658</v>
      </c>
      <c r="B315">
        <v>59402.61</v>
      </c>
      <c r="C315">
        <v>59504.92</v>
      </c>
      <c r="D315">
        <v>58977.35</v>
      </c>
      <c r="E315">
        <v>59034.95</v>
      </c>
      <c r="F315">
        <v>-575.46</v>
      </c>
      <c r="G315">
        <v>-0.97</v>
      </c>
      <c r="H315">
        <v>0.83</v>
      </c>
      <c r="I315">
        <v>766.2</v>
      </c>
      <c r="J315">
        <v>25.82</v>
      </c>
      <c r="K315">
        <v>3.58</v>
      </c>
      <c r="L315">
        <v>0.95</v>
      </c>
    </row>
    <row r="316" spans="1:12" x14ac:dyDescent="0.3">
      <c r="A316" s="1">
        <v>44659</v>
      </c>
      <c r="B316">
        <v>59256.97</v>
      </c>
      <c r="C316">
        <v>59654.44</v>
      </c>
      <c r="D316">
        <v>58876.36</v>
      </c>
      <c r="E316">
        <v>59447.18</v>
      </c>
      <c r="F316">
        <v>412.23</v>
      </c>
      <c r="G316">
        <v>0.7</v>
      </c>
      <c r="H316">
        <v>0.84</v>
      </c>
      <c r="I316">
        <v>792.77</v>
      </c>
      <c r="J316">
        <v>26.19</v>
      </c>
      <c r="K316">
        <v>3.63</v>
      </c>
      <c r="L316">
        <v>0.94</v>
      </c>
    </row>
    <row r="317" spans="1:12" x14ac:dyDescent="0.3">
      <c r="A317" s="1">
        <v>44662</v>
      </c>
      <c r="B317">
        <v>59333.18</v>
      </c>
      <c r="C317">
        <v>59355.76</v>
      </c>
      <c r="D317">
        <v>58894.400000000001</v>
      </c>
      <c r="E317">
        <v>58964.57</v>
      </c>
      <c r="F317">
        <v>-482.61</v>
      </c>
      <c r="G317">
        <v>-0.81</v>
      </c>
      <c r="H317">
        <v>0.9</v>
      </c>
      <c r="I317">
        <v>839.27</v>
      </c>
      <c r="J317">
        <v>25.93</v>
      </c>
      <c r="K317">
        <v>3.6</v>
      </c>
      <c r="L317">
        <v>0.95</v>
      </c>
    </row>
    <row r="318" spans="1:12" x14ac:dyDescent="0.3">
      <c r="A318" s="1">
        <v>44663</v>
      </c>
      <c r="B318">
        <v>58743.5</v>
      </c>
      <c r="C318">
        <v>58794.78</v>
      </c>
      <c r="D318">
        <v>58298.57</v>
      </c>
      <c r="E318">
        <v>58576.37</v>
      </c>
      <c r="F318">
        <v>-388.2</v>
      </c>
      <c r="G318">
        <v>-0.66</v>
      </c>
      <c r="H318" t="s">
        <v>13</v>
      </c>
      <c r="J318">
        <v>25.72</v>
      </c>
      <c r="K318">
        <v>3.57</v>
      </c>
      <c r="L318">
        <v>0.96</v>
      </c>
    </row>
    <row r="319" spans="1:12" x14ac:dyDescent="0.3">
      <c r="A319" s="1">
        <v>44664</v>
      </c>
      <c r="B319">
        <v>58910.74</v>
      </c>
      <c r="C319">
        <v>59003.82</v>
      </c>
      <c r="D319">
        <v>58291.23</v>
      </c>
      <c r="E319">
        <v>58338.93</v>
      </c>
      <c r="F319">
        <v>-237.44</v>
      </c>
      <c r="G319">
        <v>-0.41</v>
      </c>
      <c r="H319">
        <v>0.66</v>
      </c>
      <c r="I319">
        <v>633.1</v>
      </c>
      <c r="J319">
        <v>25.57</v>
      </c>
      <c r="K319">
        <v>3.55</v>
      </c>
      <c r="L319">
        <v>0.96</v>
      </c>
    </row>
    <row r="320" spans="1:12" x14ac:dyDescent="0.3">
      <c r="A320" s="1">
        <v>44669</v>
      </c>
      <c r="B320">
        <v>57338.58</v>
      </c>
      <c r="C320">
        <v>57420.800000000003</v>
      </c>
      <c r="D320">
        <v>56842.39</v>
      </c>
      <c r="E320">
        <v>57166.74</v>
      </c>
      <c r="F320">
        <v>-1172.19</v>
      </c>
      <c r="G320">
        <v>-2.0099999999999998</v>
      </c>
      <c r="H320">
        <v>1.35</v>
      </c>
      <c r="I320">
        <v>1072.6199999999999</v>
      </c>
      <c r="J320">
        <v>24.98</v>
      </c>
      <c r="K320">
        <v>3.48</v>
      </c>
      <c r="L320">
        <v>0.99</v>
      </c>
    </row>
    <row r="321" spans="1:12" x14ac:dyDescent="0.3">
      <c r="A321" s="1">
        <v>44670</v>
      </c>
      <c r="B321">
        <v>57381.77</v>
      </c>
      <c r="C321">
        <v>57464.08</v>
      </c>
      <c r="D321">
        <v>56009.07</v>
      </c>
      <c r="E321">
        <v>56463.15</v>
      </c>
      <c r="F321">
        <v>-703.59</v>
      </c>
      <c r="G321">
        <v>-1.23</v>
      </c>
      <c r="H321">
        <v>1.35</v>
      </c>
      <c r="I321">
        <v>1411.4</v>
      </c>
      <c r="J321">
        <v>24.63</v>
      </c>
      <c r="K321">
        <v>3.43</v>
      </c>
      <c r="L321">
        <v>1.01</v>
      </c>
    </row>
    <row r="322" spans="1:12" x14ac:dyDescent="0.3">
      <c r="A322" s="1">
        <v>44671</v>
      </c>
      <c r="B322">
        <v>56741.43</v>
      </c>
      <c r="C322">
        <v>57216.51</v>
      </c>
      <c r="D322">
        <v>56521.33</v>
      </c>
      <c r="E322">
        <v>57037.5</v>
      </c>
      <c r="F322">
        <v>574.35</v>
      </c>
      <c r="G322">
        <v>1.02</v>
      </c>
      <c r="H322">
        <v>0.76</v>
      </c>
      <c r="I322">
        <v>871.01</v>
      </c>
      <c r="J322">
        <v>24.86</v>
      </c>
      <c r="K322">
        <v>3.46</v>
      </c>
      <c r="L322">
        <v>1</v>
      </c>
    </row>
    <row r="323" spans="1:12" x14ac:dyDescent="0.3">
      <c r="A323" s="1">
        <v>44672</v>
      </c>
      <c r="B323">
        <v>57458.6</v>
      </c>
      <c r="C323">
        <v>57991.53</v>
      </c>
      <c r="D323">
        <v>57311.86</v>
      </c>
      <c r="E323">
        <v>57911.68</v>
      </c>
      <c r="F323">
        <v>874.18</v>
      </c>
      <c r="G323">
        <v>1.53</v>
      </c>
      <c r="H323">
        <v>0.8</v>
      </c>
      <c r="I323">
        <v>732.33</v>
      </c>
      <c r="J323">
        <v>25.35</v>
      </c>
      <c r="K323">
        <v>3.53</v>
      </c>
      <c r="L323">
        <v>0.98</v>
      </c>
    </row>
    <row r="324" spans="1:12" x14ac:dyDescent="0.3">
      <c r="A324" s="1">
        <v>44673</v>
      </c>
      <c r="B324">
        <v>57531.95</v>
      </c>
      <c r="C324">
        <v>57689.86</v>
      </c>
      <c r="D324">
        <v>57134.720000000001</v>
      </c>
      <c r="E324">
        <v>57197.15</v>
      </c>
      <c r="F324">
        <v>-714.53</v>
      </c>
      <c r="G324">
        <v>-1.23</v>
      </c>
      <c r="H324">
        <v>0.76</v>
      </c>
      <c r="I324">
        <v>932.43</v>
      </c>
      <c r="J324">
        <v>24.9</v>
      </c>
      <c r="K324">
        <v>3.47</v>
      </c>
      <c r="L324">
        <v>1</v>
      </c>
    </row>
    <row r="325" spans="1:12" x14ac:dyDescent="0.3">
      <c r="A325" s="1">
        <v>44676</v>
      </c>
      <c r="B325">
        <v>56757.64</v>
      </c>
      <c r="C325">
        <v>56875.65</v>
      </c>
      <c r="D325">
        <v>56356.87</v>
      </c>
      <c r="E325">
        <v>56579.89</v>
      </c>
      <c r="F325">
        <v>-617.26</v>
      </c>
      <c r="G325">
        <v>-1.08</v>
      </c>
      <c r="H325">
        <v>0.7</v>
      </c>
      <c r="I325">
        <v>727.38</v>
      </c>
      <c r="J325">
        <v>24.32</v>
      </c>
      <c r="K325">
        <v>3.42</v>
      </c>
      <c r="L325">
        <v>1.01</v>
      </c>
    </row>
    <row r="326" spans="1:12" x14ac:dyDescent="0.3">
      <c r="A326" s="1">
        <v>44677</v>
      </c>
      <c r="B326">
        <v>57066.239999999998</v>
      </c>
      <c r="C326">
        <v>57442.239999999998</v>
      </c>
      <c r="D326">
        <v>56904.51</v>
      </c>
      <c r="E326">
        <v>57356.61</v>
      </c>
      <c r="F326">
        <v>776.72</v>
      </c>
      <c r="G326">
        <v>1.37</v>
      </c>
      <c r="H326">
        <v>0.73</v>
      </c>
      <c r="I326">
        <v>668.46</v>
      </c>
      <c r="J326">
        <v>24.67</v>
      </c>
      <c r="K326">
        <v>3.47</v>
      </c>
      <c r="L326">
        <v>0.99</v>
      </c>
    </row>
    <row r="327" spans="1:12" x14ac:dyDescent="0.3">
      <c r="A327" s="1">
        <v>44678</v>
      </c>
      <c r="B327">
        <v>56983.68</v>
      </c>
      <c r="C327">
        <v>57079.03</v>
      </c>
      <c r="D327">
        <v>56584.04</v>
      </c>
      <c r="E327">
        <v>56819.39</v>
      </c>
      <c r="F327">
        <v>-537.22</v>
      </c>
      <c r="G327">
        <v>-0.94</v>
      </c>
      <c r="H327">
        <v>0.66</v>
      </c>
      <c r="I327">
        <v>729.41</v>
      </c>
      <c r="J327">
        <v>24.5</v>
      </c>
      <c r="K327">
        <v>3.44</v>
      </c>
      <c r="L327">
        <v>1.03</v>
      </c>
    </row>
    <row r="328" spans="1:12" x14ac:dyDescent="0.3">
      <c r="A328" s="1">
        <v>44679</v>
      </c>
      <c r="B328">
        <v>57296.31</v>
      </c>
      <c r="C328">
        <v>57790.85</v>
      </c>
      <c r="D328">
        <v>56936.94</v>
      </c>
      <c r="E328">
        <v>57521.06</v>
      </c>
      <c r="F328">
        <v>701.67</v>
      </c>
      <c r="G328">
        <v>1.23</v>
      </c>
      <c r="H328">
        <v>0.71</v>
      </c>
      <c r="I328">
        <v>720.26</v>
      </c>
      <c r="J328">
        <v>24.85</v>
      </c>
      <c r="K328">
        <v>3.5</v>
      </c>
      <c r="L328">
        <v>1.02</v>
      </c>
    </row>
    <row r="329" spans="1:12" x14ac:dyDescent="0.3">
      <c r="A329" s="1">
        <v>44680</v>
      </c>
      <c r="B329">
        <v>57817.51</v>
      </c>
      <c r="C329">
        <v>57975.48</v>
      </c>
      <c r="D329">
        <v>56902.3</v>
      </c>
      <c r="E329">
        <v>57060.87</v>
      </c>
      <c r="F329">
        <v>-460.19</v>
      </c>
      <c r="G329">
        <v>-0.8</v>
      </c>
      <c r="H329">
        <v>0.95</v>
      </c>
      <c r="I329">
        <v>732.57</v>
      </c>
      <c r="J329">
        <v>24.59</v>
      </c>
      <c r="K329">
        <v>3.46</v>
      </c>
      <c r="L329">
        <v>1.03</v>
      </c>
    </row>
    <row r="330" spans="1:12" x14ac:dyDescent="0.3">
      <c r="A330" s="1">
        <v>44683</v>
      </c>
      <c r="B330">
        <v>56429.45</v>
      </c>
      <c r="C330">
        <v>57054.23</v>
      </c>
      <c r="D330">
        <v>56412.62</v>
      </c>
      <c r="E330">
        <v>56975.99</v>
      </c>
      <c r="F330">
        <v>-84.88</v>
      </c>
      <c r="G330">
        <v>-0.15</v>
      </c>
      <c r="H330">
        <v>0.79</v>
      </c>
      <c r="I330">
        <v>753.5</v>
      </c>
      <c r="J330">
        <v>24.51</v>
      </c>
      <c r="K330">
        <v>3.45</v>
      </c>
      <c r="L330">
        <v>1.04</v>
      </c>
    </row>
    <row r="331" spans="1:12" x14ac:dyDescent="0.3">
      <c r="A331" s="1">
        <v>44685</v>
      </c>
      <c r="B331">
        <v>57124.91</v>
      </c>
      <c r="C331">
        <v>57184.21</v>
      </c>
      <c r="D331">
        <v>55501.599999999999</v>
      </c>
      <c r="E331">
        <v>55669.03</v>
      </c>
      <c r="F331">
        <v>-1306.96</v>
      </c>
      <c r="G331">
        <v>-2.29</v>
      </c>
      <c r="H331">
        <v>5.07</v>
      </c>
      <c r="I331">
        <v>5823.02</v>
      </c>
      <c r="J331">
        <v>23.66</v>
      </c>
      <c r="K331">
        <v>3.33</v>
      </c>
      <c r="L331">
        <v>1.08</v>
      </c>
    </row>
    <row r="332" spans="1:12" x14ac:dyDescent="0.3">
      <c r="A332" s="1">
        <v>44686</v>
      </c>
      <c r="B332">
        <v>56255.07</v>
      </c>
      <c r="C332">
        <v>56566.8</v>
      </c>
      <c r="D332">
        <v>55613.82</v>
      </c>
      <c r="E332">
        <v>55702.23</v>
      </c>
      <c r="F332">
        <v>33.200000000000003</v>
      </c>
      <c r="G332">
        <v>0.06</v>
      </c>
      <c r="H332">
        <v>0.82</v>
      </c>
      <c r="I332">
        <v>742.09</v>
      </c>
      <c r="J332">
        <v>23.72</v>
      </c>
      <c r="K332">
        <v>3.33</v>
      </c>
      <c r="L332">
        <v>1.1000000000000001</v>
      </c>
    </row>
    <row r="333" spans="1:12" x14ac:dyDescent="0.3">
      <c r="A333" s="1">
        <v>44687</v>
      </c>
      <c r="B333">
        <v>54928.29</v>
      </c>
      <c r="C333">
        <v>55070.12</v>
      </c>
      <c r="D333">
        <v>54586.75</v>
      </c>
      <c r="E333">
        <v>54835.58</v>
      </c>
      <c r="F333">
        <v>-866.65</v>
      </c>
      <c r="G333">
        <v>-1.56</v>
      </c>
      <c r="H333">
        <v>0.8</v>
      </c>
      <c r="I333">
        <v>814.98</v>
      </c>
      <c r="J333">
        <v>23.01</v>
      </c>
      <c r="K333">
        <v>3.21</v>
      </c>
      <c r="L333">
        <v>1.1599999999999999</v>
      </c>
    </row>
    <row r="334" spans="1:12" x14ac:dyDescent="0.3">
      <c r="A334" s="1">
        <v>44690</v>
      </c>
      <c r="B334">
        <v>54188.21</v>
      </c>
      <c r="C334">
        <v>54795.47</v>
      </c>
      <c r="D334">
        <v>53918.02</v>
      </c>
      <c r="E334">
        <v>54470.67</v>
      </c>
      <c r="F334">
        <v>-364.91</v>
      </c>
      <c r="G334">
        <v>-0.67</v>
      </c>
      <c r="H334">
        <v>0.93</v>
      </c>
      <c r="I334">
        <v>869.46</v>
      </c>
      <c r="J334">
        <v>22.7</v>
      </c>
      <c r="K334">
        <v>3.19</v>
      </c>
      <c r="L334">
        <v>1.17</v>
      </c>
    </row>
    <row r="335" spans="1:12" x14ac:dyDescent="0.3">
      <c r="A335" s="1">
        <v>44691</v>
      </c>
      <c r="B335">
        <v>54309.31</v>
      </c>
      <c r="C335">
        <v>54857.02</v>
      </c>
      <c r="D335">
        <v>54226.33</v>
      </c>
      <c r="E335">
        <v>54364.85</v>
      </c>
      <c r="F335">
        <v>-105.82</v>
      </c>
      <c r="G335">
        <v>-0.19</v>
      </c>
      <c r="H335">
        <v>0.8</v>
      </c>
      <c r="I335">
        <v>789.98</v>
      </c>
      <c r="J335">
        <v>22.66</v>
      </c>
      <c r="K335">
        <v>3.19</v>
      </c>
      <c r="L335">
        <v>1.18</v>
      </c>
    </row>
    <row r="336" spans="1:12" x14ac:dyDescent="0.3">
      <c r="A336" s="1">
        <v>44692</v>
      </c>
      <c r="B336">
        <v>54544.91</v>
      </c>
      <c r="C336">
        <v>54598.55</v>
      </c>
      <c r="D336">
        <v>53519.3</v>
      </c>
      <c r="E336">
        <v>54088.39</v>
      </c>
      <c r="F336">
        <v>-276.45999999999998</v>
      </c>
      <c r="G336">
        <v>-0.51</v>
      </c>
      <c r="H336">
        <v>0.72</v>
      </c>
      <c r="I336">
        <v>723.28</v>
      </c>
      <c r="J336">
        <v>22.43</v>
      </c>
      <c r="K336">
        <v>3.16</v>
      </c>
      <c r="L336">
        <v>1.18</v>
      </c>
    </row>
    <row r="337" spans="1:12" x14ac:dyDescent="0.3">
      <c r="A337" s="1">
        <v>44693</v>
      </c>
      <c r="B337">
        <v>53608.35</v>
      </c>
      <c r="C337">
        <v>53632.55</v>
      </c>
      <c r="D337">
        <v>52702.3</v>
      </c>
      <c r="E337">
        <v>52930.31</v>
      </c>
      <c r="F337">
        <v>-1158.08</v>
      </c>
      <c r="G337">
        <v>-2.14</v>
      </c>
      <c r="H337">
        <v>0.69</v>
      </c>
      <c r="I337">
        <v>734.86</v>
      </c>
      <c r="J337">
        <v>21.83</v>
      </c>
      <c r="K337">
        <v>3.08</v>
      </c>
      <c r="L337">
        <v>1.21</v>
      </c>
    </row>
    <row r="338" spans="1:12" x14ac:dyDescent="0.3">
      <c r="A338" s="1">
        <v>44694</v>
      </c>
      <c r="B338">
        <v>53565.74</v>
      </c>
      <c r="C338">
        <v>53785.71</v>
      </c>
      <c r="D338">
        <v>52654.89</v>
      </c>
      <c r="E338">
        <v>52793.62</v>
      </c>
      <c r="F338">
        <v>-136.69</v>
      </c>
      <c r="G338">
        <v>-0.26</v>
      </c>
      <c r="H338">
        <v>0.93</v>
      </c>
      <c r="I338">
        <v>792.38</v>
      </c>
      <c r="J338">
        <v>21.84</v>
      </c>
      <c r="K338">
        <v>3.08</v>
      </c>
      <c r="L338">
        <v>1.21</v>
      </c>
    </row>
    <row r="339" spans="1:12" x14ac:dyDescent="0.3">
      <c r="A339" s="1">
        <v>44697</v>
      </c>
      <c r="B339">
        <v>52946.32</v>
      </c>
      <c r="C339">
        <v>53428.28</v>
      </c>
      <c r="D339">
        <v>52632.480000000003</v>
      </c>
      <c r="E339">
        <v>52973.84</v>
      </c>
      <c r="F339">
        <v>180.22</v>
      </c>
      <c r="G339">
        <v>0.34</v>
      </c>
      <c r="H339">
        <v>0.48</v>
      </c>
      <c r="I339">
        <v>502.05</v>
      </c>
      <c r="J339">
        <v>21.54</v>
      </c>
      <c r="K339">
        <v>3.06</v>
      </c>
      <c r="L339">
        <v>1.24</v>
      </c>
    </row>
    <row r="340" spans="1:12" x14ac:dyDescent="0.3">
      <c r="A340" s="1">
        <v>44698</v>
      </c>
      <c r="B340">
        <v>53285.19</v>
      </c>
      <c r="C340">
        <v>54399.42</v>
      </c>
      <c r="D340">
        <v>53176.02</v>
      </c>
      <c r="E340">
        <v>54318.47</v>
      </c>
      <c r="F340">
        <v>1344.63</v>
      </c>
      <c r="G340">
        <v>2.54</v>
      </c>
      <c r="H340">
        <v>0.74</v>
      </c>
      <c r="I340">
        <v>845.19</v>
      </c>
      <c r="J340">
        <v>22.16</v>
      </c>
      <c r="K340">
        <v>3.15</v>
      </c>
      <c r="L340">
        <v>1.21</v>
      </c>
    </row>
    <row r="341" spans="1:12" x14ac:dyDescent="0.3">
      <c r="A341" s="1">
        <v>44699</v>
      </c>
      <c r="B341">
        <v>54554.89</v>
      </c>
      <c r="C341">
        <v>54786</v>
      </c>
      <c r="D341">
        <v>54130.89</v>
      </c>
      <c r="E341">
        <v>54208.53</v>
      </c>
      <c r="F341">
        <v>-109.94</v>
      </c>
      <c r="G341">
        <v>-0.2</v>
      </c>
      <c r="H341">
        <v>0.57999999999999996</v>
      </c>
      <c r="I341">
        <v>596.11</v>
      </c>
      <c r="J341">
        <v>22.21</v>
      </c>
      <c r="K341">
        <v>3.16</v>
      </c>
      <c r="L341">
        <v>1.21</v>
      </c>
    </row>
    <row r="342" spans="1:12" x14ac:dyDescent="0.3">
      <c r="A342" s="1">
        <v>44700</v>
      </c>
      <c r="B342">
        <v>53070.3</v>
      </c>
      <c r="C342">
        <v>53356.04</v>
      </c>
      <c r="D342">
        <v>52669.51</v>
      </c>
      <c r="E342">
        <v>52792.23</v>
      </c>
      <c r="F342">
        <v>-1416.3</v>
      </c>
      <c r="G342">
        <v>-2.61</v>
      </c>
      <c r="H342">
        <v>0.91</v>
      </c>
      <c r="I342">
        <v>1027.48</v>
      </c>
      <c r="J342">
        <v>21.46</v>
      </c>
      <c r="K342">
        <v>3.06</v>
      </c>
      <c r="L342">
        <v>1.24</v>
      </c>
    </row>
    <row r="343" spans="1:12" x14ac:dyDescent="0.3">
      <c r="A343" s="1">
        <v>44701</v>
      </c>
      <c r="B343">
        <v>53513.97</v>
      </c>
      <c r="C343">
        <v>54396.43</v>
      </c>
      <c r="D343">
        <v>53403.29</v>
      </c>
      <c r="E343">
        <v>54326.39</v>
      </c>
      <c r="F343">
        <v>1534.16</v>
      </c>
      <c r="G343">
        <v>2.91</v>
      </c>
      <c r="H343">
        <v>0.76</v>
      </c>
      <c r="I343">
        <v>699.56</v>
      </c>
      <c r="J343">
        <v>22.19</v>
      </c>
      <c r="K343">
        <v>3.16</v>
      </c>
      <c r="L343">
        <v>1.2</v>
      </c>
    </row>
    <row r="344" spans="1:12" x14ac:dyDescent="0.3">
      <c r="A344" s="1">
        <v>44704</v>
      </c>
      <c r="B344">
        <v>54459.95</v>
      </c>
      <c r="C344">
        <v>54931.3</v>
      </c>
      <c r="D344">
        <v>54191.55</v>
      </c>
      <c r="E344">
        <v>54288.61</v>
      </c>
      <c r="F344">
        <v>-37.78</v>
      </c>
      <c r="G344">
        <v>-7.0000000000000007E-2</v>
      </c>
      <c r="H344">
        <v>0.71</v>
      </c>
      <c r="I344">
        <v>742.68</v>
      </c>
      <c r="J344">
        <v>22.16</v>
      </c>
      <c r="K344">
        <v>3.16</v>
      </c>
      <c r="L344">
        <v>1.21</v>
      </c>
    </row>
    <row r="345" spans="1:12" x14ac:dyDescent="0.3">
      <c r="A345" s="1">
        <v>44705</v>
      </c>
      <c r="B345">
        <v>54307.56</v>
      </c>
      <c r="C345">
        <v>54524.37</v>
      </c>
      <c r="D345">
        <v>53886.28</v>
      </c>
      <c r="E345">
        <v>54052.61</v>
      </c>
      <c r="F345">
        <v>-236</v>
      </c>
      <c r="G345">
        <v>-0.43</v>
      </c>
      <c r="H345">
        <v>0.56000000000000005</v>
      </c>
      <c r="I345">
        <v>532.28</v>
      </c>
      <c r="J345">
        <v>22.03</v>
      </c>
      <c r="K345">
        <v>3.14</v>
      </c>
      <c r="L345">
        <v>1.21</v>
      </c>
    </row>
    <row r="346" spans="1:12" x14ac:dyDescent="0.3">
      <c r="A346" s="1">
        <v>44706</v>
      </c>
      <c r="B346">
        <v>54254.07</v>
      </c>
      <c r="C346">
        <v>54379.59</v>
      </c>
      <c r="D346">
        <v>53683.16</v>
      </c>
      <c r="E346">
        <v>53749.26</v>
      </c>
      <c r="F346">
        <v>-303.35000000000002</v>
      </c>
      <c r="G346">
        <v>-0.56000000000000005</v>
      </c>
      <c r="H346">
        <v>0.62</v>
      </c>
      <c r="I346">
        <v>663.43</v>
      </c>
      <c r="J346">
        <v>21.85</v>
      </c>
      <c r="K346">
        <v>3.12</v>
      </c>
      <c r="L346">
        <v>1.23</v>
      </c>
    </row>
    <row r="347" spans="1:12" x14ac:dyDescent="0.3">
      <c r="A347" s="1">
        <v>44707</v>
      </c>
      <c r="B347">
        <v>53950.84</v>
      </c>
      <c r="C347">
        <v>54346.22</v>
      </c>
      <c r="D347">
        <v>53425.25</v>
      </c>
      <c r="E347">
        <v>54252.53</v>
      </c>
      <c r="F347">
        <v>503.27</v>
      </c>
      <c r="G347">
        <v>0.94</v>
      </c>
      <c r="H347">
        <v>0.75</v>
      </c>
      <c r="I347">
        <v>767.55</v>
      </c>
      <c r="J347">
        <v>22.03</v>
      </c>
      <c r="K347">
        <v>3.14</v>
      </c>
      <c r="L347">
        <v>1.22</v>
      </c>
    </row>
    <row r="348" spans="1:12" x14ac:dyDescent="0.3">
      <c r="A348" s="1">
        <v>44708</v>
      </c>
      <c r="B348">
        <v>54671.5</v>
      </c>
      <c r="C348">
        <v>54936.63</v>
      </c>
      <c r="D348">
        <v>54449.34</v>
      </c>
      <c r="E348">
        <v>54884.66</v>
      </c>
      <c r="F348">
        <v>632.13</v>
      </c>
      <c r="G348">
        <v>1.17</v>
      </c>
      <c r="H348">
        <v>0.7</v>
      </c>
      <c r="I348">
        <v>812.46</v>
      </c>
      <c r="J348">
        <v>22.27</v>
      </c>
      <c r="K348">
        <v>3.18</v>
      </c>
      <c r="L348">
        <v>1.21</v>
      </c>
    </row>
    <row r="349" spans="1:12" x14ac:dyDescent="0.3">
      <c r="A349" s="1">
        <v>44711</v>
      </c>
      <c r="B349">
        <v>55507.75</v>
      </c>
      <c r="C349">
        <v>56082.65</v>
      </c>
      <c r="D349">
        <v>55466.3</v>
      </c>
      <c r="E349">
        <v>55925.74</v>
      </c>
      <c r="F349">
        <v>1041.08</v>
      </c>
      <c r="G349">
        <v>1.9</v>
      </c>
      <c r="H349">
        <v>0.59</v>
      </c>
      <c r="I349">
        <v>602.52</v>
      </c>
      <c r="J349">
        <v>22.72</v>
      </c>
      <c r="K349">
        <v>3.24</v>
      </c>
      <c r="L349">
        <v>1.18</v>
      </c>
    </row>
    <row r="350" spans="1:12" x14ac:dyDescent="0.3">
      <c r="A350" s="1">
        <v>44712</v>
      </c>
      <c r="B350">
        <v>55622.01</v>
      </c>
      <c r="C350">
        <v>55925.62</v>
      </c>
      <c r="D350">
        <v>55369.14</v>
      </c>
      <c r="E350">
        <v>55566.41</v>
      </c>
      <c r="F350">
        <v>-359.33</v>
      </c>
      <c r="G350">
        <v>-0.64</v>
      </c>
      <c r="H350">
        <v>0.83</v>
      </c>
      <c r="I350">
        <v>730.3</v>
      </c>
      <c r="J350">
        <v>22.53</v>
      </c>
      <c r="K350">
        <v>3.22</v>
      </c>
      <c r="L350">
        <v>1.19</v>
      </c>
    </row>
    <row r="351" spans="1:12" x14ac:dyDescent="0.3">
      <c r="A351" s="1">
        <v>44713</v>
      </c>
      <c r="B351">
        <v>55588.27</v>
      </c>
      <c r="C351">
        <v>55791.49</v>
      </c>
      <c r="D351">
        <v>55091.43</v>
      </c>
      <c r="E351">
        <v>55381.17</v>
      </c>
      <c r="F351">
        <v>-185.24</v>
      </c>
      <c r="G351">
        <v>-0.33</v>
      </c>
      <c r="H351">
        <v>0.73</v>
      </c>
      <c r="I351">
        <v>701.92</v>
      </c>
      <c r="J351">
        <v>22.6</v>
      </c>
      <c r="K351">
        <v>3.21</v>
      </c>
      <c r="L351">
        <v>1.2</v>
      </c>
    </row>
    <row r="352" spans="1:12" x14ac:dyDescent="0.3">
      <c r="A352" s="1">
        <v>44714</v>
      </c>
      <c r="B352">
        <v>55382.44</v>
      </c>
      <c r="C352">
        <v>55891.92</v>
      </c>
      <c r="D352">
        <v>55135.11</v>
      </c>
      <c r="E352">
        <v>55818.11</v>
      </c>
      <c r="F352">
        <v>436.94</v>
      </c>
      <c r="G352">
        <v>0.79</v>
      </c>
      <c r="H352">
        <v>0.59</v>
      </c>
      <c r="I352">
        <v>576.79</v>
      </c>
      <c r="J352">
        <v>22.8</v>
      </c>
      <c r="K352">
        <v>3.24</v>
      </c>
      <c r="L352">
        <v>1.19</v>
      </c>
    </row>
    <row r="353" spans="1:12" x14ac:dyDescent="0.3">
      <c r="A353" s="1">
        <v>44715</v>
      </c>
      <c r="B353">
        <v>56245.599999999999</v>
      </c>
      <c r="C353">
        <v>56432.65</v>
      </c>
      <c r="D353">
        <v>55719.360000000001</v>
      </c>
      <c r="E353">
        <v>55769.23</v>
      </c>
      <c r="F353">
        <v>-48.88</v>
      </c>
      <c r="G353">
        <v>-0.09</v>
      </c>
      <c r="H353">
        <v>0.59</v>
      </c>
      <c r="I353">
        <v>669.62</v>
      </c>
      <c r="J353">
        <v>22.74</v>
      </c>
      <c r="K353">
        <v>3.23</v>
      </c>
      <c r="L353">
        <v>1.19</v>
      </c>
    </row>
    <row r="354" spans="1:12" x14ac:dyDescent="0.3">
      <c r="A354" s="1">
        <v>44718</v>
      </c>
      <c r="B354">
        <v>55610.64</v>
      </c>
      <c r="C354">
        <v>55832.28</v>
      </c>
      <c r="D354">
        <v>55295.74</v>
      </c>
      <c r="E354">
        <v>55675.32</v>
      </c>
      <c r="F354">
        <v>-93.91</v>
      </c>
      <c r="G354">
        <v>-0.17</v>
      </c>
      <c r="H354">
        <v>0.43</v>
      </c>
      <c r="I354">
        <v>454.3</v>
      </c>
      <c r="J354">
        <v>22.74</v>
      </c>
      <c r="K354">
        <v>3.23</v>
      </c>
      <c r="L354">
        <v>1.19</v>
      </c>
    </row>
    <row r="355" spans="1:12" x14ac:dyDescent="0.3">
      <c r="A355" s="1">
        <v>44719</v>
      </c>
      <c r="B355">
        <v>55373.18</v>
      </c>
      <c r="C355">
        <v>55387.77</v>
      </c>
      <c r="D355">
        <v>54882.41</v>
      </c>
      <c r="E355">
        <v>55107.34</v>
      </c>
      <c r="F355">
        <v>-567.98</v>
      </c>
      <c r="G355">
        <v>-1.02</v>
      </c>
      <c r="H355">
        <v>0.36</v>
      </c>
      <c r="I355">
        <v>475.85</v>
      </c>
      <c r="J355">
        <v>22.48</v>
      </c>
      <c r="K355">
        <v>3.19</v>
      </c>
      <c r="L355">
        <v>1.21</v>
      </c>
    </row>
    <row r="356" spans="1:12" x14ac:dyDescent="0.3">
      <c r="A356" s="1">
        <v>44720</v>
      </c>
      <c r="B356">
        <v>55345.51</v>
      </c>
      <c r="C356">
        <v>55423.97</v>
      </c>
      <c r="D356">
        <v>54683.3</v>
      </c>
      <c r="E356">
        <v>54892.49</v>
      </c>
      <c r="F356">
        <v>-214.85</v>
      </c>
      <c r="G356">
        <v>-0.39</v>
      </c>
      <c r="H356">
        <v>0.6</v>
      </c>
      <c r="I356">
        <v>629.70000000000005</v>
      </c>
      <c r="J356">
        <v>22.41</v>
      </c>
      <c r="K356">
        <v>3.18</v>
      </c>
      <c r="L356">
        <v>1.21</v>
      </c>
    </row>
    <row r="357" spans="1:12" x14ac:dyDescent="0.3">
      <c r="A357" s="1">
        <v>44721</v>
      </c>
      <c r="B357">
        <v>54514.17</v>
      </c>
      <c r="C357">
        <v>55366.84</v>
      </c>
      <c r="D357">
        <v>54507.41</v>
      </c>
      <c r="E357">
        <v>55320.28</v>
      </c>
      <c r="F357">
        <v>427.79</v>
      </c>
      <c r="G357">
        <v>0.78</v>
      </c>
      <c r="H357">
        <v>0.6</v>
      </c>
      <c r="I357">
        <v>612.48</v>
      </c>
      <c r="J357">
        <v>22.54</v>
      </c>
      <c r="K357">
        <v>3.2</v>
      </c>
      <c r="L357">
        <v>1.2</v>
      </c>
    </row>
    <row r="358" spans="1:12" x14ac:dyDescent="0.3">
      <c r="A358" s="1">
        <v>44722</v>
      </c>
      <c r="B358">
        <v>54760.25</v>
      </c>
      <c r="C358">
        <v>54780.78</v>
      </c>
      <c r="D358">
        <v>54205.99</v>
      </c>
      <c r="E358">
        <v>54303.44</v>
      </c>
      <c r="F358">
        <v>-1016.84</v>
      </c>
      <c r="G358">
        <v>-1.84</v>
      </c>
      <c r="H358">
        <v>0.48</v>
      </c>
      <c r="I358">
        <v>601.09</v>
      </c>
      <c r="J358">
        <v>22.1</v>
      </c>
      <c r="K358">
        <v>3.14</v>
      </c>
      <c r="L358">
        <v>1.29</v>
      </c>
    </row>
    <row r="359" spans="1:12" x14ac:dyDescent="0.3">
      <c r="A359" s="1">
        <v>44725</v>
      </c>
      <c r="B359">
        <v>53184.61</v>
      </c>
      <c r="C359">
        <v>53207.54</v>
      </c>
      <c r="D359">
        <v>52527.08</v>
      </c>
      <c r="E359">
        <v>52846.7</v>
      </c>
      <c r="F359">
        <v>-1456.74</v>
      </c>
      <c r="G359">
        <v>-2.68</v>
      </c>
      <c r="H359">
        <v>0.75</v>
      </c>
      <c r="I359">
        <v>956.94</v>
      </c>
      <c r="J359">
        <v>21.56</v>
      </c>
      <c r="K359">
        <v>3.06</v>
      </c>
      <c r="L359">
        <v>1.33</v>
      </c>
    </row>
    <row r="360" spans="1:12" x14ac:dyDescent="0.3">
      <c r="A360" s="1">
        <v>44726</v>
      </c>
      <c r="B360">
        <v>52495.94</v>
      </c>
      <c r="C360">
        <v>53095.32</v>
      </c>
      <c r="D360">
        <v>52459.48</v>
      </c>
      <c r="E360">
        <v>52693.57</v>
      </c>
      <c r="F360">
        <v>-153.13</v>
      </c>
      <c r="G360">
        <v>-0.28999999999999998</v>
      </c>
      <c r="H360">
        <v>0.69</v>
      </c>
      <c r="I360">
        <v>704.97</v>
      </c>
      <c r="J360">
        <v>21.5</v>
      </c>
      <c r="K360">
        <v>3.05</v>
      </c>
      <c r="L360">
        <v>1.33</v>
      </c>
    </row>
    <row r="361" spans="1:12" x14ac:dyDescent="0.3">
      <c r="A361" s="1">
        <v>44727</v>
      </c>
      <c r="B361">
        <v>52650.41</v>
      </c>
      <c r="C361">
        <v>52867.73</v>
      </c>
      <c r="D361">
        <v>52493.36</v>
      </c>
      <c r="E361">
        <v>52541.39</v>
      </c>
      <c r="F361">
        <v>-152.18</v>
      </c>
      <c r="G361">
        <v>-0.28999999999999998</v>
      </c>
      <c r="H361">
        <v>0.59</v>
      </c>
      <c r="I361">
        <v>591.47</v>
      </c>
      <c r="J361">
        <v>21.46</v>
      </c>
      <c r="K361">
        <v>3.05</v>
      </c>
      <c r="L361">
        <v>1.33</v>
      </c>
    </row>
    <row r="362" spans="1:12" x14ac:dyDescent="0.3">
      <c r="A362" s="1">
        <v>44728</v>
      </c>
      <c r="B362">
        <v>53018.91</v>
      </c>
      <c r="C362">
        <v>53142.5</v>
      </c>
      <c r="D362">
        <v>51425.48</v>
      </c>
      <c r="E362">
        <v>51495.79</v>
      </c>
      <c r="F362">
        <v>-1045.5999999999999</v>
      </c>
      <c r="G362">
        <v>-1.99</v>
      </c>
      <c r="H362">
        <v>0.92</v>
      </c>
      <c r="I362">
        <v>883.67</v>
      </c>
      <c r="J362">
        <v>20.99</v>
      </c>
      <c r="K362">
        <v>2.98</v>
      </c>
      <c r="L362">
        <v>1.36</v>
      </c>
    </row>
    <row r="363" spans="1:12" x14ac:dyDescent="0.3">
      <c r="A363" s="1">
        <v>44729</v>
      </c>
      <c r="B363">
        <v>51181.99</v>
      </c>
      <c r="C363">
        <v>51652.83</v>
      </c>
      <c r="D363">
        <v>50921.22</v>
      </c>
      <c r="E363">
        <v>51360.42</v>
      </c>
      <c r="F363">
        <v>-135.37</v>
      </c>
      <c r="G363">
        <v>-0.26</v>
      </c>
      <c r="H363">
        <v>0.83</v>
      </c>
      <c r="I363">
        <v>873.55</v>
      </c>
      <c r="J363">
        <v>20.95</v>
      </c>
      <c r="K363">
        <v>2.98</v>
      </c>
      <c r="L363">
        <v>1.36</v>
      </c>
    </row>
    <row r="364" spans="1:12" x14ac:dyDescent="0.3">
      <c r="A364" s="1">
        <v>44732</v>
      </c>
      <c r="B364">
        <v>51470.03</v>
      </c>
      <c r="C364">
        <v>51714.61</v>
      </c>
      <c r="D364">
        <v>51062.93</v>
      </c>
      <c r="E364">
        <v>51597.84</v>
      </c>
      <c r="F364">
        <v>237.42</v>
      </c>
      <c r="G364">
        <v>0.46</v>
      </c>
      <c r="H364">
        <v>0.7</v>
      </c>
      <c r="I364">
        <v>676.4</v>
      </c>
      <c r="J364">
        <v>21.04</v>
      </c>
      <c r="K364">
        <v>2.99</v>
      </c>
      <c r="L364">
        <v>1.36</v>
      </c>
    </row>
    <row r="365" spans="1:12" x14ac:dyDescent="0.3">
      <c r="A365" s="1">
        <v>44733</v>
      </c>
      <c r="B365">
        <v>51897.599999999999</v>
      </c>
      <c r="C365">
        <v>52799.4</v>
      </c>
      <c r="D365">
        <v>51808.76</v>
      </c>
      <c r="E365">
        <v>52532.07</v>
      </c>
      <c r="F365">
        <v>934.23</v>
      </c>
      <c r="G365">
        <v>1.81</v>
      </c>
      <c r="H365">
        <v>0.51</v>
      </c>
      <c r="I365">
        <v>500.65</v>
      </c>
      <c r="J365">
        <v>21.4</v>
      </c>
      <c r="K365">
        <v>3.04</v>
      </c>
      <c r="L365">
        <v>1.33</v>
      </c>
    </row>
    <row r="366" spans="1:12" x14ac:dyDescent="0.3">
      <c r="A366" s="1">
        <v>44734</v>
      </c>
      <c r="B366">
        <v>52186.36</v>
      </c>
      <c r="C366">
        <v>52272.85</v>
      </c>
      <c r="D366">
        <v>51739.98</v>
      </c>
      <c r="E366">
        <v>51822.53</v>
      </c>
      <c r="F366">
        <v>-709.54</v>
      </c>
      <c r="G366">
        <v>-1.35</v>
      </c>
      <c r="H366">
        <v>0.57999999999999996</v>
      </c>
      <c r="I366">
        <v>681.63</v>
      </c>
      <c r="J366">
        <v>21.06</v>
      </c>
      <c r="K366">
        <v>2.99</v>
      </c>
      <c r="L366">
        <v>1.36</v>
      </c>
    </row>
    <row r="367" spans="1:12" x14ac:dyDescent="0.3">
      <c r="A367" s="1">
        <v>44735</v>
      </c>
      <c r="B367">
        <v>51972.75</v>
      </c>
      <c r="C367">
        <v>52516.79</v>
      </c>
      <c r="D367">
        <v>51632.85</v>
      </c>
      <c r="E367">
        <v>52265.72</v>
      </c>
      <c r="F367">
        <v>443.19</v>
      </c>
      <c r="G367">
        <v>0.86</v>
      </c>
      <c r="H367">
        <v>0.56000000000000005</v>
      </c>
      <c r="I367">
        <v>718.67</v>
      </c>
      <c r="J367">
        <v>21.26</v>
      </c>
      <c r="K367">
        <v>3.02</v>
      </c>
      <c r="L367">
        <v>1.34</v>
      </c>
    </row>
    <row r="368" spans="1:12" x14ac:dyDescent="0.3">
      <c r="A368" s="1">
        <v>44736</v>
      </c>
      <c r="B368">
        <v>52654.239999999998</v>
      </c>
      <c r="C368">
        <v>52909.87</v>
      </c>
      <c r="D368">
        <v>52447.25</v>
      </c>
      <c r="E368">
        <v>52727.98</v>
      </c>
      <c r="F368">
        <v>462.26</v>
      </c>
      <c r="G368">
        <v>0.88</v>
      </c>
      <c r="H368">
        <v>0.5</v>
      </c>
      <c r="I368">
        <v>582.16999999999996</v>
      </c>
      <c r="J368">
        <v>21.47</v>
      </c>
      <c r="K368">
        <v>3.05</v>
      </c>
      <c r="L368">
        <v>1.33</v>
      </c>
    </row>
    <row r="369" spans="1:12" x14ac:dyDescent="0.3">
      <c r="A369" s="1">
        <v>44739</v>
      </c>
      <c r="B369">
        <v>53468.89</v>
      </c>
      <c r="C369">
        <v>53509.5</v>
      </c>
      <c r="D369">
        <v>53120.79</v>
      </c>
      <c r="E369">
        <v>53161.279999999999</v>
      </c>
      <c r="F369">
        <v>433.3</v>
      </c>
      <c r="G369">
        <v>0.82</v>
      </c>
      <c r="H369">
        <v>0.53</v>
      </c>
      <c r="I369">
        <v>584.63</v>
      </c>
      <c r="J369">
        <v>21.65</v>
      </c>
      <c r="K369">
        <v>3.08</v>
      </c>
      <c r="L369">
        <v>1.32</v>
      </c>
    </row>
    <row r="370" spans="1:12" x14ac:dyDescent="0.3">
      <c r="A370" s="1">
        <v>44740</v>
      </c>
      <c r="B370">
        <v>52846.26</v>
      </c>
      <c r="C370">
        <v>53301.4</v>
      </c>
      <c r="D370">
        <v>52771.53</v>
      </c>
      <c r="E370">
        <v>53177.45</v>
      </c>
      <c r="F370">
        <v>16.170000000000002</v>
      </c>
      <c r="G370">
        <v>0.03</v>
      </c>
      <c r="H370">
        <v>0.55000000000000004</v>
      </c>
      <c r="I370">
        <v>418.09</v>
      </c>
      <c r="J370">
        <v>21.53</v>
      </c>
      <c r="K370">
        <v>3.06</v>
      </c>
      <c r="L370">
        <v>1.33</v>
      </c>
    </row>
    <row r="371" spans="1:12" x14ac:dyDescent="0.3">
      <c r="A371" s="1">
        <v>44741</v>
      </c>
      <c r="B371">
        <v>52623.15</v>
      </c>
      <c r="C371">
        <v>53244.84</v>
      </c>
      <c r="D371">
        <v>52612.68</v>
      </c>
      <c r="E371">
        <v>53026.97</v>
      </c>
      <c r="F371">
        <v>-150.47999999999999</v>
      </c>
      <c r="G371">
        <v>-0.28000000000000003</v>
      </c>
      <c r="H371">
        <v>0.52</v>
      </c>
      <c r="I371">
        <v>529.63</v>
      </c>
      <c r="J371">
        <v>21.47</v>
      </c>
      <c r="K371">
        <v>3.05</v>
      </c>
      <c r="L371">
        <v>1.33</v>
      </c>
    </row>
    <row r="372" spans="1:12" x14ac:dyDescent="0.3">
      <c r="A372" s="1">
        <v>44742</v>
      </c>
      <c r="B372">
        <v>52897.16</v>
      </c>
      <c r="C372">
        <v>53377.54</v>
      </c>
      <c r="D372">
        <v>52883.25</v>
      </c>
      <c r="E372">
        <v>53018.94</v>
      </c>
      <c r="F372">
        <v>-8.0299999999999994</v>
      </c>
      <c r="G372">
        <v>-0.02</v>
      </c>
      <c r="H372">
        <v>0.56000000000000005</v>
      </c>
      <c r="I372">
        <v>539.28</v>
      </c>
      <c r="J372">
        <v>21.62</v>
      </c>
      <c r="K372">
        <v>3.07</v>
      </c>
      <c r="L372">
        <v>1.32</v>
      </c>
    </row>
    <row r="373" spans="1:12" x14ac:dyDescent="0.3">
      <c r="A373" s="1">
        <v>44743</v>
      </c>
      <c r="B373">
        <v>52863.34</v>
      </c>
      <c r="C373">
        <v>53053.04</v>
      </c>
      <c r="D373">
        <v>52094.25</v>
      </c>
      <c r="E373">
        <v>52907.93</v>
      </c>
      <c r="F373">
        <v>-111.01</v>
      </c>
      <c r="G373">
        <v>-0.21</v>
      </c>
      <c r="H373">
        <v>0.72</v>
      </c>
      <c r="I373">
        <v>708.23</v>
      </c>
      <c r="J373">
        <v>21.51</v>
      </c>
      <c r="K373">
        <v>3.06</v>
      </c>
      <c r="L373">
        <v>1.33</v>
      </c>
    </row>
    <row r="374" spans="1:12" x14ac:dyDescent="0.3">
      <c r="A374" s="1">
        <v>44746</v>
      </c>
      <c r="B374">
        <v>52851.67</v>
      </c>
      <c r="C374">
        <v>53301.99</v>
      </c>
      <c r="D374">
        <v>52674.81</v>
      </c>
      <c r="E374">
        <v>53234.77</v>
      </c>
      <c r="F374">
        <v>326.83999999999997</v>
      </c>
      <c r="G374">
        <v>0.62</v>
      </c>
      <c r="H374">
        <v>0.7</v>
      </c>
      <c r="I374">
        <v>666.32</v>
      </c>
      <c r="J374">
        <v>21.69</v>
      </c>
      <c r="K374">
        <v>3.08</v>
      </c>
      <c r="L374">
        <v>1.32</v>
      </c>
    </row>
    <row r="375" spans="1:12" x14ac:dyDescent="0.3">
      <c r="A375" s="1">
        <v>44747</v>
      </c>
      <c r="B375">
        <v>53501.21</v>
      </c>
      <c r="C375">
        <v>53865.93</v>
      </c>
      <c r="D375">
        <v>53054.3</v>
      </c>
      <c r="E375">
        <v>53134.35</v>
      </c>
      <c r="F375">
        <v>-100.42</v>
      </c>
      <c r="G375">
        <v>-0.19</v>
      </c>
      <c r="H375">
        <v>0.68</v>
      </c>
      <c r="I375">
        <v>574.54</v>
      </c>
      <c r="J375">
        <v>21.58</v>
      </c>
      <c r="K375">
        <v>3.07</v>
      </c>
      <c r="L375">
        <v>1.32</v>
      </c>
    </row>
    <row r="376" spans="1:12" x14ac:dyDescent="0.3">
      <c r="A376" s="1">
        <v>44748</v>
      </c>
      <c r="B376">
        <v>53170.7</v>
      </c>
      <c r="C376">
        <v>53819.31</v>
      </c>
      <c r="D376">
        <v>53143.28</v>
      </c>
      <c r="E376">
        <v>53750.97</v>
      </c>
      <c r="F376">
        <v>616.62</v>
      </c>
      <c r="G376">
        <v>1.1599999999999999</v>
      </c>
      <c r="H376">
        <v>1.48</v>
      </c>
      <c r="I376">
        <v>888.73</v>
      </c>
      <c r="J376">
        <v>21.8</v>
      </c>
      <c r="K376">
        <v>3.1</v>
      </c>
      <c r="L376">
        <v>1.31</v>
      </c>
    </row>
    <row r="377" spans="1:12" x14ac:dyDescent="0.3">
      <c r="A377" s="1">
        <v>44749</v>
      </c>
      <c r="B377">
        <v>54146.68</v>
      </c>
      <c r="C377">
        <v>54254.79</v>
      </c>
      <c r="D377">
        <v>53927.26</v>
      </c>
      <c r="E377">
        <v>54178.46</v>
      </c>
      <c r="F377">
        <v>427.49</v>
      </c>
      <c r="G377">
        <v>0.8</v>
      </c>
      <c r="H377">
        <v>0.75</v>
      </c>
      <c r="I377">
        <v>761.31</v>
      </c>
      <c r="J377">
        <v>22.04</v>
      </c>
      <c r="K377">
        <v>3.13</v>
      </c>
      <c r="L377">
        <v>1.29</v>
      </c>
    </row>
    <row r="378" spans="1:12" x14ac:dyDescent="0.3">
      <c r="A378" s="1">
        <v>44750</v>
      </c>
      <c r="B378">
        <v>54574.43</v>
      </c>
      <c r="C378">
        <v>54627.14</v>
      </c>
      <c r="D378">
        <v>54278.77</v>
      </c>
      <c r="E378">
        <v>54481.84</v>
      </c>
      <c r="F378">
        <v>303.38</v>
      </c>
      <c r="G378">
        <v>0.56000000000000005</v>
      </c>
      <c r="H378">
        <v>0.75</v>
      </c>
      <c r="I378">
        <v>692.05</v>
      </c>
      <c r="J378">
        <v>22.13</v>
      </c>
      <c r="K378">
        <v>3.15</v>
      </c>
      <c r="L378">
        <v>1.29</v>
      </c>
    </row>
    <row r="379" spans="1:12" x14ac:dyDescent="0.3">
      <c r="A379" s="1">
        <v>44753</v>
      </c>
      <c r="B379">
        <v>54248.6</v>
      </c>
      <c r="C379">
        <v>54527.9</v>
      </c>
      <c r="D379">
        <v>54090.53</v>
      </c>
      <c r="E379">
        <v>54395.23</v>
      </c>
      <c r="F379">
        <v>-86.61</v>
      </c>
      <c r="G379">
        <v>-0.16</v>
      </c>
      <c r="H379">
        <v>0.61</v>
      </c>
      <c r="I379">
        <v>695.54</v>
      </c>
      <c r="J379">
        <v>22.12</v>
      </c>
      <c r="K379">
        <v>3.15</v>
      </c>
      <c r="L379">
        <v>1.29</v>
      </c>
    </row>
    <row r="380" spans="1:12" x14ac:dyDescent="0.3">
      <c r="A380" s="1">
        <v>44754</v>
      </c>
      <c r="B380">
        <v>54219.78</v>
      </c>
      <c r="C380">
        <v>54236.49</v>
      </c>
      <c r="D380">
        <v>53824.97</v>
      </c>
      <c r="E380">
        <v>53886.61</v>
      </c>
      <c r="F380">
        <v>-508.62</v>
      </c>
      <c r="G380">
        <v>-0.94</v>
      </c>
      <c r="H380" t="s">
        <v>13</v>
      </c>
      <c r="J380">
        <v>21.85</v>
      </c>
      <c r="K380">
        <v>3.11</v>
      </c>
      <c r="L380">
        <v>1.31</v>
      </c>
    </row>
    <row r="381" spans="1:12" x14ac:dyDescent="0.3">
      <c r="A381" s="1">
        <v>44755</v>
      </c>
      <c r="B381">
        <v>54210.1</v>
      </c>
      <c r="C381">
        <v>54211.22</v>
      </c>
      <c r="D381">
        <v>53455.26</v>
      </c>
      <c r="E381">
        <v>53514.15</v>
      </c>
      <c r="F381">
        <v>-372.46</v>
      </c>
      <c r="G381">
        <v>-0.69</v>
      </c>
      <c r="H381">
        <v>0.56999999999999995</v>
      </c>
      <c r="I381">
        <v>451.08</v>
      </c>
      <c r="J381">
        <v>21.72</v>
      </c>
      <c r="K381">
        <v>3.09</v>
      </c>
      <c r="L381">
        <v>1.31</v>
      </c>
    </row>
    <row r="382" spans="1:12" x14ac:dyDescent="0.3">
      <c r="A382" s="1">
        <v>44756</v>
      </c>
      <c r="B382">
        <v>53688.62</v>
      </c>
      <c r="C382">
        <v>53861.279999999999</v>
      </c>
      <c r="D382">
        <v>53163.77</v>
      </c>
      <c r="E382">
        <v>53416.15</v>
      </c>
      <c r="F382">
        <v>-98</v>
      </c>
      <c r="G382">
        <v>-0.18</v>
      </c>
      <c r="H382">
        <v>0.47</v>
      </c>
      <c r="I382">
        <v>478.73</v>
      </c>
      <c r="J382">
        <v>21.65</v>
      </c>
      <c r="K382">
        <v>3.08</v>
      </c>
      <c r="L382">
        <v>1.32</v>
      </c>
    </row>
    <row r="383" spans="1:12" x14ac:dyDescent="0.3">
      <c r="A383" s="1">
        <v>44757</v>
      </c>
      <c r="B383">
        <v>53637.88</v>
      </c>
      <c r="C383">
        <v>53811.37</v>
      </c>
      <c r="D383">
        <v>53361.62</v>
      </c>
      <c r="E383">
        <v>53760.78</v>
      </c>
      <c r="F383">
        <v>344.63</v>
      </c>
      <c r="G383">
        <v>0.65</v>
      </c>
      <c r="H383">
        <v>0.56000000000000005</v>
      </c>
      <c r="I383">
        <v>508.64</v>
      </c>
      <c r="J383">
        <v>21.82</v>
      </c>
      <c r="K383">
        <v>3.11</v>
      </c>
      <c r="L383">
        <v>1.31</v>
      </c>
    </row>
    <row r="384" spans="1:12" x14ac:dyDescent="0.3">
      <c r="A384" s="1">
        <v>44760</v>
      </c>
      <c r="B384">
        <v>54069.3</v>
      </c>
      <c r="C384">
        <v>54556.66</v>
      </c>
      <c r="D384">
        <v>54034.97</v>
      </c>
      <c r="E384">
        <v>54521.15</v>
      </c>
      <c r="F384">
        <v>760.37</v>
      </c>
      <c r="G384">
        <v>1.41</v>
      </c>
      <c r="H384">
        <v>6.38</v>
      </c>
      <c r="I384">
        <v>6963.22</v>
      </c>
      <c r="J384">
        <v>22.11</v>
      </c>
      <c r="K384">
        <v>3.15</v>
      </c>
      <c r="L384">
        <v>1.3</v>
      </c>
    </row>
    <row r="385" spans="1:12" x14ac:dyDescent="0.3">
      <c r="A385" s="1">
        <v>44761</v>
      </c>
      <c r="B385">
        <v>54251.88</v>
      </c>
      <c r="C385">
        <v>54817.52</v>
      </c>
      <c r="D385">
        <v>54232.82</v>
      </c>
      <c r="E385">
        <v>54767.62</v>
      </c>
      <c r="F385">
        <v>246.47</v>
      </c>
      <c r="G385">
        <v>0.45</v>
      </c>
      <c r="H385">
        <v>0.69</v>
      </c>
      <c r="I385">
        <v>686.25</v>
      </c>
      <c r="J385">
        <v>22.22</v>
      </c>
      <c r="K385">
        <v>3.16</v>
      </c>
      <c r="L385">
        <v>1.3</v>
      </c>
    </row>
    <row r="386" spans="1:12" x14ac:dyDescent="0.3">
      <c r="A386" s="1">
        <v>44762</v>
      </c>
      <c r="B386">
        <v>55486.12</v>
      </c>
      <c r="C386">
        <v>55630.26</v>
      </c>
      <c r="D386">
        <v>55298.23</v>
      </c>
      <c r="E386">
        <v>55397.53</v>
      </c>
      <c r="F386">
        <v>629.91</v>
      </c>
      <c r="G386">
        <v>1.1499999999999999</v>
      </c>
      <c r="H386">
        <v>0.68</v>
      </c>
      <c r="I386">
        <v>757.56</v>
      </c>
      <c r="J386">
        <v>22.42</v>
      </c>
      <c r="K386">
        <v>3.19</v>
      </c>
      <c r="L386">
        <v>1.28</v>
      </c>
    </row>
    <row r="387" spans="1:12" x14ac:dyDescent="0.3">
      <c r="A387" s="1">
        <v>44763</v>
      </c>
      <c r="B387">
        <v>55391.93</v>
      </c>
      <c r="C387">
        <v>55738.49</v>
      </c>
      <c r="D387">
        <v>55270.75</v>
      </c>
      <c r="E387">
        <v>55681.95</v>
      </c>
      <c r="F387">
        <v>284.42</v>
      </c>
      <c r="G387">
        <v>0.51</v>
      </c>
      <c r="H387">
        <v>0.67</v>
      </c>
      <c r="I387">
        <v>621.37</v>
      </c>
      <c r="J387">
        <v>22.5</v>
      </c>
      <c r="K387">
        <v>3.21</v>
      </c>
      <c r="L387">
        <v>1.28</v>
      </c>
    </row>
    <row r="388" spans="1:12" x14ac:dyDescent="0.3">
      <c r="A388" s="1">
        <v>44764</v>
      </c>
      <c r="B388">
        <v>55800.84</v>
      </c>
      <c r="C388">
        <v>56186.05</v>
      </c>
      <c r="D388">
        <v>55685.45</v>
      </c>
      <c r="E388">
        <v>56072.23</v>
      </c>
      <c r="F388">
        <v>390.28</v>
      </c>
      <c r="G388">
        <v>0.7</v>
      </c>
      <c r="H388">
        <v>0.65</v>
      </c>
      <c r="I388">
        <v>685.26</v>
      </c>
      <c r="J388">
        <v>22.68</v>
      </c>
      <c r="K388">
        <v>3.24</v>
      </c>
      <c r="L388">
        <v>1.27</v>
      </c>
    </row>
    <row r="389" spans="1:12" x14ac:dyDescent="0.3">
      <c r="A389" s="1">
        <v>44767</v>
      </c>
      <c r="B389">
        <v>55877.5</v>
      </c>
      <c r="C389">
        <v>56018.09</v>
      </c>
      <c r="D389">
        <v>55537.08</v>
      </c>
      <c r="E389">
        <v>55766.22</v>
      </c>
      <c r="F389">
        <v>-306.01</v>
      </c>
      <c r="G389">
        <v>-0.55000000000000004</v>
      </c>
      <c r="H389">
        <v>0.61</v>
      </c>
      <c r="I389">
        <v>628.73</v>
      </c>
      <c r="J389">
        <v>22.11</v>
      </c>
      <c r="K389">
        <v>3.21</v>
      </c>
      <c r="L389">
        <v>1.28</v>
      </c>
    </row>
    <row r="390" spans="1:12" x14ac:dyDescent="0.3">
      <c r="A390" s="1">
        <v>44768</v>
      </c>
      <c r="B390">
        <v>55834.38</v>
      </c>
      <c r="C390">
        <v>55834.38</v>
      </c>
      <c r="D390">
        <v>55203.43</v>
      </c>
      <c r="E390">
        <v>55268.49</v>
      </c>
      <c r="F390">
        <v>-497.73</v>
      </c>
      <c r="G390">
        <v>-0.89</v>
      </c>
      <c r="H390">
        <v>0.49</v>
      </c>
      <c r="I390">
        <v>617.1</v>
      </c>
      <c r="J390">
        <v>21.9</v>
      </c>
      <c r="K390">
        <v>3.18</v>
      </c>
      <c r="L390">
        <v>1.29</v>
      </c>
    </row>
    <row r="391" spans="1:12" x14ac:dyDescent="0.3">
      <c r="A391" s="1">
        <v>44769</v>
      </c>
      <c r="B391">
        <v>55258.29</v>
      </c>
      <c r="C391">
        <v>55853.09</v>
      </c>
      <c r="D391">
        <v>55157.99</v>
      </c>
      <c r="E391">
        <v>55816.32</v>
      </c>
      <c r="F391">
        <v>547.83000000000004</v>
      </c>
      <c r="G391">
        <v>0.99</v>
      </c>
      <c r="H391">
        <v>0.38</v>
      </c>
      <c r="I391">
        <v>471.24</v>
      </c>
      <c r="J391">
        <v>21.96</v>
      </c>
      <c r="K391">
        <v>3.2</v>
      </c>
      <c r="L391">
        <v>1.29</v>
      </c>
    </row>
    <row r="392" spans="1:12" x14ac:dyDescent="0.3">
      <c r="A392" s="1">
        <v>44770</v>
      </c>
      <c r="B392">
        <v>56267.55</v>
      </c>
      <c r="C392">
        <v>56914.22</v>
      </c>
      <c r="D392">
        <v>56236.45</v>
      </c>
      <c r="E392">
        <v>56857.79</v>
      </c>
      <c r="F392">
        <v>1041.47</v>
      </c>
      <c r="G392">
        <v>1.87</v>
      </c>
      <c r="H392">
        <v>1.39</v>
      </c>
      <c r="I392">
        <v>847.07</v>
      </c>
      <c r="J392">
        <v>22.39</v>
      </c>
      <c r="K392">
        <v>3.27</v>
      </c>
      <c r="L392">
        <v>1.26</v>
      </c>
    </row>
    <row r="393" spans="1:12" x14ac:dyDescent="0.3">
      <c r="A393" s="1">
        <v>44771</v>
      </c>
      <c r="B393">
        <v>57258.13</v>
      </c>
      <c r="C393">
        <v>57619.27</v>
      </c>
      <c r="D393">
        <v>57104.81</v>
      </c>
      <c r="E393">
        <v>57570.25</v>
      </c>
      <c r="F393">
        <v>712.46</v>
      </c>
      <c r="G393">
        <v>1.25</v>
      </c>
      <c r="H393">
        <v>1.68</v>
      </c>
      <c r="I393">
        <v>826.62</v>
      </c>
      <c r="J393">
        <v>22.73</v>
      </c>
      <c r="K393">
        <v>3.33</v>
      </c>
      <c r="L393">
        <v>1.24</v>
      </c>
    </row>
    <row r="394" spans="1:12" x14ac:dyDescent="0.3">
      <c r="A394" s="1">
        <v>44774</v>
      </c>
      <c r="B394">
        <v>57823.1</v>
      </c>
      <c r="C394">
        <v>58170.67</v>
      </c>
      <c r="D394">
        <v>57540.36</v>
      </c>
      <c r="E394">
        <v>58115.5</v>
      </c>
      <c r="F394">
        <v>545.25</v>
      </c>
      <c r="G394">
        <v>0.95</v>
      </c>
      <c r="H394">
        <v>7.26</v>
      </c>
      <c r="I394">
        <v>7174.59</v>
      </c>
      <c r="J394">
        <v>22.77</v>
      </c>
      <c r="K394">
        <v>3.35</v>
      </c>
      <c r="L394">
        <v>1.23</v>
      </c>
    </row>
    <row r="395" spans="1:12" x14ac:dyDescent="0.3">
      <c r="A395" s="1">
        <v>44775</v>
      </c>
      <c r="B395">
        <v>58049.02</v>
      </c>
      <c r="C395">
        <v>58328.41</v>
      </c>
      <c r="D395">
        <v>57744.7</v>
      </c>
      <c r="E395">
        <v>58136.36</v>
      </c>
      <c r="F395">
        <v>20.86</v>
      </c>
      <c r="G395">
        <v>0.04</v>
      </c>
      <c r="H395">
        <v>1.55</v>
      </c>
      <c r="I395">
        <v>1043.8</v>
      </c>
      <c r="J395">
        <v>22.9</v>
      </c>
      <c r="K395">
        <v>3.37</v>
      </c>
      <c r="L395">
        <v>1.22</v>
      </c>
    </row>
    <row r="396" spans="1:12" x14ac:dyDescent="0.3">
      <c r="A396" s="1">
        <v>44776</v>
      </c>
      <c r="B396">
        <v>58174.11</v>
      </c>
      <c r="C396">
        <v>58415.63</v>
      </c>
      <c r="D396">
        <v>57788.78</v>
      </c>
      <c r="E396">
        <v>58350.53</v>
      </c>
      <c r="F396">
        <v>214.17</v>
      </c>
      <c r="G396">
        <v>0.37</v>
      </c>
      <c r="H396">
        <v>0.72</v>
      </c>
      <c r="I396">
        <v>437.98</v>
      </c>
      <c r="J396">
        <v>22.72</v>
      </c>
      <c r="K396">
        <v>3.35</v>
      </c>
      <c r="L396">
        <v>1.23</v>
      </c>
    </row>
    <row r="397" spans="1:12" x14ac:dyDescent="0.3">
      <c r="A397" s="1">
        <v>44777</v>
      </c>
      <c r="B397">
        <v>58571.28</v>
      </c>
      <c r="C397">
        <v>58712.66</v>
      </c>
      <c r="D397">
        <v>57577.05</v>
      </c>
      <c r="E397">
        <v>58298.8</v>
      </c>
      <c r="F397">
        <v>-51.73</v>
      </c>
      <c r="G397">
        <v>-0.09</v>
      </c>
      <c r="H397">
        <v>0.89</v>
      </c>
      <c r="I397">
        <v>510.82</v>
      </c>
      <c r="J397">
        <v>22.45</v>
      </c>
      <c r="K397">
        <v>3.31</v>
      </c>
      <c r="L397">
        <v>1.24</v>
      </c>
    </row>
    <row r="398" spans="1:12" x14ac:dyDescent="0.3">
      <c r="A398" s="1">
        <v>44778</v>
      </c>
      <c r="B398">
        <v>58421.04</v>
      </c>
      <c r="C398">
        <v>58649.19</v>
      </c>
      <c r="D398">
        <v>58244.86</v>
      </c>
      <c r="E398">
        <v>58387.93</v>
      </c>
      <c r="F398">
        <v>89.13</v>
      </c>
      <c r="G398">
        <v>0.15</v>
      </c>
      <c r="H398">
        <v>0.93</v>
      </c>
      <c r="I398">
        <v>486.32</v>
      </c>
      <c r="J398">
        <v>22.71</v>
      </c>
      <c r="K398">
        <v>3.35</v>
      </c>
      <c r="L398">
        <v>1.23</v>
      </c>
    </row>
    <row r="399" spans="1:12" x14ac:dyDescent="0.3">
      <c r="A399" s="1">
        <v>44781</v>
      </c>
      <c r="B399">
        <v>58417.71</v>
      </c>
      <c r="C399">
        <v>58934.9</v>
      </c>
      <c r="D399">
        <v>58266.65</v>
      </c>
      <c r="E399">
        <v>58853.07</v>
      </c>
      <c r="F399">
        <v>465.14</v>
      </c>
      <c r="G399">
        <v>0.8</v>
      </c>
      <c r="H399">
        <v>0.98</v>
      </c>
      <c r="I399">
        <v>638.85</v>
      </c>
      <c r="J399">
        <v>22.73</v>
      </c>
      <c r="K399">
        <v>3.37</v>
      </c>
      <c r="L399">
        <v>1.22</v>
      </c>
    </row>
    <row r="400" spans="1:12" x14ac:dyDescent="0.3">
      <c r="A400" s="1">
        <v>44783</v>
      </c>
      <c r="B400">
        <v>58977.34</v>
      </c>
      <c r="C400">
        <v>58984.32</v>
      </c>
      <c r="D400">
        <v>58583.360000000001</v>
      </c>
      <c r="E400">
        <v>58817.29</v>
      </c>
      <c r="F400">
        <v>-35.78</v>
      </c>
      <c r="G400">
        <v>-0.06</v>
      </c>
      <c r="H400">
        <v>0.98</v>
      </c>
      <c r="I400">
        <v>613.41999999999996</v>
      </c>
      <c r="J400">
        <v>22.84</v>
      </c>
      <c r="K400">
        <v>3.37</v>
      </c>
      <c r="L400">
        <v>1.22</v>
      </c>
    </row>
    <row r="401" spans="1:12" x14ac:dyDescent="0.3">
      <c r="A401" s="1">
        <v>44784</v>
      </c>
      <c r="B401">
        <v>59320.45</v>
      </c>
      <c r="C401">
        <v>59484.99</v>
      </c>
      <c r="D401">
        <v>59251.14</v>
      </c>
      <c r="E401">
        <v>59332.6</v>
      </c>
      <c r="F401">
        <v>515.30999999999995</v>
      </c>
      <c r="G401">
        <v>0.88</v>
      </c>
      <c r="H401">
        <v>1.07</v>
      </c>
      <c r="I401">
        <v>659.49</v>
      </c>
      <c r="J401">
        <v>23</v>
      </c>
      <c r="K401">
        <v>3.4</v>
      </c>
      <c r="L401">
        <v>1.21</v>
      </c>
    </row>
    <row r="402" spans="1:12" x14ac:dyDescent="0.3">
      <c r="A402" s="1">
        <v>44785</v>
      </c>
      <c r="B402">
        <v>59235.98</v>
      </c>
      <c r="C402">
        <v>59538.080000000002</v>
      </c>
      <c r="D402">
        <v>59113.01</v>
      </c>
      <c r="E402">
        <v>59462.78</v>
      </c>
      <c r="F402">
        <v>130.18</v>
      </c>
      <c r="G402">
        <v>0.22</v>
      </c>
      <c r="H402" t="s">
        <v>13</v>
      </c>
      <c r="J402">
        <v>22.89</v>
      </c>
      <c r="K402">
        <v>3.38</v>
      </c>
      <c r="L402">
        <v>1.21</v>
      </c>
    </row>
    <row r="403" spans="1:12" x14ac:dyDescent="0.3">
      <c r="A403" s="1">
        <v>44789</v>
      </c>
      <c r="B403">
        <v>59675.12</v>
      </c>
      <c r="C403">
        <v>59923.03</v>
      </c>
      <c r="D403">
        <v>59673.96</v>
      </c>
      <c r="E403">
        <v>59842.21</v>
      </c>
      <c r="F403">
        <v>379.43</v>
      </c>
      <c r="G403">
        <v>0.64</v>
      </c>
      <c r="H403">
        <v>0.97</v>
      </c>
      <c r="I403">
        <v>487.43</v>
      </c>
      <c r="J403">
        <v>23.26</v>
      </c>
      <c r="K403">
        <v>3.43</v>
      </c>
      <c r="L403">
        <v>1.19</v>
      </c>
    </row>
    <row r="404" spans="1:12" x14ac:dyDescent="0.3">
      <c r="A404" s="1">
        <v>44790</v>
      </c>
      <c r="B404">
        <v>59938.05</v>
      </c>
      <c r="C404">
        <v>60323.25</v>
      </c>
      <c r="D404">
        <v>59857.8</v>
      </c>
      <c r="E404">
        <v>60260.13</v>
      </c>
      <c r="F404">
        <v>417.92</v>
      </c>
      <c r="G404">
        <v>0.7</v>
      </c>
      <c r="H404">
        <v>0.97</v>
      </c>
      <c r="I404">
        <v>669.3</v>
      </c>
      <c r="J404">
        <v>23.39</v>
      </c>
      <c r="K404">
        <v>3.45</v>
      </c>
      <c r="L404">
        <v>1.19</v>
      </c>
    </row>
    <row r="405" spans="1:12" x14ac:dyDescent="0.3">
      <c r="A405" s="1">
        <v>44791</v>
      </c>
      <c r="B405">
        <v>60080.19</v>
      </c>
      <c r="C405">
        <v>60341.41</v>
      </c>
      <c r="D405">
        <v>59946.44</v>
      </c>
      <c r="E405">
        <v>60298</v>
      </c>
      <c r="F405">
        <v>37.869999999999997</v>
      </c>
      <c r="G405">
        <v>0.06</v>
      </c>
      <c r="H405">
        <v>1.0900000000000001</v>
      </c>
      <c r="I405">
        <v>710.52</v>
      </c>
      <c r="J405">
        <v>23.25</v>
      </c>
      <c r="K405">
        <v>3.43</v>
      </c>
      <c r="L405">
        <v>1.19</v>
      </c>
    </row>
    <row r="406" spans="1:12" x14ac:dyDescent="0.3">
      <c r="A406" s="1">
        <v>44792</v>
      </c>
      <c r="B406">
        <v>60351.23</v>
      </c>
      <c r="C406">
        <v>60411.199999999997</v>
      </c>
      <c r="D406">
        <v>59474.57</v>
      </c>
      <c r="E406">
        <v>59646.15</v>
      </c>
      <c r="F406">
        <v>-651.85</v>
      </c>
      <c r="G406">
        <v>-1.08</v>
      </c>
      <c r="H406">
        <v>1.17</v>
      </c>
      <c r="I406">
        <v>757.76</v>
      </c>
      <c r="J406">
        <v>23</v>
      </c>
      <c r="K406">
        <v>3.4</v>
      </c>
      <c r="L406">
        <v>1.21</v>
      </c>
    </row>
    <row r="407" spans="1:12" x14ac:dyDescent="0.3">
      <c r="A407" s="1">
        <v>44795</v>
      </c>
      <c r="B407">
        <v>59361.08</v>
      </c>
      <c r="C407">
        <v>59402.5</v>
      </c>
      <c r="D407">
        <v>58705.11</v>
      </c>
      <c r="E407">
        <v>58773.87</v>
      </c>
      <c r="F407">
        <v>-872.28</v>
      </c>
      <c r="G407">
        <v>-1.46</v>
      </c>
      <c r="H407">
        <v>1.06</v>
      </c>
      <c r="I407">
        <v>690.8</v>
      </c>
      <c r="J407">
        <v>22.79</v>
      </c>
      <c r="K407">
        <v>3.37</v>
      </c>
      <c r="L407">
        <v>1.22</v>
      </c>
    </row>
    <row r="408" spans="1:12" x14ac:dyDescent="0.3">
      <c r="A408" s="1">
        <v>44796</v>
      </c>
      <c r="B408">
        <v>58205.97</v>
      </c>
      <c r="C408">
        <v>59199.11</v>
      </c>
      <c r="D408">
        <v>58172.480000000003</v>
      </c>
      <c r="E408">
        <v>59031.3</v>
      </c>
      <c r="F408">
        <v>257.43</v>
      </c>
      <c r="G408">
        <v>0.44</v>
      </c>
      <c r="H408">
        <v>1.3</v>
      </c>
      <c r="I408">
        <v>667.28</v>
      </c>
      <c r="J408">
        <v>22.89</v>
      </c>
      <c r="K408">
        <v>3.38</v>
      </c>
      <c r="L408">
        <v>1.21</v>
      </c>
    </row>
    <row r="409" spans="1:12" x14ac:dyDescent="0.3">
      <c r="A409" s="1">
        <v>44797</v>
      </c>
      <c r="B409">
        <v>58853.32</v>
      </c>
      <c r="C409">
        <v>59170.87</v>
      </c>
      <c r="D409">
        <v>58760.09</v>
      </c>
      <c r="E409">
        <v>59085.43</v>
      </c>
      <c r="F409">
        <v>54.13</v>
      </c>
      <c r="G409">
        <v>0.09</v>
      </c>
      <c r="H409">
        <v>1.18</v>
      </c>
      <c r="I409">
        <v>671.33</v>
      </c>
      <c r="J409">
        <v>22.92</v>
      </c>
      <c r="K409">
        <v>3.39</v>
      </c>
      <c r="L409">
        <v>1.21</v>
      </c>
    </row>
    <row r="410" spans="1:12" x14ac:dyDescent="0.3">
      <c r="A410" s="1">
        <v>44798</v>
      </c>
      <c r="B410">
        <v>59315.98</v>
      </c>
      <c r="C410">
        <v>59484.35</v>
      </c>
      <c r="D410">
        <v>58666.41</v>
      </c>
      <c r="E410">
        <v>58774.720000000001</v>
      </c>
      <c r="F410">
        <v>-310.70999999999998</v>
      </c>
      <c r="G410">
        <v>-0.53</v>
      </c>
      <c r="H410">
        <v>0.97</v>
      </c>
      <c r="I410">
        <v>582.97</v>
      </c>
      <c r="J410">
        <v>22.77</v>
      </c>
      <c r="K410">
        <v>3.36</v>
      </c>
      <c r="L410">
        <v>1.22</v>
      </c>
    </row>
    <row r="411" spans="1:12" x14ac:dyDescent="0.3">
      <c r="A411" s="1">
        <v>44799</v>
      </c>
      <c r="B411">
        <v>59050.67</v>
      </c>
      <c r="C411">
        <v>59321.65</v>
      </c>
      <c r="D411">
        <v>58722.69</v>
      </c>
      <c r="E411">
        <v>58833.87</v>
      </c>
      <c r="F411">
        <v>59.15</v>
      </c>
      <c r="G411">
        <v>0.1</v>
      </c>
      <c r="H411">
        <v>0.9</v>
      </c>
      <c r="I411">
        <v>577.97</v>
      </c>
      <c r="J411">
        <v>22.79</v>
      </c>
      <c r="K411">
        <v>3.37</v>
      </c>
      <c r="L411">
        <v>1.22</v>
      </c>
    </row>
    <row r="412" spans="1:12" x14ac:dyDescent="0.3">
      <c r="A412" s="1">
        <v>44802</v>
      </c>
      <c r="B412">
        <v>57367.47</v>
      </c>
      <c r="C412">
        <v>58208.3</v>
      </c>
      <c r="D412">
        <v>57367.47</v>
      </c>
      <c r="E412">
        <v>57972.62</v>
      </c>
      <c r="F412">
        <v>-861.25</v>
      </c>
      <c r="G412">
        <v>-1.46</v>
      </c>
      <c r="H412">
        <v>1.45</v>
      </c>
      <c r="I412">
        <v>1006.98</v>
      </c>
      <c r="J412">
        <v>22.46</v>
      </c>
      <c r="K412">
        <v>3.32</v>
      </c>
      <c r="L412">
        <v>1.24</v>
      </c>
    </row>
    <row r="413" spans="1:12" x14ac:dyDescent="0.3">
      <c r="A413" s="1">
        <v>44803</v>
      </c>
      <c r="B413">
        <v>58259.85</v>
      </c>
      <c r="C413">
        <v>59599.78</v>
      </c>
      <c r="D413">
        <v>58245.49</v>
      </c>
      <c r="E413">
        <v>59537.07</v>
      </c>
      <c r="F413">
        <v>1564.45</v>
      </c>
      <c r="G413">
        <v>2.7</v>
      </c>
      <c r="H413">
        <v>1.28</v>
      </c>
      <c r="I413">
        <v>824.09</v>
      </c>
      <c r="J413">
        <v>23.21</v>
      </c>
      <c r="K413">
        <v>3.43</v>
      </c>
      <c r="L413">
        <v>1.2</v>
      </c>
    </row>
    <row r="414" spans="1:12" x14ac:dyDescent="0.3">
      <c r="A414" s="1">
        <v>44805</v>
      </c>
      <c r="B414">
        <v>58710.53</v>
      </c>
      <c r="C414">
        <v>59309.79</v>
      </c>
      <c r="D414">
        <v>58522.57</v>
      </c>
      <c r="E414">
        <v>58766.59</v>
      </c>
      <c r="F414">
        <v>-770.48</v>
      </c>
      <c r="G414">
        <v>-1.29</v>
      </c>
      <c r="H414">
        <v>1.92</v>
      </c>
      <c r="I414">
        <v>1995.08</v>
      </c>
      <c r="J414">
        <v>22.82</v>
      </c>
      <c r="K414">
        <v>3.37</v>
      </c>
      <c r="L414">
        <v>1.22</v>
      </c>
    </row>
    <row r="415" spans="1:12" x14ac:dyDescent="0.3">
      <c r="A415" s="1">
        <v>44806</v>
      </c>
      <c r="B415">
        <v>58969.02</v>
      </c>
      <c r="C415">
        <v>59108.66</v>
      </c>
      <c r="D415">
        <v>58558.64</v>
      </c>
      <c r="E415">
        <v>58803.33</v>
      </c>
      <c r="F415">
        <v>36.74</v>
      </c>
      <c r="G415">
        <v>0.06</v>
      </c>
      <c r="H415">
        <v>1.07</v>
      </c>
      <c r="I415">
        <v>652.89</v>
      </c>
      <c r="J415">
        <v>22.72</v>
      </c>
      <c r="K415">
        <v>3.35</v>
      </c>
      <c r="L415">
        <v>1.22</v>
      </c>
    </row>
    <row r="416" spans="1:12" x14ac:dyDescent="0.3">
      <c r="A416" s="1">
        <v>44809</v>
      </c>
      <c r="B416">
        <v>58814.080000000002</v>
      </c>
      <c r="C416">
        <v>59308.25</v>
      </c>
      <c r="D416">
        <v>58812.2</v>
      </c>
      <c r="E416">
        <v>59245.98</v>
      </c>
      <c r="F416">
        <v>442.65</v>
      </c>
      <c r="G416">
        <v>0.75</v>
      </c>
      <c r="H416">
        <v>1.29</v>
      </c>
      <c r="I416">
        <v>686.58</v>
      </c>
      <c r="J416">
        <v>22.93</v>
      </c>
      <c r="K416">
        <v>3.39</v>
      </c>
      <c r="L416">
        <v>1.21</v>
      </c>
    </row>
    <row r="417" spans="1:12" x14ac:dyDescent="0.3">
      <c r="A417" s="1">
        <v>44810</v>
      </c>
      <c r="B417">
        <v>59285.36</v>
      </c>
      <c r="C417">
        <v>59566.67</v>
      </c>
      <c r="D417">
        <v>58974.26</v>
      </c>
      <c r="E417">
        <v>59196.99</v>
      </c>
      <c r="F417">
        <v>-48.99</v>
      </c>
      <c r="G417">
        <v>-0.08</v>
      </c>
      <c r="H417">
        <v>1.38</v>
      </c>
      <c r="I417">
        <v>725.7</v>
      </c>
      <c r="J417">
        <v>22.91</v>
      </c>
      <c r="K417">
        <v>3.38</v>
      </c>
      <c r="L417">
        <v>1.21</v>
      </c>
    </row>
    <row r="418" spans="1:12" x14ac:dyDescent="0.3">
      <c r="A418" s="1">
        <v>44811</v>
      </c>
      <c r="B418">
        <v>58789.26</v>
      </c>
      <c r="C418">
        <v>59166.46</v>
      </c>
      <c r="D418">
        <v>58722.89</v>
      </c>
      <c r="E418">
        <v>59028.91</v>
      </c>
      <c r="F418">
        <v>-168.08</v>
      </c>
      <c r="G418">
        <v>-0.28000000000000003</v>
      </c>
      <c r="H418">
        <v>0.9</v>
      </c>
      <c r="I418">
        <v>700.5</v>
      </c>
      <c r="J418">
        <v>22.84</v>
      </c>
      <c r="K418">
        <v>3.37</v>
      </c>
      <c r="L418">
        <v>1.22</v>
      </c>
    </row>
    <row r="419" spans="1:12" x14ac:dyDescent="0.3">
      <c r="A419" s="1">
        <v>44812</v>
      </c>
      <c r="B419">
        <v>59374.99</v>
      </c>
      <c r="C419">
        <v>59711.96</v>
      </c>
      <c r="D419">
        <v>59315.71</v>
      </c>
      <c r="E419">
        <v>59688.22</v>
      </c>
      <c r="F419">
        <v>659.31</v>
      </c>
      <c r="G419">
        <v>1.1200000000000001</v>
      </c>
      <c r="H419">
        <v>1.21</v>
      </c>
      <c r="I419">
        <v>857.48</v>
      </c>
      <c r="J419">
        <v>23.17</v>
      </c>
      <c r="K419">
        <v>3.42</v>
      </c>
      <c r="L419">
        <v>1.2</v>
      </c>
    </row>
    <row r="420" spans="1:12" x14ac:dyDescent="0.3">
      <c r="A420" s="1">
        <v>44813</v>
      </c>
      <c r="B420">
        <v>60045.75</v>
      </c>
      <c r="C420">
        <v>60119.8</v>
      </c>
      <c r="D420">
        <v>59634.39</v>
      </c>
      <c r="E420">
        <v>59793.14</v>
      </c>
      <c r="F420">
        <v>104.92</v>
      </c>
      <c r="G420">
        <v>0.18</v>
      </c>
      <c r="H420">
        <v>1.31</v>
      </c>
      <c r="I420">
        <v>887.21</v>
      </c>
      <c r="J420">
        <v>23.19</v>
      </c>
      <c r="K420">
        <v>3.42</v>
      </c>
      <c r="L420">
        <v>1.19</v>
      </c>
    </row>
    <row r="421" spans="1:12" x14ac:dyDescent="0.3">
      <c r="A421" s="1">
        <v>44816</v>
      </c>
      <c r="B421">
        <v>59912.29</v>
      </c>
      <c r="C421">
        <v>60284.55</v>
      </c>
      <c r="D421">
        <v>59912.29</v>
      </c>
      <c r="E421">
        <v>60115.13</v>
      </c>
      <c r="F421">
        <v>321.99</v>
      </c>
      <c r="G421">
        <v>0.54</v>
      </c>
      <c r="H421">
        <v>1.43</v>
      </c>
      <c r="I421">
        <v>818.47</v>
      </c>
      <c r="J421">
        <v>23.34</v>
      </c>
      <c r="K421">
        <v>3.45</v>
      </c>
      <c r="L421">
        <v>1.19</v>
      </c>
    </row>
    <row r="422" spans="1:12" x14ac:dyDescent="0.3">
      <c r="A422" s="1">
        <v>44817</v>
      </c>
      <c r="B422">
        <v>60408.29</v>
      </c>
      <c r="C422">
        <v>60635.28</v>
      </c>
      <c r="D422">
        <v>60381.02</v>
      </c>
      <c r="E422">
        <v>60571.08</v>
      </c>
      <c r="F422">
        <v>455.95</v>
      </c>
      <c r="G422">
        <v>0.76</v>
      </c>
      <c r="H422">
        <v>0.85</v>
      </c>
      <c r="I422">
        <v>817.54</v>
      </c>
      <c r="J422">
        <v>23.63</v>
      </c>
      <c r="K422">
        <v>3.49</v>
      </c>
      <c r="L422">
        <v>1.18</v>
      </c>
    </row>
    <row r="423" spans="1:12" x14ac:dyDescent="0.3">
      <c r="A423" s="1">
        <v>44818</v>
      </c>
      <c r="B423">
        <v>59417.120000000003</v>
      </c>
      <c r="C423">
        <v>60649.04</v>
      </c>
      <c r="D423">
        <v>59417.120000000003</v>
      </c>
      <c r="E423">
        <v>60346.97</v>
      </c>
      <c r="F423">
        <v>-224.11</v>
      </c>
      <c r="G423">
        <v>-0.37</v>
      </c>
      <c r="H423">
        <v>1.97</v>
      </c>
      <c r="I423">
        <v>1174.48</v>
      </c>
      <c r="J423">
        <v>23.38</v>
      </c>
      <c r="K423">
        <v>3.45</v>
      </c>
      <c r="L423">
        <v>1.19</v>
      </c>
    </row>
    <row r="424" spans="1:12" x14ac:dyDescent="0.3">
      <c r="A424" s="1">
        <v>44819</v>
      </c>
      <c r="B424">
        <v>60454.37</v>
      </c>
      <c r="C424">
        <v>60676.12</v>
      </c>
      <c r="D424">
        <v>59865.75</v>
      </c>
      <c r="E424">
        <v>59934.01</v>
      </c>
      <c r="F424">
        <v>-412.96</v>
      </c>
      <c r="G424">
        <v>-0.68</v>
      </c>
      <c r="H424">
        <v>1.03</v>
      </c>
      <c r="I424">
        <v>731.63</v>
      </c>
      <c r="J424">
        <v>23.2</v>
      </c>
      <c r="K424">
        <v>3.43</v>
      </c>
      <c r="L424">
        <v>1.2</v>
      </c>
    </row>
    <row r="425" spans="1:12" x14ac:dyDescent="0.3">
      <c r="A425" s="1">
        <v>44820</v>
      </c>
      <c r="B425">
        <v>59585.72</v>
      </c>
      <c r="C425">
        <v>59720.56</v>
      </c>
      <c r="D425">
        <v>58687.17</v>
      </c>
      <c r="E425">
        <v>58840.79</v>
      </c>
      <c r="F425">
        <v>-1093.22</v>
      </c>
      <c r="G425">
        <v>-1.82</v>
      </c>
      <c r="H425">
        <v>1.35</v>
      </c>
      <c r="I425">
        <v>917.59</v>
      </c>
      <c r="J425">
        <v>22.74</v>
      </c>
      <c r="K425">
        <v>3.36</v>
      </c>
      <c r="L425">
        <v>1.22</v>
      </c>
    </row>
    <row r="426" spans="1:12" x14ac:dyDescent="0.3">
      <c r="A426" s="1">
        <v>44823</v>
      </c>
      <c r="B426">
        <v>58747.31</v>
      </c>
      <c r="C426">
        <v>59277.55</v>
      </c>
      <c r="D426">
        <v>58487.76</v>
      </c>
      <c r="E426">
        <v>59141.23</v>
      </c>
      <c r="F426">
        <v>300.44</v>
      </c>
      <c r="G426">
        <v>0.51</v>
      </c>
      <c r="H426">
        <v>5.8</v>
      </c>
      <c r="I426">
        <v>5865.77</v>
      </c>
      <c r="J426">
        <v>22.93</v>
      </c>
      <c r="K426">
        <v>3.39</v>
      </c>
      <c r="L426">
        <v>1.21</v>
      </c>
    </row>
    <row r="427" spans="1:12" x14ac:dyDescent="0.3">
      <c r="A427" s="1">
        <v>44824</v>
      </c>
      <c r="B427">
        <v>59556.91</v>
      </c>
      <c r="C427">
        <v>60105.79</v>
      </c>
      <c r="D427">
        <v>59556.91</v>
      </c>
      <c r="E427">
        <v>59719.74</v>
      </c>
      <c r="F427">
        <v>578.51</v>
      </c>
      <c r="G427">
        <v>0.98</v>
      </c>
      <c r="H427">
        <v>1.04</v>
      </c>
      <c r="I427">
        <v>707.83</v>
      </c>
      <c r="J427">
        <v>23.15</v>
      </c>
      <c r="K427">
        <v>3.42</v>
      </c>
      <c r="L427">
        <v>1.2</v>
      </c>
    </row>
    <row r="428" spans="1:12" x14ac:dyDescent="0.3">
      <c r="A428" s="1">
        <v>44825</v>
      </c>
      <c r="B428">
        <v>59504.14</v>
      </c>
      <c r="C428">
        <v>59799.040000000001</v>
      </c>
      <c r="D428">
        <v>59275.4</v>
      </c>
      <c r="E428">
        <v>59456.78</v>
      </c>
      <c r="F428">
        <v>-262.95999999999998</v>
      </c>
      <c r="G428">
        <v>-0.44</v>
      </c>
      <c r="H428">
        <v>0.86</v>
      </c>
      <c r="I428">
        <v>501.07</v>
      </c>
      <c r="J428">
        <v>22.99</v>
      </c>
      <c r="K428">
        <v>3.4</v>
      </c>
      <c r="L428">
        <v>1.2</v>
      </c>
    </row>
    <row r="429" spans="1:12" x14ac:dyDescent="0.3">
      <c r="A429" s="1">
        <v>44826</v>
      </c>
      <c r="B429">
        <v>59073.84</v>
      </c>
      <c r="C429">
        <v>59457.58</v>
      </c>
      <c r="D429">
        <v>58832.78</v>
      </c>
      <c r="E429">
        <v>59119.72</v>
      </c>
      <c r="F429">
        <v>-337.06</v>
      </c>
      <c r="G429">
        <v>-0.56999999999999995</v>
      </c>
      <c r="H429">
        <v>1</v>
      </c>
      <c r="I429">
        <v>672.59</v>
      </c>
      <c r="J429">
        <v>22.64</v>
      </c>
      <c r="K429">
        <v>3.34</v>
      </c>
      <c r="L429">
        <v>1.22</v>
      </c>
    </row>
    <row r="430" spans="1:12" x14ac:dyDescent="0.3">
      <c r="A430" s="1">
        <v>44827</v>
      </c>
      <c r="B430">
        <v>59005.18</v>
      </c>
      <c r="C430">
        <v>59143.32</v>
      </c>
      <c r="D430">
        <v>57981.95</v>
      </c>
      <c r="E430">
        <v>58098.92</v>
      </c>
      <c r="F430">
        <v>-1020.8</v>
      </c>
      <c r="G430">
        <v>-1.73</v>
      </c>
      <c r="H430">
        <v>1.49</v>
      </c>
      <c r="I430">
        <v>714.33</v>
      </c>
      <c r="J430">
        <v>22.26</v>
      </c>
      <c r="K430">
        <v>3.29</v>
      </c>
      <c r="L430">
        <v>1.24</v>
      </c>
    </row>
    <row r="431" spans="1:12" x14ac:dyDescent="0.3">
      <c r="A431" s="1">
        <v>44830</v>
      </c>
      <c r="B431">
        <v>57525.03</v>
      </c>
      <c r="C431">
        <v>57708.38</v>
      </c>
      <c r="D431">
        <v>57038.239999999998</v>
      </c>
      <c r="E431">
        <v>57145.22</v>
      </c>
      <c r="F431">
        <v>-953.7</v>
      </c>
      <c r="G431">
        <v>-1.64</v>
      </c>
      <c r="H431">
        <v>1.79</v>
      </c>
      <c r="I431">
        <v>960.28</v>
      </c>
      <c r="J431">
        <v>22.04</v>
      </c>
      <c r="K431">
        <v>3.26</v>
      </c>
      <c r="L431">
        <v>1.26</v>
      </c>
    </row>
    <row r="432" spans="1:12" x14ac:dyDescent="0.3">
      <c r="A432" s="1">
        <v>44831</v>
      </c>
      <c r="B432">
        <v>57376.52</v>
      </c>
      <c r="C432">
        <v>57704.57</v>
      </c>
      <c r="D432">
        <v>56950.52</v>
      </c>
      <c r="E432">
        <v>57107.519999999997</v>
      </c>
      <c r="F432">
        <v>-37.700000000000003</v>
      </c>
      <c r="G432">
        <v>-7.0000000000000007E-2</v>
      </c>
      <c r="H432">
        <v>1.39</v>
      </c>
      <c r="I432">
        <v>713.13</v>
      </c>
      <c r="J432">
        <v>22.03</v>
      </c>
      <c r="K432">
        <v>3.26</v>
      </c>
      <c r="L432">
        <v>1.26</v>
      </c>
    </row>
    <row r="433" spans="1:12" x14ac:dyDescent="0.3">
      <c r="A433" s="1">
        <v>44832</v>
      </c>
      <c r="B433">
        <v>56710.13</v>
      </c>
      <c r="C433">
        <v>57213.33</v>
      </c>
      <c r="D433">
        <v>56485.67</v>
      </c>
      <c r="E433">
        <v>56598.28</v>
      </c>
      <c r="F433">
        <v>-509.24</v>
      </c>
      <c r="G433">
        <v>-0.89</v>
      </c>
      <c r="H433">
        <v>2.68</v>
      </c>
      <c r="I433">
        <v>1837.23</v>
      </c>
      <c r="J433">
        <v>21.83</v>
      </c>
      <c r="K433">
        <v>3.23</v>
      </c>
      <c r="L433">
        <v>1.27</v>
      </c>
    </row>
    <row r="434" spans="1:12" x14ac:dyDescent="0.3">
      <c r="A434" s="1">
        <v>44833</v>
      </c>
      <c r="B434">
        <v>56997.9</v>
      </c>
      <c r="C434">
        <v>57166.14</v>
      </c>
      <c r="D434">
        <v>56314.05</v>
      </c>
      <c r="E434">
        <v>56409.96</v>
      </c>
      <c r="F434">
        <v>-188.32</v>
      </c>
      <c r="G434">
        <v>-0.33</v>
      </c>
      <c r="H434">
        <v>1.1399999999999999</v>
      </c>
      <c r="I434">
        <v>571.84</v>
      </c>
      <c r="J434">
        <v>21.79</v>
      </c>
      <c r="K434">
        <v>3.22</v>
      </c>
      <c r="L434">
        <v>1.27</v>
      </c>
    </row>
    <row r="435" spans="1:12" x14ac:dyDescent="0.3">
      <c r="A435" s="1">
        <v>44834</v>
      </c>
      <c r="B435">
        <v>56240.15</v>
      </c>
      <c r="C435">
        <v>57722.63</v>
      </c>
      <c r="D435">
        <v>56147.23</v>
      </c>
      <c r="E435">
        <v>57426.92</v>
      </c>
      <c r="F435">
        <v>1016.96</v>
      </c>
      <c r="G435">
        <v>1.8</v>
      </c>
      <c r="H435">
        <v>1.23</v>
      </c>
      <c r="I435">
        <v>693.95</v>
      </c>
      <c r="J435">
        <v>22.25</v>
      </c>
      <c r="K435">
        <v>3.29</v>
      </c>
      <c r="L435">
        <v>1.24</v>
      </c>
    </row>
    <row r="436" spans="1:12" x14ac:dyDescent="0.3">
      <c r="A436" s="1">
        <v>44837</v>
      </c>
      <c r="B436">
        <v>57403.92</v>
      </c>
      <c r="C436">
        <v>57454.84</v>
      </c>
      <c r="D436">
        <v>56683.4</v>
      </c>
      <c r="E436">
        <v>56788.81</v>
      </c>
      <c r="F436">
        <v>-638.11</v>
      </c>
      <c r="G436">
        <v>-1.1100000000000001</v>
      </c>
      <c r="H436">
        <v>0.81</v>
      </c>
      <c r="I436">
        <v>553.29</v>
      </c>
      <c r="J436">
        <v>21.9</v>
      </c>
      <c r="K436">
        <v>3.24</v>
      </c>
      <c r="L436">
        <v>1.27</v>
      </c>
    </row>
    <row r="437" spans="1:12" x14ac:dyDescent="0.3">
      <c r="A437" s="1">
        <v>44838</v>
      </c>
      <c r="B437">
        <v>57506.65</v>
      </c>
      <c r="C437">
        <v>58099.94</v>
      </c>
      <c r="D437">
        <v>57506.65</v>
      </c>
      <c r="E437">
        <v>58065.47</v>
      </c>
      <c r="F437">
        <v>1276.6600000000001</v>
      </c>
      <c r="G437">
        <v>2.25</v>
      </c>
      <c r="H437">
        <v>0.64</v>
      </c>
      <c r="I437">
        <v>422.55</v>
      </c>
      <c r="J437">
        <v>22.47</v>
      </c>
      <c r="K437">
        <v>3.32</v>
      </c>
      <c r="L437">
        <v>1.24</v>
      </c>
    </row>
    <row r="438" spans="1:12" x14ac:dyDescent="0.3">
      <c r="A438" s="1">
        <v>44840</v>
      </c>
      <c r="B438">
        <v>58314.05</v>
      </c>
      <c r="C438">
        <v>58578.76</v>
      </c>
      <c r="D438">
        <v>58173.7</v>
      </c>
      <c r="E438">
        <v>58222.1</v>
      </c>
      <c r="F438">
        <v>156.63</v>
      </c>
      <c r="G438">
        <v>0.27</v>
      </c>
      <c r="H438">
        <v>0.96</v>
      </c>
      <c r="I438">
        <v>555.94000000000005</v>
      </c>
      <c r="J438">
        <v>22.41</v>
      </c>
      <c r="K438">
        <v>3.31</v>
      </c>
      <c r="L438">
        <v>1.24</v>
      </c>
    </row>
    <row r="439" spans="1:12" x14ac:dyDescent="0.3">
      <c r="A439" s="1">
        <v>44841</v>
      </c>
      <c r="B439">
        <v>58092.56</v>
      </c>
      <c r="C439">
        <v>58269.34</v>
      </c>
      <c r="D439">
        <v>57851.15</v>
      </c>
      <c r="E439">
        <v>58191.29</v>
      </c>
      <c r="F439">
        <v>-30.81</v>
      </c>
      <c r="G439">
        <v>-0.05</v>
      </c>
      <c r="H439">
        <v>0.73</v>
      </c>
      <c r="I439">
        <v>509.45</v>
      </c>
      <c r="J439">
        <v>22.32</v>
      </c>
      <c r="K439">
        <v>3.3</v>
      </c>
      <c r="L439">
        <v>1.24</v>
      </c>
    </row>
    <row r="440" spans="1:12" x14ac:dyDescent="0.3">
      <c r="A440" s="1">
        <v>44844</v>
      </c>
      <c r="B440">
        <v>57424.07</v>
      </c>
      <c r="C440">
        <v>58125.01</v>
      </c>
      <c r="D440">
        <v>57365.68</v>
      </c>
      <c r="E440">
        <v>57991.11</v>
      </c>
      <c r="F440">
        <v>-200.18</v>
      </c>
      <c r="G440">
        <v>-0.34</v>
      </c>
      <c r="H440">
        <v>0.68</v>
      </c>
      <c r="I440">
        <v>503.48</v>
      </c>
      <c r="J440">
        <v>22.55</v>
      </c>
      <c r="K440">
        <v>3.34</v>
      </c>
      <c r="L440">
        <v>1.24</v>
      </c>
    </row>
    <row r="441" spans="1:12" x14ac:dyDescent="0.3">
      <c r="A441" s="1">
        <v>44845</v>
      </c>
      <c r="B441">
        <v>58004.25</v>
      </c>
      <c r="C441">
        <v>58027.519999999997</v>
      </c>
      <c r="D441">
        <v>57050.400000000001</v>
      </c>
      <c r="E441">
        <v>57147.32</v>
      </c>
      <c r="F441">
        <v>-843.79</v>
      </c>
      <c r="G441">
        <v>-1.46</v>
      </c>
      <c r="H441">
        <v>5.27</v>
      </c>
      <c r="I441">
        <v>4908.97</v>
      </c>
      <c r="J441">
        <v>22.21</v>
      </c>
      <c r="K441">
        <v>3.29</v>
      </c>
      <c r="L441">
        <v>1.25</v>
      </c>
    </row>
    <row r="442" spans="1:12" x14ac:dyDescent="0.3">
      <c r="A442" s="1">
        <v>44846</v>
      </c>
      <c r="B442">
        <v>57312.49</v>
      </c>
      <c r="C442">
        <v>57687.64</v>
      </c>
      <c r="D442">
        <v>57085.919999999998</v>
      </c>
      <c r="E442">
        <v>57625.91</v>
      </c>
      <c r="F442">
        <v>478.59</v>
      </c>
      <c r="G442">
        <v>0.84</v>
      </c>
      <c r="H442">
        <v>0.76</v>
      </c>
      <c r="I442">
        <v>484.32</v>
      </c>
      <c r="J442">
        <v>22.29</v>
      </c>
      <c r="K442">
        <v>3.3</v>
      </c>
      <c r="L442">
        <v>1.24</v>
      </c>
    </row>
    <row r="443" spans="1:12" x14ac:dyDescent="0.3">
      <c r="A443" s="1">
        <v>44847</v>
      </c>
      <c r="B443">
        <v>57512.74</v>
      </c>
      <c r="C443">
        <v>57568.14</v>
      </c>
      <c r="D443">
        <v>57055.75</v>
      </c>
      <c r="E443">
        <v>57235.33</v>
      </c>
      <c r="F443">
        <v>-390.58</v>
      </c>
      <c r="G443">
        <v>-0.68</v>
      </c>
      <c r="H443">
        <v>0.95</v>
      </c>
      <c r="I443">
        <v>477.69</v>
      </c>
      <c r="J443">
        <v>22.09</v>
      </c>
      <c r="K443">
        <v>3.27</v>
      </c>
      <c r="L443">
        <v>1.25</v>
      </c>
    </row>
    <row r="444" spans="1:12" x14ac:dyDescent="0.3">
      <c r="A444" s="1">
        <v>44848</v>
      </c>
      <c r="B444">
        <v>58162.74</v>
      </c>
      <c r="C444">
        <v>58435.12</v>
      </c>
      <c r="D444">
        <v>57848.23</v>
      </c>
      <c r="E444">
        <v>57919.97</v>
      </c>
      <c r="F444">
        <v>684.64</v>
      </c>
      <c r="G444">
        <v>1.2</v>
      </c>
      <c r="H444">
        <v>0.94</v>
      </c>
      <c r="I444">
        <v>575.29999999999995</v>
      </c>
      <c r="J444">
        <v>22.34</v>
      </c>
      <c r="K444">
        <v>3.3</v>
      </c>
      <c r="L444">
        <v>1.24</v>
      </c>
    </row>
    <row r="445" spans="1:12" x14ac:dyDescent="0.3">
      <c r="A445" s="1">
        <v>44851</v>
      </c>
      <c r="B445">
        <v>57752.5</v>
      </c>
      <c r="C445">
        <v>58449</v>
      </c>
      <c r="D445">
        <v>57639.8</v>
      </c>
      <c r="E445">
        <v>58410.98</v>
      </c>
      <c r="F445">
        <v>491.01</v>
      </c>
      <c r="G445">
        <v>0.85</v>
      </c>
      <c r="H445">
        <v>5.35</v>
      </c>
      <c r="I445">
        <v>4775.6400000000003</v>
      </c>
      <c r="J445">
        <v>22.58</v>
      </c>
      <c r="K445">
        <v>3.33</v>
      </c>
      <c r="L445">
        <v>1.22</v>
      </c>
    </row>
    <row r="446" spans="1:12" x14ac:dyDescent="0.3">
      <c r="A446" s="1">
        <v>44852</v>
      </c>
      <c r="B446">
        <v>58744.13</v>
      </c>
      <c r="C446">
        <v>59143.66</v>
      </c>
      <c r="D446">
        <v>58744.13</v>
      </c>
      <c r="E446">
        <v>58960.6</v>
      </c>
      <c r="F446">
        <v>549.62</v>
      </c>
      <c r="G446">
        <v>0.94</v>
      </c>
      <c r="H446">
        <v>0.86</v>
      </c>
      <c r="I446">
        <v>553.66999999999996</v>
      </c>
      <c r="J446">
        <v>22.69</v>
      </c>
      <c r="K446">
        <v>3.37</v>
      </c>
      <c r="L446">
        <v>1.21</v>
      </c>
    </row>
    <row r="447" spans="1:12" x14ac:dyDescent="0.3">
      <c r="A447" s="1">
        <v>44853</v>
      </c>
      <c r="B447">
        <v>59196.959999999999</v>
      </c>
      <c r="C447">
        <v>59399.69</v>
      </c>
      <c r="D447">
        <v>58961.77</v>
      </c>
      <c r="E447">
        <v>59107.19</v>
      </c>
      <c r="F447">
        <v>146.59</v>
      </c>
      <c r="G447">
        <v>0.25</v>
      </c>
      <c r="H447">
        <v>0.68</v>
      </c>
      <c r="I447">
        <v>526.29999999999995</v>
      </c>
      <c r="J447">
        <v>22.54</v>
      </c>
      <c r="K447">
        <v>3.35</v>
      </c>
      <c r="L447">
        <v>1.21</v>
      </c>
    </row>
    <row r="448" spans="1:12" x14ac:dyDescent="0.3">
      <c r="A448" s="1">
        <v>44854</v>
      </c>
      <c r="B448">
        <v>58824.480000000003</v>
      </c>
      <c r="C448">
        <v>59273.85</v>
      </c>
      <c r="D448">
        <v>58791.28</v>
      </c>
      <c r="E448">
        <v>59202.9</v>
      </c>
      <c r="F448">
        <v>95.71</v>
      </c>
      <c r="G448">
        <v>0.16</v>
      </c>
      <c r="H448">
        <v>0.86</v>
      </c>
      <c r="I448">
        <v>475.45</v>
      </c>
      <c r="J448">
        <v>22.6</v>
      </c>
      <c r="K448">
        <v>3.35</v>
      </c>
      <c r="L448">
        <v>1.21</v>
      </c>
    </row>
    <row r="449" spans="1:12" x14ac:dyDescent="0.3">
      <c r="A449" s="1">
        <v>44855</v>
      </c>
      <c r="B449">
        <v>59381.36</v>
      </c>
      <c r="C449">
        <v>59590.93</v>
      </c>
      <c r="D449">
        <v>59132.94</v>
      </c>
      <c r="E449">
        <v>59307.15</v>
      </c>
      <c r="F449">
        <v>104.25</v>
      </c>
      <c r="G449">
        <v>0.18</v>
      </c>
      <c r="H449" t="s">
        <v>13</v>
      </c>
      <c r="J449">
        <v>22.87</v>
      </c>
      <c r="K449">
        <v>3.39</v>
      </c>
      <c r="L449">
        <v>1.2</v>
      </c>
    </row>
    <row r="450" spans="1:12" x14ac:dyDescent="0.3">
      <c r="A450" s="1">
        <v>44858</v>
      </c>
      <c r="B450">
        <v>59804.02</v>
      </c>
      <c r="C450">
        <v>59994.25</v>
      </c>
      <c r="D450">
        <v>59776.66</v>
      </c>
      <c r="E450">
        <v>59831.66</v>
      </c>
      <c r="F450">
        <v>524.51</v>
      </c>
      <c r="G450">
        <v>0.88</v>
      </c>
      <c r="H450">
        <v>0.21</v>
      </c>
      <c r="I450">
        <v>189.8</v>
      </c>
      <c r="J450">
        <v>22.44</v>
      </c>
      <c r="K450">
        <v>3.35</v>
      </c>
      <c r="L450">
        <v>1.19</v>
      </c>
    </row>
    <row r="451" spans="1:12" x14ac:dyDescent="0.3">
      <c r="A451" s="1">
        <v>44859</v>
      </c>
      <c r="B451">
        <v>60002.96</v>
      </c>
      <c r="C451">
        <v>60081.24</v>
      </c>
      <c r="D451">
        <v>59489.02</v>
      </c>
      <c r="E451">
        <v>59543.96</v>
      </c>
      <c r="F451">
        <v>-287.7</v>
      </c>
      <c r="G451">
        <v>-0.48</v>
      </c>
      <c r="H451">
        <v>1.49</v>
      </c>
      <c r="I451">
        <v>1674.79</v>
      </c>
      <c r="J451">
        <v>22.36</v>
      </c>
      <c r="K451">
        <v>3.34</v>
      </c>
      <c r="L451">
        <v>1.2</v>
      </c>
    </row>
    <row r="452" spans="1:12" x14ac:dyDescent="0.3">
      <c r="A452" s="1">
        <v>44861</v>
      </c>
      <c r="B452">
        <v>59792.32</v>
      </c>
      <c r="C452">
        <v>59959.94</v>
      </c>
      <c r="D452">
        <v>59496.800000000003</v>
      </c>
      <c r="E452">
        <v>59756.84</v>
      </c>
      <c r="F452">
        <v>212.88</v>
      </c>
      <c r="G452">
        <v>0.36</v>
      </c>
      <c r="H452">
        <v>0.95</v>
      </c>
      <c r="I452">
        <v>596.61</v>
      </c>
      <c r="J452">
        <v>22.51</v>
      </c>
      <c r="K452">
        <v>3.36</v>
      </c>
      <c r="L452">
        <v>1.19</v>
      </c>
    </row>
    <row r="453" spans="1:12" x14ac:dyDescent="0.3">
      <c r="A453" s="1">
        <v>44862</v>
      </c>
      <c r="B453">
        <v>59746.8</v>
      </c>
      <c r="C453">
        <v>60133.17</v>
      </c>
      <c r="D453">
        <v>59739.05</v>
      </c>
      <c r="E453">
        <v>59959.85</v>
      </c>
      <c r="F453">
        <v>203.01</v>
      </c>
      <c r="G453">
        <v>0.34</v>
      </c>
      <c r="H453">
        <v>1</v>
      </c>
      <c r="I453">
        <v>614.52</v>
      </c>
      <c r="J453">
        <v>22.47</v>
      </c>
      <c r="K453">
        <v>3.36</v>
      </c>
      <c r="L453">
        <v>1.19</v>
      </c>
    </row>
    <row r="454" spans="1:12" x14ac:dyDescent="0.3">
      <c r="A454" s="1">
        <v>44865</v>
      </c>
      <c r="B454">
        <v>60246.96</v>
      </c>
      <c r="C454">
        <v>60786.7</v>
      </c>
      <c r="D454">
        <v>60246.96</v>
      </c>
      <c r="E454">
        <v>60746.59</v>
      </c>
      <c r="F454">
        <v>786.74</v>
      </c>
      <c r="G454">
        <v>1.31</v>
      </c>
      <c r="H454">
        <v>0.8</v>
      </c>
      <c r="I454">
        <v>699.53</v>
      </c>
      <c r="J454">
        <v>22.75</v>
      </c>
      <c r="K454">
        <v>3.39</v>
      </c>
      <c r="L454">
        <v>1.18</v>
      </c>
    </row>
    <row r="455" spans="1:12" x14ac:dyDescent="0.3">
      <c r="A455" s="1">
        <v>44866</v>
      </c>
      <c r="B455">
        <v>61065.58</v>
      </c>
      <c r="C455">
        <v>61289.73</v>
      </c>
      <c r="D455">
        <v>60868.69</v>
      </c>
      <c r="E455">
        <v>61121.35</v>
      </c>
      <c r="F455">
        <v>374.76</v>
      </c>
      <c r="G455">
        <v>0.62</v>
      </c>
      <c r="H455">
        <v>5.82</v>
      </c>
      <c r="I455">
        <v>4729.24</v>
      </c>
      <c r="J455">
        <v>22.89</v>
      </c>
      <c r="K455">
        <v>3.41</v>
      </c>
      <c r="L455">
        <v>1.17</v>
      </c>
    </row>
    <row r="456" spans="1:12" x14ac:dyDescent="0.3">
      <c r="A456" s="1">
        <v>44867</v>
      </c>
      <c r="B456">
        <v>61156.89</v>
      </c>
      <c r="C456">
        <v>61209.65</v>
      </c>
      <c r="D456">
        <v>60794.39</v>
      </c>
      <c r="E456">
        <v>60906.09</v>
      </c>
      <c r="F456">
        <v>-215.26</v>
      </c>
      <c r="G456">
        <v>-0.35</v>
      </c>
      <c r="H456">
        <v>1.08</v>
      </c>
      <c r="I456">
        <v>608.24</v>
      </c>
      <c r="J456">
        <v>23.39</v>
      </c>
      <c r="K456">
        <v>3.42</v>
      </c>
      <c r="L456">
        <v>1.17</v>
      </c>
    </row>
    <row r="457" spans="1:12" x14ac:dyDescent="0.3">
      <c r="A457" s="1">
        <v>44868</v>
      </c>
      <c r="B457">
        <v>60511.57</v>
      </c>
      <c r="C457">
        <v>60994.37</v>
      </c>
      <c r="D457">
        <v>60485.14</v>
      </c>
      <c r="E457">
        <v>60836.41</v>
      </c>
      <c r="F457">
        <v>-69.680000000000007</v>
      </c>
      <c r="G457">
        <v>-0.11</v>
      </c>
      <c r="H457">
        <v>2.5</v>
      </c>
      <c r="I457">
        <v>3326.23</v>
      </c>
      <c r="J457">
        <v>23.28</v>
      </c>
      <c r="K457">
        <v>3.4</v>
      </c>
      <c r="L457">
        <v>1.18</v>
      </c>
    </row>
    <row r="458" spans="1:12" x14ac:dyDescent="0.3">
      <c r="A458" s="1">
        <v>44869</v>
      </c>
      <c r="B458">
        <v>60698.27</v>
      </c>
      <c r="C458">
        <v>61004.49</v>
      </c>
      <c r="D458">
        <v>60666.01</v>
      </c>
      <c r="E458">
        <v>60950.36</v>
      </c>
      <c r="F458">
        <v>113.95</v>
      </c>
      <c r="G458">
        <v>0.19</v>
      </c>
      <c r="H458">
        <v>1.36</v>
      </c>
      <c r="I458">
        <v>705.41</v>
      </c>
      <c r="J458">
        <v>23.5</v>
      </c>
      <c r="K458">
        <v>3.44</v>
      </c>
      <c r="L458">
        <v>1.17</v>
      </c>
    </row>
    <row r="459" spans="1:12" x14ac:dyDescent="0.3">
      <c r="A459" s="1">
        <v>44872</v>
      </c>
      <c r="B459">
        <v>61188.13</v>
      </c>
      <c r="C459">
        <v>61401.54</v>
      </c>
      <c r="D459">
        <v>60714.36</v>
      </c>
      <c r="E459">
        <v>61185.15</v>
      </c>
      <c r="F459">
        <v>234.79</v>
      </c>
      <c r="G459">
        <v>0.39</v>
      </c>
      <c r="H459">
        <v>1.7</v>
      </c>
      <c r="I459">
        <v>789.42</v>
      </c>
      <c r="J459">
        <v>23.16</v>
      </c>
      <c r="K459">
        <v>3.41</v>
      </c>
      <c r="L459">
        <v>1.17</v>
      </c>
    </row>
    <row r="460" spans="1:12" x14ac:dyDescent="0.3">
      <c r="A460" s="1">
        <v>44874</v>
      </c>
      <c r="B460">
        <v>61304.29</v>
      </c>
      <c r="C460">
        <v>61447.23</v>
      </c>
      <c r="D460">
        <v>60905.15</v>
      </c>
      <c r="E460">
        <v>61033.55</v>
      </c>
      <c r="F460">
        <v>-151.6</v>
      </c>
      <c r="G460">
        <v>-0.25</v>
      </c>
      <c r="H460">
        <v>0.91</v>
      </c>
      <c r="I460">
        <v>566.6</v>
      </c>
      <c r="J460">
        <v>23.26</v>
      </c>
      <c r="K460">
        <v>3.42</v>
      </c>
      <c r="L460">
        <v>1.1599999999999999</v>
      </c>
    </row>
    <row r="461" spans="1:12" x14ac:dyDescent="0.3">
      <c r="A461" s="1">
        <v>44875</v>
      </c>
      <c r="B461">
        <v>60524.27</v>
      </c>
      <c r="C461">
        <v>60848.73</v>
      </c>
      <c r="D461">
        <v>60425.47</v>
      </c>
      <c r="E461">
        <v>60613.7</v>
      </c>
      <c r="F461">
        <v>-419.85</v>
      </c>
      <c r="G461">
        <v>-0.69</v>
      </c>
      <c r="H461">
        <v>1.02</v>
      </c>
      <c r="I461">
        <v>662.82</v>
      </c>
      <c r="J461">
        <v>22.88</v>
      </c>
      <c r="K461">
        <v>3.36</v>
      </c>
      <c r="L461">
        <v>1.18</v>
      </c>
    </row>
    <row r="462" spans="1:12" x14ac:dyDescent="0.3">
      <c r="A462" s="1">
        <v>44876</v>
      </c>
      <c r="B462">
        <v>61311.02</v>
      </c>
      <c r="C462">
        <v>61840.97</v>
      </c>
      <c r="D462">
        <v>61311.02</v>
      </c>
      <c r="E462">
        <v>61795.040000000001</v>
      </c>
      <c r="F462">
        <v>1181.3399999999999</v>
      </c>
      <c r="G462">
        <v>1.95</v>
      </c>
      <c r="H462">
        <v>1.44</v>
      </c>
      <c r="I462">
        <v>1279.83</v>
      </c>
      <c r="J462">
        <v>23.56</v>
      </c>
      <c r="K462">
        <v>3.46</v>
      </c>
      <c r="L462">
        <v>1.1599999999999999</v>
      </c>
    </row>
    <row r="463" spans="1:12" x14ac:dyDescent="0.3">
      <c r="A463" s="1">
        <v>44879</v>
      </c>
      <c r="B463">
        <v>61765.86</v>
      </c>
      <c r="C463">
        <v>61916.24</v>
      </c>
      <c r="D463">
        <v>61572.03</v>
      </c>
      <c r="E463">
        <v>61624.15</v>
      </c>
      <c r="F463">
        <v>-170.89</v>
      </c>
      <c r="G463">
        <v>-0.28000000000000003</v>
      </c>
      <c r="H463">
        <v>2.06</v>
      </c>
      <c r="I463">
        <v>3223.59</v>
      </c>
      <c r="J463">
        <v>23.13</v>
      </c>
      <c r="K463">
        <v>3.4</v>
      </c>
      <c r="L463">
        <v>1.17</v>
      </c>
    </row>
    <row r="464" spans="1:12" x14ac:dyDescent="0.3">
      <c r="A464" s="1">
        <v>44880</v>
      </c>
      <c r="B464">
        <v>61630.05</v>
      </c>
      <c r="C464">
        <v>61955.96</v>
      </c>
      <c r="D464">
        <v>61436.9</v>
      </c>
      <c r="E464">
        <v>61872.99</v>
      </c>
      <c r="F464">
        <v>248.84</v>
      </c>
      <c r="G464">
        <v>0.4</v>
      </c>
      <c r="H464">
        <v>1.1399999999999999</v>
      </c>
      <c r="I464">
        <v>924.85</v>
      </c>
      <c r="J464">
        <v>23.23</v>
      </c>
      <c r="K464">
        <v>3.42</v>
      </c>
      <c r="L464">
        <v>1.17</v>
      </c>
    </row>
    <row r="465" spans="1:12" x14ac:dyDescent="0.3">
      <c r="A465" s="1">
        <v>44881</v>
      </c>
      <c r="B465">
        <v>61708.63</v>
      </c>
      <c r="C465">
        <v>62052.57</v>
      </c>
      <c r="D465">
        <v>61708.63</v>
      </c>
      <c r="E465">
        <v>61980.72</v>
      </c>
      <c r="F465">
        <v>107.73</v>
      </c>
      <c r="G465">
        <v>0.17</v>
      </c>
      <c r="H465">
        <v>0.66</v>
      </c>
      <c r="I465">
        <v>598</v>
      </c>
      <c r="J465">
        <v>23.37</v>
      </c>
      <c r="K465">
        <v>3.44</v>
      </c>
      <c r="L465">
        <v>1.1599999999999999</v>
      </c>
    </row>
    <row r="466" spans="1:12" x14ac:dyDescent="0.3">
      <c r="A466" s="1">
        <v>44882</v>
      </c>
      <c r="B466">
        <v>61812.36</v>
      </c>
      <c r="C466">
        <v>62050.8</v>
      </c>
      <c r="D466">
        <v>61643.27</v>
      </c>
      <c r="E466">
        <v>61750.6</v>
      </c>
      <c r="F466">
        <v>-230.12</v>
      </c>
      <c r="G466">
        <v>-0.37</v>
      </c>
      <c r="H466">
        <v>0.91</v>
      </c>
      <c r="I466">
        <v>512.53</v>
      </c>
      <c r="J466">
        <v>23.22</v>
      </c>
      <c r="K466">
        <v>3.42</v>
      </c>
      <c r="L466">
        <v>1.17</v>
      </c>
    </row>
    <row r="467" spans="1:12" x14ac:dyDescent="0.3">
      <c r="A467" s="1">
        <v>44883</v>
      </c>
      <c r="B467">
        <v>61858.2</v>
      </c>
      <c r="C467">
        <v>61929.88</v>
      </c>
      <c r="D467">
        <v>61337.43</v>
      </c>
      <c r="E467">
        <v>61663.48</v>
      </c>
      <c r="F467">
        <v>-87.12</v>
      </c>
      <c r="G467">
        <v>-0.14000000000000001</v>
      </c>
      <c r="H467">
        <v>1.06</v>
      </c>
      <c r="I467">
        <v>1137.33</v>
      </c>
      <c r="J467">
        <v>23.27</v>
      </c>
      <c r="K467">
        <v>3.42</v>
      </c>
      <c r="L467">
        <v>1.17</v>
      </c>
    </row>
    <row r="468" spans="1:12" x14ac:dyDescent="0.3">
      <c r="A468" s="1">
        <v>44886</v>
      </c>
      <c r="B468">
        <v>61456.33</v>
      </c>
      <c r="C468">
        <v>61456.33</v>
      </c>
      <c r="D468">
        <v>61059.33</v>
      </c>
      <c r="E468">
        <v>61144.84</v>
      </c>
      <c r="F468">
        <v>-518.64</v>
      </c>
      <c r="G468">
        <v>-0.84</v>
      </c>
      <c r="H468">
        <v>0.79</v>
      </c>
      <c r="I468">
        <v>470.08</v>
      </c>
      <c r="J468">
        <v>23.06</v>
      </c>
      <c r="K468">
        <v>3.39</v>
      </c>
      <c r="L468">
        <v>1.18</v>
      </c>
    </row>
    <row r="469" spans="1:12" x14ac:dyDescent="0.3">
      <c r="A469" s="1">
        <v>44887</v>
      </c>
      <c r="B469">
        <v>61126.559999999998</v>
      </c>
      <c r="C469">
        <v>61466.63</v>
      </c>
      <c r="D469">
        <v>61073.68</v>
      </c>
      <c r="E469">
        <v>61418.96</v>
      </c>
      <c r="F469">
        <v>274.12</v>
      </c>
      <c r="G469">
        <v>0.45</v>
      </c>
      <c r="H469">
        <v>0.97</v>
      </c>
      <c r="I469">
        <v>583.02</v>
      </c>
      <c r="J469">
        <v>23.21</v>
      </c>
      <c r="K469">
        <v>3.42</v>
      </c>
      <c r="L469">
        <v>1.17</v>
      </c>
    </row>
    <row r="470" spans="1:12" x14ac:dyDescent="0.3">
      <c r="A470" s="1">
        <v>44888</v>
      </c>
      <c r="B470">
        <v>61779.71</v>
      </c>
      <c r="C470">
        <v>61780.9</v>
      </c>
      <c r="D470">
        <v>61442.69</v>
      </c>
      <c r="E470">
        <v>61510.58</v>
      </c>
      <c r="F470">
        <v>91.62</v>
      </c>
      <c r="G470">
        <v>0.15</v>
      </c>
      <c r="H470">
        <v>0.98</v>
      </c>
      <c r="I470">
        <v>785.12</v>
      </c>
      <c r="J470">
        <v>23.25</v>
      </c>
      <c r="K470">
        <v>3.42</v>
      </c>
      <c r="L470">
        <v>1.17</v>
      </c>
    </row>
    <row r="471" spans="1:12" x14ac:dyDescent="0.3">
      <c r="A471" s="1">
        <v>44889</v>
      </c>
      <c r="B471">
        <v>61656</v>
      </c>
      <c r="C471">
        <v>62412.33</v>
      </c>
      <c r="D471">
        <v>61600.42</v>
      </c>
      <c r="E471">
        <v>62272.68</v>
      </c>
      <c r="F471">
        <v>762.1</v>
      </c>
      <c r="G471">
        <v>1.24</v>
      </c>
      <c r="H471">
        <v>0.77</v>
      </c>
      <c r="I471">
        <v>555.28</v>
      </c>
      <c r="J471">
        <v>23.58</v>
      </c>
      <c r="K471">
        <v>3.47</v>
      </c>
      <c r="L471">
        <v>1.1499999999999999</v>
      </c>
    </row>
    <row r="472" spans="1:12" x14ac:dyDescent="0.3">
      <c r="A472" s="1">
        <v>44890</v>
      </c>
      <c r="B472">
        <v>62327.88</v>
      </c>
      <c r="C472">
        <v>62447.73</v>
      </c>
      <c r="D472">
        <v>62115.66</v>
      </c>
      <c r="E472">
        <v>62293.64</v>
      </c>
      <c r="F472">
        <v>20.96</v>
      </c>
      <c r="G472">
        <v>0.03</v>
      </c>
      <c r="H472">
        <v>0.71</v>
      </c>
      <c r="I472">
        <v>601.28</v>
      </c>
      <c r="J472">
        <v>23.6</v>
      </c>
      <c r="K472">
        <v>3.47</v>
      </c>
      <c r="L472">
        <v>1.1499999999999999</v>
      </c>
    </row>
    <row r="473" spans="1:12" x14ac:dyDescent="0.3">
      <c r="A473" s="1">
        <v>44893</v>
      </c>
      <c r="B473">
        <v>62016.35</v>
      </c>
      <c r="C473">
        <v>62701.4</v>
      </c>
      <c r="D473">
        <v>61959.74</v>
      </c>
      <c r="E473">
        <v>62504.800000000003</v>
      </c>
      <c r="F473">
        <v>211.16</v>
      </c>
      <c r="G473">
        <v>0.34</v>
      </c>
      <c r="H473">
        <v>0.7</v>
      </c>
      <c r="I473">
        <v>577.34</v>
      </c>
      <c r="J473">
        <v>23.66</v>
      </c>
      <c r="K473">
        <v>3.48</v>
      </c>
      <c r="L473">
        <v>1.1499999999999999</v>
      </c>
    </row>
    <row r="474" spans="1:12" x14ac:dyDescent="0.3">
      <c r="A474" s="1">
        <v>44894</v>
      </c>
      <c r="B474">
        <v>62362.080000000002</v>
      </c>
      <c r="C474">
        <v>62887.4</v>
      </c>
      <c r="D474">
        <v>62362.080000000002</v>
      </c>
      <c r="E474">
        <v>62681.84</v>
      </c>
      <c r="F474">
        <v>177.04</v>
      </c>
      <c r="G474">
        <v>0.28000000000000003</v>
      </c>
      <c r="H474">
        <v>1.1200000000000001</v>
      </c>
      <c r="I474">
        <v>686.76</v>
      </c>
      <c r="J474">
        <v>23.71</v>
      </c>
      <c r="K474">
        <v>3.49</v>
      </c>
      <c r="L474">
        <v>1.1499999999999999</v>
      </c>
    </row>
    <row r="475" spans="1:12" x14ac:dyDescent="0.3">
      <c r="A475" s="1">
        <v>44895</v>
      </c>
      <c r="B475">
        <v>62743.47</v>
      </c>
      <c r="C475">
        <v>63303.01</v>
      </c>
      <c r="D475">
        <v>62648.38</v>
      </c>
      <c r="E475">
        <v>63099.65</v>
      </c>
      <c r="F475">
        <v>417.81</v>
      </c>
      <c r="G475">
        <v>0.67</v>
      </c>
      <c r="H475">
        <v>0.89</v>
      </c>
      <c r="I475">
        <v>498.16</v>
      </c>
      <c r="J475">
        <v>23.94</v>
      </c>
      <c r="K475">
        <v>3.52</v>
      </c>
      <c r="L475">
        <v>1.1399999999999999</v>
      </c>
    </row>
    <row r="476" spans="1:12" x14ac:dyDescent="0.3">
      <c r="A476" s="1">
        <v>44896</v>
      </c>
      <c r="B476">
        <v>63357.99</v>
      </c>
      <c r="C476">
        <v>63583.07</v>
      </c>
      <c r="D476">
        <v>63183.77</v>
      </c>
      <c r="E476">
        <v>63284.19</v>
      </c>
      <c r="F476">
        <v>184.54</v>
      </c>
      <c r="G476">
        <v>0.28999999999999998</v>
      </c>
      <c r="H476">
        <v>1.73</v>
      </c>
      <c r="I476">
        <v>790.32</v>
      </c>
      <c r="J476">
        <v>24.05</v>
      </c>
      <c r="K476">
        <v>3.54</v>
      </c>
      <c r="L476">
        <v>1.1299999999999999</v>
      </c>
    </row>
    <row r="477" spans="1:12" x14ac:dyDescent="0.3">
      <c r="A477" s="1">
        <v>44897</v>
      </c>
      <c r="B477">
        <v>62978.58</v>
      </c>
      <c r="C477">
        <v>63148.59</v>
      </c>
      <c r="D477">
        <v>62679.63</v>
      </c>
      <c r="E477">
        <v>62868.5</v>
      </c>
      <c r="F477">
        <v>-415.69</v>
      </c>
      <c r="G477">
        <v>-0.66</v>
      </c>
      <c r="H477">
        <v>0.64</v>
      </c>
      <c r="I477">
        <v>412.52</v>
      </c>
      <c r="J477">
        <v>23.81</v>
      </c>
      <c r="K477">
        <v>3.5</v>
      </c>
      <c r="L477">
        <v>1.1399999999999999</v>
      </c>
    </row>
    <row r="478" spans="1:12" x14ac:dyDescent="0.3">
      <c r="A478" s="1">
        <v>44900</v>
      </c>
      <c r="B478">
        <v>62865.279999999999</v>
      </c>
      <c r="C478">
        <v>62939.63</v>
      </c>
      <c r="D478">
        <v>62507.88</v>
      </c>
      <c r="E478">
        <v>62834.6</v>
      </c>
      <c r="F478">
        <v>-33.9</v>
      </c>
      <c r="G478">
        <v>-0.05</v>
      </c>
      <c r="H478">
        <v>1.31</v>
      </c>
      <c r="I478">
        <v>490.01</v>
      </c>
      <c r="J478">
        <v>23.66</v>
      </c>
      <c r="K478">
        <v>3.48</v>
      </c>
      <c r="L478">
        <v>1.1499999999999999</v>
      </c>
    </row>
    <row r="479" spans="1:12" x14ac:dyDescent="0.3">
      <c r="A479" s="1">
        <v>44901</v>
      </c>
      <c r="B479">
        <v>62395.55</v>
      </c>
      <c r="C479">
        <v>62677.84</v>
      </c>
      <c r="D479">
        <v>62390.07</v>
      </c>
      <c r="E479">
        <v>62626.36</v>
      </c>
      <c r="F479">
        <v>-208.24</v>
      </c>
      <c r="G479">
        <v>-0.33</v>
      </c>
      <c r="H479">
        <v>0.61</v>
      </c>
      <c r="I479">
        <v>391.1</v>
      </c>
      <c r="J479">
        <v>23.35</v>
      </c>
      <c r="K479">
        <v>3.44</v>
      </c>
      <c r="L479">
        <v>1.17</v>
      </c>
    </row>
    <row r="480" spans="1:12" x14ac:dyDescent="0.3">
      <c r="A480" s="1">
        <v>44902</v>
      </c>
      <c r="B480">
        <v>62615.519999999997</v>
      </c>
      <c r="C480">
        <v>62759.97</v>
      </c>
      <c r="D480">
        <v>62316.65</v>
      </c>
      <c r="E480">
        <v>62410.68</v>
      </c>
      <c r="F480">
        <v>-215.68</v>
      </c>
      <c r="G480">
        <v>-0.34</v>
      </c>
      <c r="H480">
        <v>0.48</v>
      </c>
      <c r="I480">
        <v>363.02</v>
      </c>
      <c r="J480">
        <v>23.43</v>
      </c>
      <c r="K480">
        <v>3.45</v>
      </c>
      <c r="L480">
        <v>1.1599999999999999</v>
      </c>
    </row>
    <row r="481" spans="1:12" x14ac:dyDescent="0.3">
      <c r="A481" s="1">
        <v>44903</v>
      </c>
      <c r="B481">
        <v>62504.04</v>
      </c>
      <c r="C481">
        <v>62633.56</v>
      </c>
      <c r="D481">
        <v>62320.18</v>
      </c>
      <c r="E481">
        <v>62570.68</v>
      </c>
      <c r="F481">
        <v>160</v>
      </c>
      <c r="G481">
        <v>0.26</v>
      </c>
      <c r="H481">
        <v>1.37</v>
      </c>
      <c r="I481">
        <v>1515.12</v>
      </c>
      <c r="J481">
        <v>23.64</v>
      </c>
      <c r="K481">
        <v>3.48</v>
      </c>
      <c r="L481">
        <v>1.1499999999999999</v>
      </c>
    </row>
    <row r="482" spans="1:12" x14ac:dyDescent="0.3">
      <c r="A482" s="1">
        <v>44904</v>
      </c>
      <c r="B482">
        <v>62690.86</v>
      </c>
      <c r="C482">
        <v>62735.42</v>
      </c>
      <c r="D482">
        <v>61889.11</v>
      </c>
      <c r="E482">
        <v>62181.67</v>
      </c>
      <c r="F482">
        <v>-389.01</v>
      </c>
      <c r="G482">
        <v>-0.62</v>
      </c>
      <c r="H482">
        <v>0.73</v>
      </c>
      <c r="I482">
        <v>506.75</v>
      </c>
      <c r="J482">
        <v>23.5</v>
      </c>
      <c r="K482">
        <v>3.46</v>
      </c>
      <c r="L482">
        <v>1.1499999999999999</v>
      </c>
    </row>
    <row r="483" spans="1:12" x14ac:dyDescent="0.3">
      <c r="A483" s="1">
        <v>44907</v>
      </c>
      <c r="B483">
        <v>61770.559999999998</v>
      </c>
      <c r="C483">
        <v>62239.42</v>
      </c>
      <c r="D483">
        <v>61676.15</v>
      </c>
      <c r="E483">
        <v>62130.57</v>
      </c>
      <c r="F483">
        <v>-51.1</v>
      </c>
      <c r="G483">
        <v>-0.08</v>
      </c>
      <c r="H483">
        <v>0.7</v>
      </c>
      <c r="I483">
        <v>470.25</v>
      </c>
      <c r="J483">
        <v>23.45</v>
      </c>
      <c r="K483">
        <v>3.45</v>
      </c>
      <c r="L483">
        <v>1.1599999999999999</v>
      </c>
    </row>
    <row r="484" spans="1:12" x14ac:dyDescent="0.3">
      <c r="A484" s="1">
        <v>44908</v>
      </c>
      <c r="B484">
        <v>62300.67</v>
      </c>
      <c r="C484">
        <v>62567.92</v>
      </c>
      <c r="D484">
        <v>62129.57</v>
      </c>
      <c r="E484">
        <v>62533.3</v>
      </c>
      <c r="F484">
        <v>402.73</v>
      </c>
      <c r="G484">
        <v>0.65</v>
      </c>
      <c r="H484">
        <v>1.2</v>
      </c>
      <c r="I484">
        <v>1255.1400000000001</v>
      </c>
      <c r="J484">
        <v>23.55</v>
      </c>
      <c r="K484">
        <v>3.47</v>
      </c>
      <c r="L484">
        <v>1.1599999999999999</v>
      </c>
    </row>
    <row r="485" spans="1:12" x14ac:dyDescent="0.3">
      <c r="A485" s="1">
        <v>44909</v>
      </c>
      <c r="B485">
        <v>62685.94</v>
      </c>
      <c r="C485">
        <v>62835.11</v>
      </c>
      <c r="D485">
        <v>62591.28</v>
      </c>
      <c r="E485">
        <v>62677.91</v>
      </c>
      <c r="F485">
        <v>144.61000000000001</v>
      </c>
      <c r="G485">
        <v>0.23</v>
      </c>
      <c r="H485">
        <v>0.56999999999999995</v>
      </c>
      <c r="I485">
        <v>450.33</v>
      </c>
      <c r="J485">
        <v>23.74</v>
      </c>
      <c r="K485">
        <v>3.5</v>
      </c>
      <c r="L485">
        <v>1.1499999999999999</v>
      </c>
    </row>
    <row r="486" spans="1:12" x14ac:dyDescent="0.3">
      <c r="A486" s="1">
        <v>44910</v>
      </c>
      <c r="B486">
        <v>62530.07</v>
      </c>
      <c r="C486">
        <v>62624.81</v>
      </c>
      <c r="D486">
        <v>61715.61</v>
      </c>
      <c r="E486">
        <v>61799.03</v>
      </c>
      <c r="F486">
        <v>-878.88</v>
      </c>
      <c r="G486">
        <v>-1.4</v>
      </c>
      <c r="H486">
        <v>0.56000000000000005</v>
      </c>
      <c r="I486">
        <v>350.96</v>
      </c>
      <c r="J486">
        <v>23.27</v>
      </c>
      <c r="K486">
        <v>3.43</v>
      </c>
      <c r="L486">
        <v>1.1599999999999999</v>
      </c>
    </row>
    <row r="487" spans="1:12" x14ac:dyDescent="0.3">
      <c r="A487" s="1">
        <v>44911</v>
      </c>
      <c r="B487">
        <v>61534.239999999998</v>
      </c>
      <c r="C487">
        <v>61893.22</v>
      </c>
      <c r="D487">
        <v>61292.53</v>
      </c>
      <c r="E487">
        <v>61337.81</v>
      </c>
      <c r="F487">
        <v>-461.22</v>
      </c>
      <c r="G487">
        <v>-0.75</v>
      </c>
      <c r="H487">
        <v>0.7</v>
      </c>
      <c r="I487">
        <v>396.94</v>
      </c>
      <c r="J487">
        <v>23.09</v>
      </c>
      <c r="K487">
        <v>3.4</v>
      </c>
      <c r="L487">
        <v>1.18</v>
      </c>
    </row>
    <row r="488" spans="1:12" x14ac:dyDescent="0.3">
      <c r="A488" s="1">
        <v>44914</v>
      </c>
      <c r="B488">
        <v>61405.8</v>
      </c>
      <c r="C488">
        <v>61844.92</v>
      </c>
      <c r="D488">
        <v>61265.31</v>
      </c>
      <c r="E488">
        <v>61806.19</v>
      </c>
      <c r="F488">
        <v>468.38</v>
      </c>
      <c r="G488">
        <v>0.76</v>
      </c>
      <c r="H488">
        <v>0.48</v>
      </c>
      <c r="I488">
        <v>357.21</v>
      </c>
      <c r="J488">
        <v>24.07</v>
      </c>
      <c r="K488">
        <v>3.46</v>
      </c>
      <c r="L488">
        <v>1.1499999999999999</v>
      </c>
    </row>
    <row r="489" spans="1:12" x14ac:dyDescent="0.3">
      <c r="A489" s="1">
        <v>44915</v>
      </c>
      <c r="B489">
        <v>61608.85</v>
      </c>
      <c r="C489">
        <v>61780.37</v>
      </c>
      <c r="D489">
        <v>61102.68</v>
      </c>
      <c r="E489">
        <v>61702.29</v>
      </c>
      <c r="F489">
        <v>-103.9</v>
      </c>
      <c r="G489">
        <v>-0.17</v>
      </c>
      <c r="H489">
        <v>0.45</v>
      </c>
      <c r="I489">
        <v>345.81</v>
      </c>
      <c r="J489">
        <v>24</v>
      </c>
      <c r="K489">
        <v>3.45</v>
      </c>
      <c r="L489">
        <v>1.1499999999999999</v>
      </c>
    </row>
    <row r="490" spans="1:12" x14ac:dyDescent="0.3">
      <c r="A490" s="1">
        <v>44916</v>
      </c>
      <c r="B490">
        <v>61993.71</v>
      </c>
      <c r="C490">
        <v>62006.46</v>
      </c>
      <c r="D490">
        <v>60938.38</v>
      </c>
      <c r="E490">
        <v>61067.24</v>
      </c>
      <c r="F490">
        <v>-635.04999999999995</v>
      </c>
      <c r="G490">
        <v>-1.03</v>
      </c>
      <c r="H490">
        <v>0.66</v>
      </c>
      <c r="I490">
        <v>444.36</v>
      </c>
      <c r="J490">
        <v>23.7</v>
      </c>
      <c r="K490">
        <v>3.41</v>
      </c>
      <c r="L490">
        <v>1.17</v>
      </c>
    </row>
    <row r="491" spans="1:12" x14ac:dyDescent="0.3">
      <c r="A491" s="1">
        <v>44917</v>
      </c>
      <c r="B491">
        <v>61257.17</v>
      </c>
      <c r="C491">
        <v>61464.38</v>
      </c>
      <c r="D491">
        <v>60637.24</v>
      </c>
      <c r="E491">
        <v>60826.22</v>
      </c>
      <c r="F491">
        <v>-241.02</v>
      </c>
      <c r="G491">
        <v>-0.39</v>
      </c>
      <c r="H491">
        <v>0.91</v>
      </c>
      <c r="I491">
        <v>520.37</v>
      </c>
      <c r="J491">
        <v>23.64</v>
      </c>
      <c r="K491">
        <v>3.4</v>
      </c>
      <c r="L491">
        <v>1.17</v>
      </c>
    </row>
    <row r="492" spans="1:12" x14ac:dyDescent="0.3">
      <c r="A492" s="1">
        <v>44918</v>
      </c>
      <c r="B492">
        <v>60205.56</v>
      </c>
      <c r="C492">
        <v>60546.879999999997</v>
      </c>
      <c r="D492">
        <v>59765.56</v>
      </c>
      <c r="E492">
        <v>59845.29</v>
      </c>
      <c r="F492">
        <v>-980.93</v>
      </c>
      <c r="G492">
        <v>-1.61</v>
      </c>
      <c r="H492">
        <v>0.81</v>
      </c>
      <c r="I492">
        <v>589.41</v>
      </c>
      <c r="J492">
        <v>23.29</v>
      </c>
      <c r="K492">
        <v>3.35</v>
      </c>
      <c r="L492">
        <v>1.19</v>
      </c>
    </row>
    <row r="493" spans="1:12" x14ac:dyDescent="0.3">
      <c r="A493" s="1">
        <v>44921</v>
      </c>
      <c r="B493">
        <v>59755.08</v>
      </c>
      <c r="C493">
        <v>60833.78</v>
      </c>
      <c r="D493">
        <v>59754.1</v>
      </c>
      <c r="E493">
        <v>60566.42</v>
      </c>
      <c r="F493">
        <v>721.13</v>
      </c>
      <c r="G493">
        <v>1.2</v>
      </c>
      <c r="H493">
        <v>0.65</v>
      </c>
      <c r="I493">
        <v>403.42</v>
      </c>
      <c r="J493">
        <v>23.6</v>
      </c>
      <c r="K493">
        <v>3.39</v>
      </c>
      <c r="L493">
        <v>1.18</v>
      </c>
    </row>
    <row r="494" spans="1:12" x14ac:dyDescent="0.3">
      <c r="A494" s="1">
        <v>44922</v>
      </c>
      <c r="B494">
        <v>60861.41</v>
      </c>
      <c r="C494">
        <v>60986.68</v>
      </c>
      <c r="D494">
        <v>60405.66</v>
      </c>
      <c r="E494">
        <v>60927.43</v>
      </c>
      <c r="F494">
        <v>361.01</v>
      </c>
      <c r="G494">
        <v>0.6</v>
      </c>
      <c r="H494">
        <v>1.1100000000000001</v>
      </c>
      <c r="I494">
        <v>465.99</v>
      </c>
      <c r="J494">
        <v>23.7</v>
      </c>
      <c r="K494">
        <v>3.41</v>
      </c>
      <c r="L494">
        <v>1.17</v>
      </c>
    </row>
    <row r="495" spans="1:12" x14ac:dyDescent="0.3">
      <c r="A495" s="1">
        <v>44923</v>
      </c>
      <c r="B495">
        <v>60811.519999999997</v>
      </c>
      <c r="C495">
        <v>61075.33</v>
      </c>
      <c r="D495">
        <v>60713.77</v>
      </c>
      <c r="E495">
        <v>60910.28</v>
      </c>
      <c r="F495">
        <v>-17.149999999999999</v>
      </c>
      <c r="G495">
        <v>-0.03</v>
      </c>
      <c r="H495">
        <v>1</v>
      </c>
      <c r="I495">
        <v>524.27</v>
      </c>
      <c r="J495">
        <v>23.63</v>
      </c>
      <c r="K495">
        <v>3.4</v>
      </c>
      <c r="L495">
        <v>1.17</v>
      </c>
    </row>
    <row r="496" spans="1:12" x14ac:dyDescent="0.3">
      <c r="A496" s="1">
        <v>44924</v>
      </c>
      <c r="B496">
        <v>60628.29</v>
      </c>
      <c r="C496">
        <v>61210.65</v>
      </c>
      <c r="D496">
        <v>60479.06</v>
      </c>
      <c r="E496">
        <v>61133.88</v>
      </c>
      <c r="F496">
        <v>223.6</v>
      </c>
      <c r="G496">
        <v>0.37</v>
      </c>
      <c r="H496">
        <v>0.79</v>
      </c>
      <c r="I496">
        <v>434.31</v>
      </c>
      <c r="J496">
        <v>23.8</v>
      </c>
      <c r="K496">
        <v>3.42</v>
      </c>
      <c r="L496">
        <v>1.17</v>
      </c>
    </row>
    <row r="497" spans="1:12" x14ac:dyDescent="0.3">
      <c r="A497" s="1">
        <v>44925</v>
      </c>
      <c r="B497">
        <v>61329.16</v>
      </c>
      <c r="C497">
        <v>61392.68</v>
      </c>
      <c r="D497">
        <v>60743.71</v>
      </c>
      <c r="E497">
        <v>60840.74</v>
      </c>
      <c r="F497">
        <v>-293.14</v>
      </c>
      <c r="G497">
        <v>-0.48</v>
      </c>
      <c r="H497">
        <v>0.8</v>
      </c>
      <c r="I497">
        <v>442.79</v>
      </c>
      <c r="J497">
        <v>23.7</v>
      </c>
      <c r="K497">
        <v>3.41</v>
      </c>
      <c r="L497">
        <v>1.17</v>
      </c>
    </row>
    <row r="498" spans="1:12" x14ac:dyDescent="0.3">
      <c r="A498" s="1">
        <v>44928</v>
      </c>
      <c r="B498">
        <v>60871.24</v>
      </c>
      <c r="C498">
        <v>61222.79</v>
      </c>
      <c r="D498">
        <v>60764.63</v>
      </c>
      <c r="E498">
        <v>61167.79</v>
      </c>
      <c r="F498">
        <v>327.05</v>
      </c>
      <c r="G498">
        <v>0.54</v>
      </c>
      <c r="H498">
        <v>1.85</v>
      </c>
      <c r="I498">
        <v>731.15</v>
      </c>
      <c r="J498">
        <v>23.78</v>
      </c>
      <c r="K498">
        <v>3.42</v>
      </c>
      <c r="L498">
        <v>1.17</v>
      </c>
    </row>
    <row r="499" spans="1:12" x14ac:dyDescent="0.3">
      <c r="A499" s="1">
        <v>44929</v>
      </c>
      <c r="B499">
        <v>61074.879999999997</v>
      </c>
      <c r="C499">
        <v>61343.96</v>
      </c>
      <c r="D499">
        <v>61004.04</v>
      </c>
      <c r="E499">
        <v>61294.2</v>
      </c>
      <c r="F499">
        <v>126.41</v>
      </c>
      <c r="G499">
        <v>0.21</v>
      </c>
      <c r="H499">
        <v>0.67</v>
      </c>
      <c r="I499">
        <v>416</v>
      </c>
      <c r="J499">
        <v>23.8</v>
      </c>
      <c r="K499">
        <v>3.42</v>
      </c>
      <c r="L499">
        <v>1.17</v>
      </c>
    </row>
    <row r="500" spans="1:12" x14ac:dyDescent="0.3">
      <c r="A500" s="1">
        <v>44930</v>
      </c>
      <c r="B500">
        <v>61294.65</v>
      </c>
      <c r="C500">
        <v>61327.21</v>
      </c>
      <c r="D500">
        <v>60593.56</v>
      </c>
      <c r="E500">
        <v>60657.45</v>
      </c>
      <c r="F500">
        <v>-636.75</v>
      </c>
      <c r="G500">
        <v>-1.04</v>
      </c>
      <c r="H500">
        <v>0.79</v>
      </c>
      <c r="I500">
        <v>476.58</v>
      </c>
      <c r="J500">
        <v>23.58</v>
      </c>
      <c r="K500">
        <v>3.39</v>
      </c>
      <c r="L500">
        <v>1.18</v>
      </c>
    </row>
    <row r="501" spans="1:12" x14ac:dyDescent="0.3">
      <c r="A501" s="1">
        <v>44931</v>
      </c>
      <c r="B501">
        <v>60847.5</v>
      </c>
      <c r="C501">
        <v>60877.06</v>
      </c>
      <c r="D501">
        <v>60049.84</v>
      </c>
      <c r="E501">
        <v>60353.27</v>
      </c>
      <c r="F501">
        <v>-304.18</v>
      </c>
      <c r="G501">
        <v>-0.5</v>
      </c>
      <c r="H501">
        <v>0.89</v>
      </c>
      <c r="I501">
        <v>664.87</v>
      </c>
      <c r="J501">
        <v>23.52</v>
      </c>
      <c r="K501">
        <v>3.38</v>
      </c>
      <c r="L501">
        <v>1.18</v>
      </c>
    </row>
    <row r="502" spans="1:12" x14ac:dyDescent="0.3">
      <c r="A502" s="1">
        <v>44932</v>
      </c>
      <c r="B502">
        <v>60388.74</v>
      </c>
      <c r="C502">
        <v>60537.63</v>
      </c>
      <c r="D502">
        <v>59669.91</v>
      </c>
      <c r="E502">
        <v>59900.37</v>
      </c>
      <c r="F502">
        <v>-452.9</v>
      </c>
      <c r="G502">
        <v>-0.75</v>
      </c>
      <c r="H502">
        <v>0.86</v>
      </c>
      <c r="I502">
        <v>508.61</v>
      </c>
      <c r="J502">
        <v>23.29</v>
      </c>
      <c r="K502">
        <v>3.35</v>
      </c>
      <c r="L502">
        <v>1.19</v>
      </c>
    </row>
    <row r="503" spans="1:12" x14ac:dyDescent="0.3">
      <c r="A503" s="1">
        <v>44935</v>
      </c>
      <c r="B503">
        <v>60147.07</v>
      </c>
      <c r="C503">
        <v>60889.41</v>
      </c>
      <c r="D503">
        <v>60109.94</v>
      </c>
      <c r="E503">
        <v>60747.31</v>
      </c>
      <c r="F503">
        <v>846.94</v>
      </c>
      <c r="G503">
        <v>1.41</v>
      </c>
      <c r="H503">
        <v>0.8</v>
      </c>
      <c r="I503">
        <v>665.05</v>
      </c>
      <c r="J503">
        <v>23.61</v>
      </c>
      <c r="K503">
        <v>3.39</v>
      </c>
      <c r="L503">
        <v>1.17</v>
      </c>
    </row>
    <row r="504" spans="1:12" x14ac:dyDescent="0.3">
      <c r="A504" s="1">
        <v>44936</v>
      </c>
      <c r="B504">
        <v>60805.14</v>
      </c>
      <c r="C504">
        <v>60809.65</v>
      </c>
      <c r="D504">
        <v>59938.38</v>
      </c>
      <c r="E504">
        <v>60115.48</v>
      </c>
      <c r="F504">
        <v>-631.83000000000004</v>
      </c>
      <c r="G504">
        <v>-1.04</v>
      </c>
      <c r="H504">
        <v>0.85</v>
      </c>
      <c r="I504">
        <v>526.75</v>
      </c>
      <c r="J504">
        <v>23.51</v>
      </c>
      <c r="K504">
        <v>3.38</v>
      </c>
      <c r="L504">
        <v>1.18</v>
      </c>
    </row>
    <row r="505" spans="1:12" x14ac:dyDescent="0.3">
      <c r="A505" s="1">
        <v>44937</v>
      </c>
      <c r="B505">
        <v>60134.559999999998</v>
      </c>
      <c r="C505">
        <v>60364.77</v>
      </c>
      <c r="D505">
        <v>59805.78</v>
      </c>
      <c r="E505">
        <v>60105.5</v>
      </c>
      <c r="F505">
        <v>-9.98</v>
      </c>
      <c r="G505">
        <v>-0.02</v>
      </c>
      <c r="H505">
        <v>0.97</v>
      </c>
      <c r="I505">
        <v>678.48</v>
      </c>
      <c r="J505">
        <v>23.56</v>
      </c>
      <c r="K505">
        <v>3.39</v>
      </c>
      <c r="L505">
        <v>1.18</v>
      </c>
    </row>
    <row r="506" spans="1:12" x14ac:dyDescent="0.3">
      <c r="A506" s="1">
        <v>44938</v>
      </c>
      <c r="B506">
        <v>60083.03</v>
      </c>
      <c r="C506">
        <v>60290.35</v>
      </c>
      <c r="D506">
        <v>59632.32</v>
      </c>
      <c r="E506">
        <v>59958.03</v>
      </c>
      <c r="F506">
        <v>-147.47</v>
      </c>
      <c r="G506">
        <v>-0.25</v>
      </c>
      <c r="H506">
        <v>0.61</v>
      </c>
      <c r="I506">
        <v>436.73</v>
      </c>
      <c r="J506">
        <v>23.35</v>
      </c>
      <c r="K506">
        <v>3.36</v>
      </c>
      <c r="L506">
        <v>1.19</v>
      </c>
    </row>
    <row r="507" spans="1:12" x14ac:dyDescent="0.3">
      <c r="A507" s="1">
        <v>44939</v>
      </c>
      <c r="B507">
        <v>60044.959999999999</v>
      </c>
      <c r="C507">
        <v>60418.26</v>
      </c>
      <c r="D507">
        <v>59628.43</v>
      </c>
      <c r="E507">
        <v>60261.18</v>
      </c>
      <c r="F507">
        <v>303.14999999999998</v>
      </c>
      <c r="G507">
        <v>0.51</v>
      </c>
      <c r="H507">
        <v>0.72</v>
      </c>
      <c r="I507">
        <v>488.59</v>
      </c>
      <c r="J507">
        <v>23.51</v>
      </c>
      <c r="K507">
        <v>3.38</v>
      </c>
      <c r="L507">
        <v>1.18</v>
      </c>
    </row>
    <row r="508" spans="1:12" x14ac:dyDescent="0.3">
      <c r="A508" s="1">
        <v>44942</v>
      </c>
      <c r="B508">
        <v>60550.5</v>
      </c>
      <c r="C508">
        <v>60586.77</v>
      </c>
      <c r="D508">
        <v>59963.83</v>
      </c>
      <c r="E508">
        <v>60092.97</v>
      </c>
      <c r="F508">
        <v>-168.21</v>
      </c>
      <c r="G508">
        <v>-0.28000000000000003</v>
      </c>
      <c r="H508">
        <v>0.65</v>
      </c>
      <c r="I508">
        <v>608.53</v>
      </c>
      <c r="J508">
        <v>23.22</v>
      </c>
      <c r="K508">
        <v>3.35</v>
      </c>
      <c r="L508">
        <v>1.19</v>
      </c>
    </row>
    <row r="509" spans="1:12" x14ac:dyDescent="0.3">
      <c r="A509" s="1">
        <v>44943</v>
      </c>
      <c r="B509">
        <v>60142.080000000002</v>
      </c>
      <c r="C509">
        <v>60704.480000000003</v>
      </c>
      <c r="D509">
        <v>60072.34</v>
      </c>
      <c r="E509">
        <v>60655.72</v>
      </c>
      <c r="F509">
        <v>562.75</v>
      </c>
      <c r="G509">
        <v>0.94</v>
      </c>
      <c r="H509">
        <v>0.66</v>
      </c>
      <c r="I509">
        <v>506.88</v>
      </c>
      <c r="J509">
        <v>23.27</v>
      </c>
      <c r="K509">
        <v>3.37</v>
      </c>
      <c r="L509">
        <v>1.18</v>
      </c>
    </row>
    <row r="510" spans="1:12" x14ac:dyDescent="0.3">
      <c r="A510" s="1">
        <v>44944</v>
      </c>
      <c r="B510">
        <v>60716.03</v>
      </c>
      <c r="C510">
        <v>61110.25</v>
      </c>
      <c r="D510">
        <v>60569.19</v>
      </c>
      <c r="E510">
        <v>61045.74</v>
      </c>
      <c r="F510">
        <v>390.02</v>
      </c>
      <c r="G510">
        <v>0.64</v>
      </c>
      <c r="H510">
        <v>0.69</v>
      </c>
      <c r="I510">
        <v>445.7</v>
      </c>
      <c r="J510">
        <v>23.66</v>
      </c>
      <c r="K510">
        <v>3.43</v>
      </c>
      <c r="L510">
        <v>1.1599999999999999</v>
      </c>
    </row>
    <row r="511" spans="1:12" x14ac:dyDescent="0.3">
      <c r="A511" s="1">
        <v>44945</v>
      </c>
      <c r="B511">
        <v>60920.02</v>
      </c>
      <c r="C511">
        <v>61032.47</v>
      </c>
      <c r="D511">
        <v>60716.55</v>
      </c>
      <c r="E511">
        <v>60858.43</v>
      </c>
      <c r="F511">
        <v>-187.31</v>
      </c>
      <c r="G511">
        <v>-0.31</v>
      </c>
      <c r="H511">
        <v>0.85</v>
      </c>
      <c r="I511">
        <v>454.32</v>
      </c>
      <c r="J511">
        <v>23.55</v>
      </c>
      <c r="K511">
        <v>3.41</v>
      </c>
      <c r="L511">
        <v>1.17</v>
      </c>
    </row>
    <row r="512" spans="1:12" x14ac:dyDescent="0.3">
      <c r="A512" s="1">
        <v>44946</v>
      </c>
      <c r="B512">
        <v>60901.16</v>
      </c>
      <c r="C512">
        <v>61001.18</v>
      </c>
      <c r="D512">
        <v>60585.25</v>
      </c>
      <c r="E512">
        <v>60621.77</v>
      </c>
      <c r="F512">
        <v>-236.66</v>
      </c>
      <c r="G512">
        <v>-0.39</v>
      </c>
      <c r="H512">
        <v>0.63</v>
      </c>
      <c r="I512">
        <v>540.96</v>
      </c>
      <c r="J512">
        <v>23.43</v>
      </c>
      <c r="K512">
        <v>3.4</v>
      </c>
      <c r="L512">
        <v>1.17</v>
      </c>
    </row>
    <row r="513" spans="1:12" x14ac:dyDescent="0.3">
      <c r="A513" s="1">
        <v>44949</v>
      </c>
      <c r="B513">
        <v>60876.01</v>
      </c>
      <c r="C513">
        <v>61113.27</v>
      </c>
      <c r="D513">
        <v>60761.88</v>
      </c>
      <c r="E513">
        <v>60941.67</v>
      </c>
      <c r="F513">
        <v>319.89999999999998</v>
      </c>
      <c r="G513">
        <v>0.53</v>
      </c>
      <c r="H513">
        <v>0.66</v>
      </c>
      <c r="I513">
        <v>456.82</v>
      </c>
      <c r="J513">
        <v>23.17</v>
      </c>
      <c r="K513">
        <v>3.37</v>
      </c>
      <c r="L513">
        <v>1.19</v>
      </c>
    </row>
    <row r="514" spans="1:12" x14ac:dyDescent="0.3">
      <c r="A514" s="1">
        <v>44950</v>
      </c>
      <c r="B514">
        <v>61122.2</v>
      </c>
      <c r="C514">
        <v>61266.06</v>
      </c>
      <c r="D514">
        <v>60849.120000000003</v>
      </c>
      <c r="E514">
        <v>60978.75</v>
      </c>
      <c r="F514">
        <v>37.08</v>
      </c>
      <c r="G514">
        <v>0.06</v>
      </c>
      <c r="H514">
        <v>0.95</v>
      </c>
      <c r="I514">
        <v>671.26</v>
      </c>
      <c r="J514">
        <v>23.13</v>
      </c>
      <c r="K514">
        <v>3.37</v>
      </c>
      <c r="L514">
        <v>1.19</v>
      </c>
    </row>
    <row r="515" spans="1:12" x14ac:dyDescent="0.3">
      <c r="A515" s="1">
        <v>44951</v>
      </c>
      <c r="B515">
        <v>60834.73</v>
      </c>
      <c r="C515">
        <v>60899.21</v>
      </c>
      <c r="D515">
        <v>60081.36</v>
      </c>
      <c r="E515">
        <v>60205.06</v>
      </c>
      <c r="F515">
        <v>-773.69</v>
      </c>
      <c r="G515">
        <v>-1.27</v>
      </c>
      <c r="H515">
        <v>0.81</v>
      </c>
      <c r="I515">
        <v>522.44000000000005</v>
      </c>
      <c r="J515">
        <v>22.82</v>
      </c>
      <c r="K515">
        <v>3.34</v>
      </c>
      <c r="L515">
        <v>1.2</v>
      </c>
    </row>
    <row r="516" spans="1:12" x14ac:dyDescent="0.3">
      <c r="A516" s="1">
        <v>44953</v>
      </c>
      <c r="B516">
        <v>60166.9</v>
      </c>
      <c r="C516">
        <v>60166.9</v>
      </c>
      <c r="D516">
        <v>58974.7</v>
      </c>
      <c r="E516">
        <v>59330.9</v>
      </c>
      <c r="F516">
        <v>-874.16</v>
      </c>
      <c r="G516">
        <v>-1.45</v>
      </c>
      <c r="H516">
        <v>1.29</v>
      </c>
      <c r="I516">
        <v>1049.17</v>
      </c>
      <c r="J516">
        <v>22.39</v>
      </c>
      <c r="K516">
        <v>3.29</v>
      </c>
      <c r="L516">
        <v>1.21</v>
      </c>
    </row>
    <row r="517" spans="1:12" x14ac:dyDescent="0.3">
      <c r="A517" s="1">
        <v>44956</v>
      </c>
      <c r="B517">
        <v>59101.69</v>
      </c>
      <c r="C517">
        <v>59644.24</v>
      </c>
      <c r="D517">
        <v>58699.199999999997</v>
      </c>
      <c r="E517">
        <v>59500.41</v>
      </c>
      <c r="F517">
        <v>169.51</v>
      </c>
      <c r="G517">
        <v>0.28999999999999998</v>
      </c>
      <c r="H517">
        <v>1.1499999999999999</v>
      </c>
      <c r="I517">
        <v>1009.34</v>
      </c>
      <c r="J517">
        <v>22.43</v>
      </c>
      <c r="K517">
        <v>3.3</v>
      </c>
      <c r="L517">
        <v>1.21</v>
      </c>
    </row>
    <row r="518" spans="1:12" x14ac:dyDescent="0.3">
      <c r="A518" s="1">
        <v>44957</v>
      </c>
      <c r="B518">
        <v>59770.83</v>
      </c>
      <c r="C518">
        <v>59787.63</v>
      </c>
      <c r="D518">
        <v>59104.59</v>
      </c>
      <c r="E518">
        <v>59549.9</v>
      </c>
      <c r="F518">
        <v>49.49</v>
      </c>
      <c r="G518">
        <v>0.08</v>
      </c>
      <c r="H518">
        <v>0.9</v>
      </c>
      <c r="I518">
        <v>541.11</v>
      </c>
      <c r="J518">
        <v>22.34</v>
      </c>
      <c r="K518">
        <v>3.29</v>
      </c>
      <c r="L518">
        <v>1.22</v>
      </c>
    </row>
    <row r="519" spans="1:12" x14ac:dyDescent="0.3">
      <c r="A519" s="1">
        <v>44958</v>
      </c>
      <c r="B519">
        <v>60001.17</v>
      </c>
      <c r="C519">
        <v>60773.440000000002</v>
      </c>
      <c r="D519">
        <v>58816.84</v>
      </c>
      <c r="E519">
        <v>59708.08</v>
      </c>
      <c r="F519">
        <v>158.18</v>
      </c>
      <c r="G519">
        <v>0.27</v>
      </c>
      <c r="H519">
        <v>2.5299999999999998</v>
      </c>
      <c r="I519">
        <v>1792.67</v>
      </c>
      <c r="J519">
        <v>22.36</v>
      </c>
      <c r="K519">
        <v>3.3</v>
      </c>
      <c r="L519">
        <v>1.21</v>
      </c>
    </row>
    <row r="520" spans="1:12" x14ac:dyDescent="0.3">
      <c r="A520" s="1">
        <v>44959</v>
      </c>
      <c r="B520">
        <v>59459.87</v>
      </c>
      <c r="C520">
        <v>60007.67</v>
      </c>
      <c r="D520">
        <v>59215.62</v>
      </c>
      <c r="E520">
        <v>59932.24</v>
      </c>
      <c r="F520">
        <v>224.16</v>
      </c>
      <c r="G520">
        <v>0.38</v>
      </c>
      <c r="H520">
        <v>1.04</v>
      </c>
      <c r="I520">
        <v>642.04</v>
      </c>
      <c r="J520">
        <v>22.45</v>
      </c>
      <c r="K520">
        <v>3.31</v>
      </c>
      <c r="L520">
        <v>1.21</v>
      </c>
    </row>
    <row r="521" spans="1:12" x14ac:dyDescent="0.3">
      <c r="A521" s="1">
        <v>44960</v>
      </c>
      <c r="B521">
        <v>60350.01</v>
      </c>
      <c r="C521">
        <v>60905.34</v>
      </c>
      <c r="D521">
        <v>60013.06</v>
      </c>
      <c r="E521">
        <v>60841.88</v>
      </c>
      <c r="F521">
        <v>909.64</v>
      </c>
      <c r="G521">
        <v>1.52</v>
      </c>
      <c r="H521">
        <v>0.91</v>
      </c>
      <c r="I521">
        <v>630.22</v>
      </c>
      <c r="J521">
        <v>22.83</v>
      </c>
      <c r="K521">
        <v>3.37</v>
      </c>
      <c r="L521">
        <v>1.19</v>
      </c>
    </row>
    <row r="522" spans="1:12" x14ac:dyDescent="0.3">
      <c r="A522" s="1">
        <v>44963</v>
      </c>
      <c r="B522">
        <v>60847.21</v>
      </c>
      <c r="C522">
        <v>60847.21</v>
      </c>
      <c r="D522">
        <v>60345.61</v>
      </c>
      <c r="E522">
        <v>60506.9</v>
      </c>
      <c r="F522">
        <v>-334.98</v>
      </c>
      <c r="G522">
        <v>-0.55000000000000004</v>
      </c>
      <c r="H522">
        <v>0.75</v>
      </c>
      <c r="I522">
        <v>443.57</v>
      </c>
      <c r="J522">
        <v>22.59</v>
      </c>
      <c r="K522">
        <v>3.35</v>
      </c>
      <c r="L522">
        <v>1.2</v>
      </c>
    </row>
    <row r="523" spans="1:12" x14ac:dyDescent="0.3">
      <c r="A523" s="1">
        <v>44964</v>
      </c>
      <c r="B523">
        <v>60511.32</v>
      </c>
      <c r="C523">
        <v>60655.14</v>
      </c>
      <c r="D523">
        <v>60063.49</v>
      </c>
      <c r="E523">
        <v>60286.04</v>
      </c>
      <c r="F523">
        <v>-220.86</v>
      </c>
      <c r="G523">
        <v>-0.37</v>
      </c>
      <c r="H523">
        <v>1.36</v>
      </c>
      <c r="I523">
        <v>515.49</v>
      </c>
      <c r="J523">
        <v>22.5</v>
      </c>
      <c r="K523">
        <v>3.33</v>
      </c>
      <c r="L523">
        <v>1.21</v>
      </c>
    </row>
    <row r="524" spans="1:12" x14ac:dyDescent="0.3">
      <c r="A524" s="1">
        <v>44965</v>
      </c>
      <c r="B524">
        <v>60332.99</v>
      </c>
      <c r="C524">
        <v>60792.1</v>
      </c>
      <c r="D524">
        <v>60324.92</v>
      </c>
      <c r="E524">
        <v>60663.79</v>
      </c>
      <c r="F524">
        <v>377.75</v>
      </c>
      <c r="G524">
        <v>0.63</v>
      </c>
      <c r="H524">
        <v>1.33</v>
      </c>
      <c r="I524">
        <v>533.37</v>
      </c>
      <c r="J524">
        <v>23.16</v>
      </c>
      <c r="K524">
        <v>3.36</v>
      </c>
      <c r="L524">
        <v>1.19</v>
      </c>
    </row>
    <row r="525" spans="1:12" x14ac:dyDescent="0.3">
      <c r="A525" s="1">
        <v>44966</v>
      </c>
      <c r="B525">
        <v>60715.89</v>
      </c>
      <c r="C525">
        <v>60863.63</v>
      </c>
      <c r="D525">
        <v>60472.81</v>
      </c>
      <c r="E525">
        <v>60806.22</v>
      </c>
      <c r="F525">
        <v>142.43</v>
      </c>
      <c r="G525">
        <v>0.23</v>
      </c>
      <c r="H525">
        <v>0.85</v>
      </c>
      <c r="I525">
        <v>387.17</v>
      </c>
      <c r="J525">
        <v>23.21</v>
      </c>
      <c r="K525">
        <v>3.37</v>
      </c>
      <c r="L525">
        <v>1.19</v>
      </c>
    </row>
    <row r="526" spans="1:12" x14ac:dyDescent="0.3">
      <c r="A526" s="1">
        <v>44967</v>
      </c>
      <c r="B526">
        <v>60706.81</v>
      </c>
      <c r="C526">
        <v>60774.14</v>
      </c>
      <c r="D526">
        <v>60501.74</v>
      </c>
      <c r="E526">
        <v>60682.7</v>
      </c>
      <c r="F526">
        <v>-123.52</v>
      </c>
      <c r="G526">
        <v>-0.2</v>
      </c>
      <c r="H526">
        <v>0.53</v>
      </c>
      <c r="I526">
        <v>384.45</v>
      </c>
      <c r="J526">
        <v>23.13</v>
      </c>
      <c r="K526">
        <v>3.36</v>
      </c>
      <c r="L526">
        <v>1.19</v>
      </c>
    </row>
    <row r="527" spans="1:12" x14ac:dyDescent="0.3">
      <c r="A527" s="1">
        <v>44970</v>
      </c>
      <c r="B527">
        <v>60652.82</v>
      </c>
      <c r="C527">
        <v>60740.95</v>
      </c>
      <c r="D527">
        <v>60245.05</v>
      </c>
      <c r="E527">
        <v>60431.839999999997</v>
      </c>
      <c r="F527">
        <v>-250.86</v>
      </c>
      <c r="G527">
        <v>-0.41</v>
      </c>
      <c r="H527">
        <v>0.57999999999999996</v>
      </c>
      <c r="I527">
        <v>343.88</v>
      </c>
      <c r="J527">
        <v>22.87</v>
      </c>
      <c r="K527">
        <v>3.33</v>
      </c>
      <c r="L527">
        <v>1.21</v>
      </c>
    </row>
    <row r="528" spans="1:12" x14ac:dyDescent="0.3">
      <c r="A528" s="1">
        <v>44971</v>
      </c>
      <c r="B528">
        <v>60550.25</v>
      </c>
      <c r="C528">
        <v>61102.74</v>
      </c>
      <c r="D528">
        <v>60550.25</v>
      </c>
      <c r="E528">
        <v>61032.26</v>
      </c>
      <c r="F528">
        <v>600.41999999999996</v>
      </c>
      <c r="G528">
        <v>0.99</v>
      </c>
      <c r="H528">
        <v>0.7</v>
      </c>
      <c r="I528">
        <v>483.33</v>
      </c>
      <c r="J528">
        <v>23.11</v>
      </c>
      <c r="K528">
        <v>3.36</v>
      </c>
      <c r="L528">
        <v>1.19</v>
      </c>
    </row>
    <row r="529" spans="1:12" x14ac:dyDescent="0.3">
      <c r="A529" s="1">
        <v>44972</v>
      </c>
      <c r="B529">
        <v>60990.05</v>
      </c>
      <c r="C529">
        <v>61352.55</v>
      </c>
      <c r="D529">
        <v>60750.32</v>
      </c>
      <c r="E529">
        <v>61275.09</v>
      </c>
      <c r="F529">
        <v>242.83</v>
      </c>
      <c r="G529">
        <v>0.4</v>
      </c>
      <c r="H529">
        <v>0.56999999999999995</v>
      </c>
      <c r="I529">
        <v>401.88</v>
      </c>
      <c r="J529">
        <v>23.21</v>
      </c>
      <c r="K529">
        <v>3.38</v>
      </c>
      <c r="L529">
        <v>1.19</v>
      </c>
    </row>
    <row r="530" spans="1:12" x14ac:dyDescent="0.3">
      <c r="A530" s="1">
        <v>44973</v>
      </c>
      <c r="B530">
        <v>61566.22</v>
      </c>
      <c r="C530">
        <v>61682.25</v>
      </c>
      <c r="D530">
        <v>61196.72</v>
      </c>
      <c r="E530">
        <v>61319.51</v>
      </c>
      <c r="F530">
        <v>44.42</v>
      </c>
      <c r="G530">
        <v>7.0000000000000007E-2</v>
      </c>
      <c r="H530">
        <v>0.69</v>
      </c>
      <c r="I530">
        <v>496.47</v>
      </c>
      <c r="J530">
        <v>23.35</v>
      </c>
      <c r="K530">
        <v>3.4</v>
      </c>
      <c r="L530">
        <v>1.18</v>
      </c>
    </row>
    <row r="531" spans="1:12" x14ac:dyDescent="0.3">
      <c r="A531" s="1">
        <v>44974</v>
      </c>
      <c r="B531">
        <v>60993.54</v>
      </c>
      <c r="C531">
        <v>61302.720000000001</v>
      </c>
      <c r="D531">
        <v>60810.67</v>
      </c>
      <c r="E531">
        <v>61002.57</v>
      </c>
      <c r="F531">
        <v>-316.94</v>
      </c>
      <c r="G531">
        <v>-0.52</v>
      </c>
      <c r="H531">
        <v>0.81</v>
      </c>
      <c r="I531">
        <v>571.29</v>
      </c>
      <c r="J531">
        <v>23.14</v>
      </c>
      <c r="K531">
        <v>3.37</v>
      </c>
      <c r="L531">
        <v>1.19</v>
      </c>
    </row>
    <row r="532" spans="1:12" x14ac:dyDescent="0.3">
      <c r="A532" s="1">
        <v>44977</v>
      </c>
      <c r="B532">
        <v>61112.84</v>
      </c>
      <c r="C532">
        <v>61290.19</v>
      </c>
      <c r="D532">
        <v>60607.02</v>
      </c>
      <c r="E532">
        <v>60691.54</v>
      </c>
      <c r="F532">
        <v>-311.02999999999997</v>
      </c>
      <c r="G532">
        <v>-0.51</v>
      </c>
      <c r="H532">
        <v>0.61</v>
      </c>
      <c r="I532">
        <v>387.05</v>
      </c>
      <c r="J532">
        <v>23.05</v>
      </c>
      <c r="K532">
        <v>3.35</v>
      </c>
      <c r="L532">
        <v>1.2</v>
      </c>
    </row>
    <row r="533" spans="1:12" x14ac:dyDescent="0.3">
      <c r="A533" s="1">
        <v>44978</v>
      </c>
      <c r="B533">
        <v>60770.43</v>
      </c>
      <c r="C533">
        <v>60976.59</v>
      </c>
      <c r="D533">
        <v>60583.72</v>
      </c>
      <c r="E533">
        <v>60672.72</v>
      </c>
      <c r="F533">
        <v>-18.82</v>
      </c>
      <c r="G533">
        <v>-0.03</v>
      </c>
      <c r="H533">
        <v>0.51</v>
      </c>
      <c r="I533">
        <v>345.43</v>
      </c>
      <c r="J533">
        <v>23.02</v>
      </c>
      <c r="K533">
        <v>3.35</v>
      </c>
      <c r="L533">
        <v>1.2</v>
      </c>
    </row>
    <row r="534" spans="1:12" x14ac:dyDescent="0.3">
      <c r="A534" s="1">
        <v>44979</v>
      </c>
      <c r="B534">
        <v>60391.86</v>
      </c>
      <c r="C534">
        <v>60462.9</v>
      </c>
      <c r="D534">
        <v>59681.55</v>
      </c>
      <c r="E534">
        <v>59744.98</v>
      </c>
      <c r="F534">
        <v>-927.74</v>
      </c>
      <c r="G534">
        <v>-1.53</v>
      </c>
      <c r="H534">
        <v>0.81</v>
      </c>
      <c r="I534">
        <v>446.92</v>
      </c>
      <c r="J534">
        <v>22.65</v>
      </c>
      <c r="K534">
        <v>3.29</v>
      </c>
      <c r="L534">
        <v>1.22</v>
      </c>
    </row>
    <row r="535" spans="1:12" x14ac:dyDescent="0.3">
      <c r="A535" s="1">
        <v>44980</v>
      </c>
      <c r="B535">
        <v>59777.64</v>
      </c>
      <c r="C535">
        <v>59960.04</v>
      </c>
      <c r="D535">
        <v>59406.31</v>
      </c>
      <c r="E535">
        <v>59605.8</v>
      </c>
      <c r="F535">
        <v>-139.18</v>
      </c>
      <c r="G535">
        <v>-0.23</v>
      </c>
      <c r="H535">
        <v>0.71</v>
      </c>
      <c r="I535">
        <v>510.62</v>
      </c>
      <c r="J535">
        <v>22.65</v>
      </c>
      <c r="K535">
        <v>3.3</v>
      </c>
      <c r="L535">
        <v>1.22</v>
      </c>
    </row>
    <row r="536" spans="1:12" x14ac:dyDescent="0.3">
      <c r="A536" s="1">
        <v>44981</v>
      </c>
      <c r="B536">
        <v>59859.48</v>
      </c>
      <c r="C536">
        <v>59908.77</v>
      </c>
      <c r="D536">
        <v>59325.34</v>
      </c>
      <c r="E536">
        <v>59463.93</v>
      </c>
      <c r="F536">
        <v>-141.87</v>
      </c>
      <c r="G536">
        <v>-0.24</v>
      </c>
      <c r="H536">
        <v>0.53</v>
      </c>
      <c r="I536">
        <v>380.18</v>
      </c>
      <c r="J536">
        <v>22.6</v>
      </c>
      <c r="K536">
        <v>3.29</v>
      </c>
      <c r="L536">
        <v>1.22</v>
      </c>
    </row>
    <row r="537" spans="1:12" x14ac:dyDescent="0.3">
      <c r="A537" s="1">
        <v>44984</v>
      </c>
      <c r="B537">
        <v>59331.31</v>
      </c>
      <c r="C537">
        <v>59441.13</v>
      </c>
      <c r="D537">
        <v>58937.64</v>
      </c>
      <c r="E537">
        <v>59288.35</v>
      </c>
      <c r="F537">
        <v>-175.58</v>
      </c>
      <c r="G537">
        <v>-0.3</v>
      </c>
      <c r="H537">
        <v>0.75</v>
      </c>
      <c r="I537">
        <v>375.75</v>
      </c>
      <c r="J537">
        <v>22.51</v>
      </c>
      <c r="K537">
        <v>3.27</v>
      </c>
      <c r="L537">
        <v>1.23</v>
      </c>
    </row>
    <row r="538" spans="1:12" x14ac:dyDescent="0.3">
      <c r="A538" s="1">
        <v>44985</v>
      </c>
      <c r="B538">
        <v>59346.61</v>
      </c>
      <c r="C538">
        <v>59483.72</v>
      </c>
      <c r="D538">
        <v>58795.97</v>
      </c>
      <c r="E538">
        <v>58962.12</v>
      </c>
      <c r="F538">
        <v>-326.23</v>
      </c>
      <c r="G538">
        <v>-0.55000000000000004</v>
      </c>
      <c r="H538">
        <v>0.69</v>
      </c>
      <c r="I538">
        <v>408.39</v>
      </c>
      <c r="J538">
        <v>22.45</v>
      </c>
      <c r="K538">
        <v>3.27</v>
      </c>
      <c r="L538">
        <v>1.23</v>
      </c>
    </row>
    <row r="539" spans="1:12" x14ac:dyDescent="0.3">
      <c r="A539" s="1">
        <v>44986</v>
      </c>
      <c r="B539">
        <v>59136.480000000003</v>
      </c>
      <c r="C539">
        <v>59475.45</v>
      </c>
      <c r="D539">
        <v>59109.54</v>
      </c>
      <c r="E539">
        <v>59411.08</v>
      </c>
      <c r="F539">
        <v>448.96</v>
      </c>
      <c r="G539">
        <v>0.76</v>
      </c>
      <c r="H539">
        <v>0.59</v>
      </c>
      <c r="I539">
        <v>350.5</v>
      </c>
      <c r="J539">
        <v>22.6</v>
      </c>
      <c r="K539">
        <v>3.29</v>
      </c>
      <c r="L539">
        <v>1.22</v>
      </c>
    </row>
    <row r="540" spans="1:12" x14ac:dyDescent="0.3">
      <c r="A540" s="1">
        <v>44987</v>
      </c>
      <c r="B540">
        <v>59287.18</v>
      </c>
      <c r="C540">
        <v>59423.79</v>
      </c>
      <c r="D540">
        <v>58866.26</v>
      </c>
      <c r="E540">
        <v>58909.35</v>
      </c>
      <c r="F540">
        <v>-501.73</v>
      </c>
      <c r="G540">
        <v>-0.84</v>
      </c>
      <c r="H540">
        <v>0.52</v>
      </c>
      <c r="I540">
        <v>313.70999999999998</v>
      </c>
      <c r="J540">
        <v>22.38</v>
      </c>
      <c r="K540">
        <v>3.26</v>
      </c>
      <c r="L540">
        <v>1.23</v>
      </c>
    </row>
    <row r="541" spans="1:12" x14ac:dyDescent="0.3">
      <c r="A541" s="1">
        <v>44988</v>
      </c>
      <c r="B541">
        <v>59241.2</v>
      </c>
      <c r="C541">
        <v>59967.040000000001</v>
      </c>
      <c r="D541">
        <v>59231.58</v>
      </c>
      <c r="E541">
        <v>59808.97</v>
      </c>
      <c r="F541">
        <v>899.62</v>
      </c>
      <c r="G541">
        <v>1.53</v>
      </c>
      <c r="H541">
        <v>0.92</v>
      </c>
      <c r="I541">
        <v>537.78</v>
      </c>
      <c r="J541">
        <v>22.83</v>
      </c>
      <c r="K541">
        <v>3.32</v>
      </c>
      <c r="L541">
        <v>1.21</v>
      </c>
    </row>
    <row r="542" spans="1:12" x14ac:dyDescent="0.3">
      <c r="A542" s="1">
        <v>44991</v>
      </c>
      <c r="B542">
        <v>60007.040000000001</v>
      </c>
      <c r="C542">
        <v>60498.48</v>
      </c>
      <c r="D542">
        <v>60005.65</v>
      </c>
      <c r="E542">
        <v>60224.46</v>
      </c>
      <c r="F542">
        <v>415.49</v>
      </c>
      <c r="G542">
        <v>0.69</v>
      </c>
      <c r="H542">
        <v>0.59</v>
      </c>
      <c r="I542">
        <v>407.18</v>
      </c>
      <c r="J542">
        <v>22.87</v>
      </c>
      <c r="K542">
        <v>3.33</v>
      </c>
      <c r="L542">
        <v>1.2</v>
      </c>
    </row>
    <row r="543" spans="1:12" x14ac:dyDescent="0.3">
      <c r="A543" s="1">
        <v>44993</v>
      </c>
      <c r="B543">
        <v>59916.1</v>
      </c>
      <c r="C543">
        <v>60402.85</v>
      </c>
      <c r="D543">
        <v>59844.82</v>
      </c>
      <c r="E543">
        <v>60348.09</v>
      </c>
      <c r="F543">
        <v>123.63</v>
      </c>
      <c r="G543">
        <v>0.21</v>
      </c>
      <c r="H543">
        <v>0.65</v>
      </c>
      <c r="I543">
        <v>443.92</v>
      </c>
      <c r="J543">
        <v>22.88</v>
      </c>
      <c r="K543">
        <v>3.33</v>
      </c>
      <c r="L543">
        <v>1.21</v>
      </c>
    </row>
    <row r="544" spans="1:12" x14ac:dyDescent="0.3">
      <c r="A544" s="1">
        <v>44994</v>
      </c>
      <c r="B544">
        <v>60467.09</v>
      </c>
      <c r="C544">
        <v>60467.09</v>
      </c>
      <c r="D544">
        <v>59750.53</v>
      </c>
      <c r="E544">
        <v>59806.28</v>
      </c>
      <c r="F544">
        <v>-541.80999999999995</v>
      </c>
      <c r="G544">
        <v>-0.9</v>
      </c>
      <c r="H544">
        <v>0.77</v>
      </c>
      <c r="I544">
        <v>450.78</v>
      </c>
      <c r="J544">
        <v>22.75</v>
      </c>
      <c r="K544">
        <v>3.31</v>
      </c>
      <c r="L544">
        <v>1.22</v>
      </c>
    </row>
    <row r="545" spans="1:12" x14ac:dyDescent="0.3">
      <c r="A545" s="1">
        <v>44995</v>
      </c>
      <c r="B545">
        <v>59259.83</v>
      </c>
      <c r="C545">
        <v>59262.47</v>
      </c>
      <c r="D545">
        <v>58884.98</v>
      </c>
      <c r="E545">
        <v>59135.13</v>
      </c>
      <c r="F545">
        <v>-671.15</v>
      </c>
      <c r="G545">
        <v>-1.1200000000000001</v>
      </c>
      <c r="H545">
        <v>0.63</v>
      </c>
      <c r="I545">
        <v>488.48</v>
      </c>
      <c r="J545">
        <v>22.45</v>
      </c>
      <c r="K545">
        <v>3.26</v>
      </c>
      <c r="L545">
        <v>1.23</v>
      </c>
    </row>
    <row r="546" spans="1:12" x14ac:dyDescent="0.3">
      <c r="A546" s="1">
        <v>44998</v>
      </c>
      <c r="B546">
        <v>59033.77</v>
      </c>
      <c r="C546">
        <v>59510.92</v>
      </c>
      <c r="D546">
        <v>58094.55</v>
      </c>
      <c r="E546">
        <v>58237.85</v>
      </c>
      <c r="F546">
        <v>-897.28</v>
      </c>
      <c r="G546">
        <v>-1.52</v>
      </c>
      <c r="H546">
        <v>0.8</v>
      </c>
      <c r="I546">
        <v>616.08000000000004</v>
      </c>
      <c r="J546">
        <v>22.09</v>
      </c>
      <c r="K546">
        <v>3.21</v>
      </c>
      <c r="L546">
        <v>1.25</v>
      </c>
    </row>
    <row r="547" spans="1:12" x14ac:dyDescent="0.3">
      <c r="A547" s="1">
        <v>44999</v>
      </c>
      <c r="B547">
        <v>58168.75</v>
      </c>
      <c r="C547">
        <v>58490.98</v>
      </c>
      <c r="D547">
        <v>57721.16</v>
      </c>
      <c r="E547">
        <v>57900.19</v>
      </c>
      <c r="F547">
        <v>-337.66</v>
      </c>
      <c r="G547">
        <v>-0.57999999999999996</v>
      </c>
      <c r="H547">
        <v>1.02</v>
      </c>
      <c r="I547">
        <v>777.24</v>
      </c>
      <c r="J547">
        <v>21.89</v>
      </c>
      <c r="K547">
        <v>3.18</v>
      </c>
      <c r="L547">
        <v>1.26</v>
      </c>
    </row>
    <row r="548" spans="1:12" x14ac:dyDescent="0.3">
      <c r="A548" s="1">
        <v>45000</v>
      </c>
      <c r="B548">
        <v>58268.54</v>
      </c>
      <c r="C548">
        <v>58473.63</v>
      </c>
      <c r="D548">
        <v>57455.67</v>
      </c>
      <c r="E548">
        <v>57555.9</v>
      </c>
      <c r="F548">
        <v>-344.29</v>
      </c>
      <c r="G548">
        <v>-0.59</v>
      </c>
      <c r="H548">
        <v>0.76</v>
      </c>
      <c r="I548">
        <v>538.17999999999995</v>
      </c>
      <c r="J548">
        <v>21.84</v>
      </c>
      <c r="K548">
        <v>3.18</v>
      </c>
      <c r="L548">
        <v>1.27</v>
      </c>
    </row>
    <row r="549" spans="1:12" x14ac:dyDescent="0.3">
      <c r="A549" s="1">
        <v>45001</v>
      </c>
      <c r="B549">
        <v>57510.8</v>
      </c>
      <c r="C549">
        <v>57887.46</v>
      </c>
      <c r="D549">
        <v>57158.69</v>
      </c>
      <c r="E549">
        <v>57634.84</v>
      </c>
      <c r="F549">
        <v>78.94</v>
      </c>
      <c r="G549">
        <v>0.14000000000000001</v>
      </c>
      <c r="H549">
        <v>0.79</v>
      </c>
      <c r="I549">
        <v>582.32000000000005</v>
      </c>
      <c r="J549">
        <v>21.77</v>
      </c>
      <c r="K549">
        <v>3.17</v>
      </c>
      <c r="L549">
        <v>1.27</v>
      </c>
    </row>
    <row r="550" spans="1:12" x14ac:dyDescent="0.3">
      <c r="A550" s="1">
        <v>45002</v>
      </c>
      <c r="B550">
        <v>58038.17</v>
      </c>
      <c r="C550">
        <v>58178.94</v>
      </c>
      <c r="D550">
        <v>57503.9</v>
      </c>
      <c r="E550">
        <v>57989.9</v>
      </c>
      <c r="F550">
        <v>355.06</v>
      </c>
      <c r="G550">
        <v>0.62</v>
      </c>
      <c r="H550">
        <v>0.63</v>
      </c>
      <c r="I550">
        <v>512.38</v>
      </c>
      <c r="J550">
        <v>22.09</v>
      </c>
      <c r="K550">
        <v>3.21</v>
      </c>
      <c r="L550">
        <v>1.25</v>
      </c>
    </row>
    <row r="551" spans="1:12" x14ac:dyDescent="0.3">
      <c r="A551" s="1">
        <v>45005</v>
      </c>
      <c r="B551">
        <v>57773.55</v>
      </c>
      <c r="C551">
        <v>57829.23</v>
      </c>
      <c r="D551">
        <v>57084.91</v>
      </c>
      <c r="E551">
        <v>57628.95</v>
      </c>
      <c r="F551">
        <v>-360.95</v>
      </c>
      <c r="G551">
        <v>-0.62</v>
      </c>
      <c r="H551">
        <v>0.65</v>
      </c>
      <c r="I551">
        <v>470.22</v>
      </c>
      <c r="J551">
        <v>21.84</v>
      </c>
      <c r="K551">
        <v>3.18</v>
      </c>
      <c r="L551">
        <v>1.26</v>
      </c>
    </row>
    <row r="552" spans="1:12" x14ac:dyDescent="0.3">
      <c r="A552" s="1">
        <v>45006</v>
      </c>
      <c r="B552">
        <v>57963.27</v>
      </c>
      <c r="C552">
        <v>58133.33</v>
      </c>
      <c r="D552">
        <v>57730.09</v>
      </c>
      <c r="E552">
        <v>58074.68</v>
      </c>
      <c r="F552">
        <v>445.73</v>
      </c>
      <c r="G552">
        <v>0.77</v>
      </c>
      <c r="H552">
        <v>0.55000000000000004</v>
      </c>
      <c r="I552">
        <v>449.57</v>
      </c>
      <c r="J552">
        <v>22</v>
      </c>
      <c r="K552">
        <v>3.2</v>
      </c>
      <c r="L552">
        <v>1.25</v>
      </c>
    </row>
    <row r="553" spans="1:12" x14ac:dyDescent="0.3">
      <c r="A553" s="1">
        <v>45007</v>
      </c>
      <c r="B553">
        <v>58245.26</v>
      </c>
      <c r="C553">
        <v>58418.78</v>
      </c>
      <c r="D553">
        <v>58063.5</v>
      </c>
      <c r="E553">
        <v>58214.59</v>
      </c>
      <c r="F553">
        <v>139.91</v>
      </c>
      <c r="G553">
        <v>0.24</v>
      </c>
      <c r="H553">
        <v>0.47</v>
      </c>
      <c r="I553">
        <v>330.04</v>
      </c>
      <c r="J553">
        <v>22.06</v>
      </c>
      <c r="K553">
        <v>3.21</v>
      </c>
      <c r="L553">
        <v>1.25</v>
      </c>
    </row>
    <row r="554" spans="1:12" x14ac:dyDescent="0.3">
      <c r="A554" s="1">
        <v>45008</v>
      </c>
      <c r="B554">
        <v>58061.41</v>
      </c>
      <c r="C554">
        <v>58396.17</v>
      </c>
      <c r="D554">
        <v>57838.85</v>
      </c>
      <c r="E554">
        <v>57925.279999999999</v>
      </c>
      <c r="F554">
        <v>-289.31</v>
      </c>
      <c r="G554">
        <v>-0.5</v>
      </c>
      <c r="H554">
        <v>0.51</v>
      </c>
      <c r="I554">
        <v>371.05</v>
      </c>
      <c r="J554">
        <v>22.11</v>
      </c>
      <c r="K554">
        <v>3.22</v>
      </c>
      <c r="L554">
        <v>1.25</v>
      </c>
    </row>
    <row r="555" spans="1:12" x14ac:dyDescent="0.3">
      <c r="A555" s="1">
        <v>45009</v>
      </c>
      <c r="B555">
        <v>57890.66</v>
      </c>
      <c r="C555">
        <v>58066.400000000001</v>
      </c>
      <c r="D555">
        <v>57422.98</v>
      </c>
      <c r="E555">
        <v>57527.1</v>
      </c>
      <c r="F555">
        <v>-398.18</v>
      </c>
      <c r="G555">
        <v>-0.69</v>
      </c>
      <c r="H555">
        <v>0.64</v>
      </c>
      <c r="I555">
        <v>461.05</v>
      </c>
      <c r="J555">
        <v>21.88</v>
      </c>
      <c r="K555">
        <v>3.18</v>
      </c>
      <c r="L555">
        <v>1.26</v>
      </c>
    </row>
    <row r="556" spans="1:12" x14ac:dyDescent="0.3">
      <c r="A556" s="1">
        <v>45012</v>
      </c>
      <c r="B556">
        <v>57566.9</v>
      </c>
      <c r="C556">
        <v>58019.55</v>
      </c>
      <c r="D556">
        <v>57415.02</v>
      </c>
      <c r="E556">
        <v>57653.86</v>
      </c>
      <c r="F556">
        <v>126.76</v>
      </c>
      <c r="G556">
        <v>0.22</v>
      </c>
      <c r="H556">
        <v>0.6</v>
      </c>
      <c r="I556">
        <v>412.45</v>
      </c>
      <c r="J556">
        <v>21.88</v>
      </c>
      <c r="K556">
        <v>3.18</v>
      </c>
      <c r="L556">
        <v>1.26</v>
      </c>
    </row>
    <row r="557" spans="1:12" x14ac:dyDescent="0.3">
      <c r="A557" s="1">
        <v>45013</v>
      </c>
      <c r="B557">
        <v>57751.5</v>
      </c>
      <c r="C557">
        <v>57949.45</v>
      </c>
      <c r="D557">
        <v>57494.91</v>
      </c>
      <c r="E557">
        <v>57613.72</v>
      </c>
      <c r="F557">
        <v>-40.14</v>
      </c>
      <c r="G557">
        <v>-7.0000000000000007E-2</v>
      </c>
      <c r="H557">
        <v>0.45</v>
      </c>
      <c r="I557">
        <v>312.70999999999998</v>
      </c>
      <c r="J557">
        <v>21.9</v>
      </c>
      <c r="K557">
        <v>3.19</v>
      </c>
      <c r="L557">
        <v>1.26</v>
      </c>
    </row>
    <row r="558" spans="1:12" x14ac:dyDescent="0.3">
      <c r="A558" s="1">
        <v>45014</v>
      </c>
      <c r="B558">
        <v>57572.08</v>
      </c>
      <c r="C558">
        <v>58124.2</v>
      </c>
      <c r="D558">
        <v>57524.32</v>
      </c>
      <c r="E558">
        <v>57960.09</v>
      </c>
      <c r="F558">
        <v>346.37</v>
      </c>
      <c r="G558">
        <v>0.6</v>
      </c>
      <c r="H558">
        <v>0.59</v>
      </c>
      <c r="I558">
        <v>379.69</v>
      </c>
      <c r="J558">
        <v>21.96</v>
      </c>
      <c r="K558">
        <v>3.19</v>
      </c>
      <c r="L558">
        <v>1.25</v>
      </c>
    </row>
    <row r="559" spans="1:12" x14ac:dyDescent="0.3">
      <c r="A559" s="1">
        <v>45016</v>
      </c>
      <c r="B559">
        <v>58273.86</v>
      </c>
      <c r="C559">
        <v>59068.47</v>
      </c>
      <c r="D559">
        <v>58273.86</v>
      </c>
      <c r="E559">
        <v>58991.519999999997</v>
      </c>
      <c r="F559">
        <v>1031.43</v>
      </c>
      <c r="G559">
        <v>1.78</v>
      </c>
      <c r="H559">
        <v>0.65</v>
      </c>
      <c r="I559">
        <v>517.09</v>
      </c>
      <c r="J559">
        <v>22.4</v>
      </c>
      <c r="K559">
        <v>3.26</v>
      </c>
      <c r="L559">
        <v>1.23</v>
      </c>
    </row>
    <row r="560" spans="1:12" x14ac:dyDescent="0.3">
      <c r="A560" s="1">
        <v>45019</v>
      </c>
      <c r="B560">
        <v>59131.16</v>
      </c>
      <c r="C560">
        <v>59204.82</v>
      </c>
      <c r="D560">
        <v>58793.08</v>
      </c>
      <c r="E560">
        <v>59106.44</v>
      </c>
      <c r="F560">
        <v>114.92</v>
      </c>
      <c r="G560">
        <v>0.19</v>
      </c>
      <c r="H560">
        <v>0.43</v>
      </c>
      <c r="I560">
        <v>322.02</v>
      </c>
      <c r="J560">
        <v>22.38</v>
      </c>
      <c r="K560">
        <v>3.26</v>
      </c>
      <c r="L560">
        <v>1.23</v>
      </c>
    </row>
    <row r="561" spans="1:12" x14ac:dyDescent="0.3">
      <c r="A561" s="1">
        <v>45021</v>
      </c>
      <c r="B561">
        <v>59094.71</v>
      </c>
      <c r="C561">
        <v>59747.12</v>
      </c>
      <c r="D561">
        <v>59094.400000000001</v>
      </c>
      <c r="E561">
        <v>59689.31</v>
      </c>
      <c r="F561">
        <v>582.87</v>
      </c>
      <c r="G561">
        <v>0.99</v>
      </c>
      <c r="H561">
        <v>0.5</v>
      </c>
      <c r="I561">
        <v>467.06</v>
      </c>
      <c r="J561">
        <v>22.7</v>
      </c>
      <c r="K561">
        <v>3.3</v>
      </c>
      <c r="L561">
        <v>1.21</v>
      </c>
    </row>
    <row r="562" spans="1:12" x14ac:dyDescent="0.3">
      <c r="A562" s="1">
        <v>45022</v>
      </c>
      <c r="B562">
        <v>59627.01</v>
      </c>
      <c r="C562">
        <v>59950.06</v>
      </c>
      <c r="D562">
        <v>59520.12</v>
      </c>
      <c r="E562">
        <v>59832.97</v>
      </c>
      <c r="F562">
        <v>143.66</v>
      </c>
      <c r="G562">
        <v>0.24</v>
      </c>
      <c r="H562">
        <v>0.47</v>
      </c>
      <c r="I562">
        <v>413.17</v>
      </c>
      <c r="J562">
        <v>22.76</v>
      </c>
      <c r="K562">
        <v>3.31</v>
      </c>
      <c r="L562">
        <v>1.21</v>
      </c>
    </row>
    <row r="563" spans="1:12" x14ac:dyDescent="0.3">
      <c r="A563" s="1">
        <v>45026</v>
      </c>
      <c r="B563">
        <v>59858.98</v>
      </c>
      <c r="C563">
        <v>60109.11</v>
      </c>
      <c r="D563">
        <v>59766.23</v>
      </c>
      <c r="E563">
        <v>59846.51</v>
      </c>
      <c r="F563">
        <v>13.54</v>
      </c>
      <c r="G563">
        <v>0.02</v>
      </c>
      <c r="H563">
        <v>1.1000000000000001</v>
      </c>
      <c r="I563">
        <v>608.26</v>
      </c>
      <c r="J563">
        <v>22.7</v>
      </c>
      <c r="K563">
        <v>3.3</v>
      </c>
      <c r="L563">
        <v>1.21</v>
      </c>
    </row>
    <row r="564" spans="1:12" x14ac:dyDescent="0.3">
      <c r="A564" s="1">
        <v>45027</v>
      </c>
      <c r="B564">
        <v>60028.6</v>
      </c>
      <c r="C564">
        <v>60267.68</v>
      </c>
      <c r="D564">
        <v>59919.88</v>
      </c>
      <c r="E564">
        <v>60157.72</v>
      </c>
      <c r="F564">
        <v>311.20999999999998</v>
      </c>
      <c r="G564">
        <v>0.52</v>
      </c>
      <c r="H564">
        <v>0.69</v>
      </c>
      <c r="I564">
        <v>518.44000000000005</v>
      </c>
      <c r="J564">
        <v>22.78</v>
      </c>
      <c r="K564">
        <v>3.31</v>
      </c>
      <c r="L564">
        <v>1.21</v>
      </c>
    </row>
    <row r="565" spans="1:12" x14ac:dyDescent="0.3">
      <c r="A565" s="1">
        <v>45028</v>
      </c>
      <c r="B565">
        <v>60180.2</v>
      </c>
      <c r="C565">
        <v>60437.64</v>
      </c>
      <c r="D565">
        <v>60094.69</v>
      </c>
      <c r="E565">
        <v>60392.77</v>
      </c>
      <c r="F565">
        <v>235.05</v>
      </c>
      <c r="G565">
        <v>0.39</v>
      </c>
      <c r="H565">
        <v>0.59</v>
      </c>
      <c r="I565">
        <v>496.72</v>
      </c>
      <c r="J565">
        <v>22.91</v>
      </c>
      <c r="K565">
        <v>3.33</v>
      </c>
      <c r="L565">
        <v>1.2</v>
      </c>
    </row>
    <row r="566" spans="1:12" x14ac:dyDescent="0.3">
      <c r="A566" s="1">
        <v>45029</v>
      </c>
      <c r="B566">
        <v>60364.41</v>
      </c>
      <c r="C566">
        <v>60486.91</v>
      </c>
      <c r="D566">
        <v>60081.43</v>
      </c>
      <c r="E566">
        <v>60431</v>
      </c>
      <c r="F566">
        <v>38.229999999999997</v>
      </c>
      <c r="G566">
        <v>0.06</v>
      </c>
      <c r="H566">
        <v>0.66</v>
      </c>
      <c r="I566">
        <v>565.72</v>
      </c>
      <c r="J566">
        <v>23</v>
      </c>
      <c r="K566">
        <v>3.34</v>
      </c>
      <c r="L566">
        <v>1.2</v>
      </c>
    </row>
    <row r="567" spans="1:12" x14ac:dyDescent="0.3">
      <c r="A567" s="1">
        <v>45033</v>
      </c>
      <c r="B567">
        <v>60385.9</v>
      </c>
      <c r="C567">
        <v>60407.86</v>
      </c>
      <c r="D567">
        <v>59442.47</v>
      </c>
      <c r="E567">
        <v>59910.75</v>
      </c>
      <c r="F567">
        <v>-520.25</v>
      </c>
      <c r="G567">
        <v>-0.86</v>
      </c>
      <c r="H567">
        <v>1.52</v>
      </c>
      <c r="I567">
        <v>986.93</v>
      </c>
      <c r="J567">
        <v>22.57</v>
      </c>
      <c r="K567">
        <v>3.28</v>
      </c>
      <c r="L567">
        <v>1.22</v>
      </c>
    </row>
    <row r="568" spans="1:12" x14ac:dyDescent="0.3">
      <c r="A568" s="1">
        <v>45034</v>
      </c>
      <c r="B568">
        <v>59991.26</v>
      </c>
      <c r="C568">
        <v>60113.47</v>
      </c>
      <c r="D568">
        <v>59579.3</v>
      </c>
      <c r="E568">
        <v>59727.01</v>
      </c>
      <c r="F568">
        <v>-183.74</v>
      </c>
      <c r="G568">
        <v>-0.31</v>
      </c>
      <c r="H568">
        <v>0.73</v>
      </c>
      <c r="I568">
        <v>509.05</v>
      </c>
      <c r="J568">
        <v>22.48</v>
      </c>
      <c r="K568">
        <v>3.26</v>
      </c>
      <c r="L568">
        <v>1.23</v>
      </c>
    </row>
    <row r="569" spans="1:12" x14ac:dyDescent="0.3">
      <c r="A569" s="1">
        <v>45035</v>
      </c>
      <c r="B569">
        <v>59745.89</v>
      </c>
      <c r="C569">
        <v>59745.89</v>
      </c>
      <c r="D569">
        <v>59452.72</v>
      </c>
      <c r="E569">
        <v>59567.8</v>
      </c>
      <c r="F569">
        <v>-159.21</v>
      </c>
      <c r="G569">
        <v>-0.27</v>
      </c>
      <c r="H569">
        <v>0.78</v>
      </c>
      <c r="I569">
        <v>482.39</v>
      </c>
      <c r="J569">
        <v>22.41</v>
      </c>
      <c r="K569">
        <v>3.25</v>
      </c>
      <c r="L569">
        <v>1.26</v>
      </c>
    </row>
    <row r="570" spans="1:12" x14ac:dyDescent="0.3">
      <c r="A570" s="1">
        <v>45036</v>
      </c>
      <c r="B570">
        <v>59586.61</v>
      </c>
      <c r="C570">
        <v>59836.79</v>
      </c>
      <c r="D570">
        <v>59489.98</v>
      </c>
      <c r="E570">
        <v>59632.35</v>
      </c>
      <c r="F570">
        <v>64.55</v>
      </c>
      <c r="G570">
        <v>0.11</v>
      </c>
      <c r="H570">
        <v>0.66</v>
      </c>
      <c r="I570">
        <v>451.27</v>
      </c>
      <c r="J570">
        <v>22.46</v>
      </c>
      <c r="K570">
        <v>3.26</v>
      </c>
      <c r="L570">
        <v>1.26</v>
      </c>
    </row>
    <row r="571" spans="1:12" x14ac:dyDescent="0.3">
      <c r="A571" s="1">
        <v>45037</v>
      </c>
      <c r="B571">
        <v>59538.79</v>
      </c>
      <c r="C571">
        <v>59781.36</v>
      </c>
      <c r="D571">
        <v>59412.81</v>
      </c>
      <c r="E571">
        <v>59655.06</v>
      </c>
      <c r="F571">
        <v>22.71</v>
      </c>
      <c r="G571">
        <v>0.04</v>
      </c>
      <c r="H571">
        <v>0.56999999999999995</v>
      </c>
      <c r="I571">
        <v>428.29</v>
      </c>
      <c r="J571">
        <v>22.55</v>
      </c>
      <c r="K571">
        <v>3.27</v>
      </c>
      <c r="L571">
        <v>1.26</v>
      </c>
    </row>
    <row r="572" spans="1:12" x14ac:dyDescent="0.3">
      <c r="A572" s="1">
        <v>45040</v>
      </c>
      <c r="B572">
        <v>59873.71</v>
      </c>
      <c r="C572">
        <v>60101.64</v>
      </c>
      <c r="D572">
        <v>59620.11</v>
      </c>
      <c r="E572">
        <v>60056.1</v>
      </c>
      <c r="F572">
        <v>401.04</v>
      </c>
      <c r="G572">
        <v>0.67</v>
      </c>
      <c r="H572">
        <v>0.66</v>
      </c>
      <c r="I572">
        <v>520.16</v>
      </c>
      <c r="J572">
        <v>22.41</v>
      </c>
      <c r="K572">
        <v>3.25</v>
      </c>
      <c r="L572">
        <v>1.24</v>
      </c>
    </row>
    <row r="573" spans="1:12" x14ac:dyDescent="0.3">
      <c r="A573" s="1">
        <v>45041</v>
      </c>
      <c r="B573">
        <v>60202.77</v>
      </c>
      <c r="C573">
        <v>60268.67</v>
      </c>
      <c r="D573">
        <v>59967.02</v>
      </c>
      <c r="E573">
        <v>60130.71</v>
      </c>
      <c r="F573">
        <v>74.61</v>
      </c>
      <c r="G573">
        <v>0.12</v>
      </c>
      <c r="H573">
        <v>0.65</v>
      </c>
      <c r="I573">
        <v>475.26</v>
      </c>
      <c r="J573">
        <v>22.43</v>
      </c>
      <c r="K573">
        <v>3.25</v>
      </c>
      <c r="L573">
        <v>1.24</v>
      </c>
    </row>
    <row r="574" spans="1:12" x14ac:dyDescent="0.3">
      <c r="A574" s="1">
        <v>45042</v>
      </c>
      <c r="B574">
        <v>60087.98</v>
      </c>
      <c r="C574">
        <v>60362.79</v>
      </c>
      <c r="D574">
        <v>59954.91</v>
      </c>
      <c r="E574">
        <v>60300.58</v>
      </c>
      <c r="F574">
        <v>169.87</v>
      </c>
      <c r="G574">
        <v>0.28000000000000003</v>
      </c>
      <c r="H574">
        <v>0.45</v>
      </c>
      <c r="I574">
        <v>340.3</v>
      </c>
      <c r="J574">
        <v>22.46</v>
      </c>
      <c r="K574">
        <v>3.26</v>
      </c>
      <c r="L574">
        <v>1.27</v>
      </c>
    </row>
    <row r="575" spans="1:12" x14ac:dyDescent="0.3">
      <c r="A575" s="1">
        <v>45043</v>
      </c>
      <c r="B575">
        <v>60315.56</v>
      </c>
      <c r="C575">
        <v>60698.31</v>
      </c>
      <c r="D575">
        <v>60271.49</v>
      </c>
      <c r="E575">
        <v>60649.38</v>
      </c>
      <c r="F575">
        <v>348.8</v>
      </c>
      <c r="G575">
        <v>0.57999999999999996</v>
      </c>
      <c r="H575">
        <v>0.55000000000000004</v>
      </c>
      <c r="I575">
        <v>398.68</v>
      </c>
      <c r="J575">
        <v>22.61</v>
      </c>
      <c r="K575">
        <v>3.28</v>
      </c>
      <c r="L575">
        <v>1.26</v>
      </c>
    </row>
    <row r="576" spans="1:12" x14ac:dyDescent="0.3">
      <c r="A576" s="1">
        <v>45044</v>
      </c>
      <c r="B576">
        <v>60721.61</v>
      </c>
      <c r="C576">
        <v>61209.46</v>
      </c>
      <c r="D576">
        <v>60507.83</v>
      </c>
      <c r="E576">
        <v>61112.44</v>
      </c>
      <c r="F576">
        <v>463.06</v>
      </c>
      <c r="G576">
        <v>0.76</v>
      </c>
      <c r="H576">
        <v>0.72</v>
      </c>
      <c r="I576">
        <v>635.77</v>
      </c>
      <c r="J576">
        <v>22.66</v>
      </c>
      <c r="K576">
        <v>3.29</v>
      </c>
      <c r="L576">
        <v>1.26</v>
      </c>
    </row>
    <row r="577" spans="1:12" x14ac:dyDescent="0.3">
      <c r="A577" s="1">
        <v>45048</v>
      </c>
      <c r="B577">
        <v>61301.61</v>
      </c>
      <c r="C577">
        <v>61486.239999999998</v>
      </c>
      <c r="D577">
        <v>61255</v>
      </c>
      <c r="E577">
        <v>61354.71</v>
      </c>
      <c r="F577">
        <v>242.27</v>
      </c>
      <c r="G577">
        <v>0.4</v>
      </c>
      <c r="H577">
        <v>0.67</v>
      </c>
      <c r="I577">
        <v>461.04</v>
      </c>
      <c r="J577">
        <v>23.39</v>
      </c>
      <c r="K577">
        <v>3.3</v>
      </c>
      <c r="L577">
        <v>1.27</v>
      </c>
    </row>
    <row r="578" spans="1:12" x14ac:dyDescent="0.3">
      <c r="A578" s="1">
        <v>45049</v>
      </c>
      <c r="B578">
        <v>61274.96</v>
      </c>
      <c r="C578">
        <v>61274.96</v>
      </c>
      <c r="D578">
        <v>61024.44</v>
      </c>
      <c r="E578">
        <v>61193.3</v>
      </c>
      <c r="F578">
        <v>-161.41</v>
      </c>
      <c r="G578">
        <v>-0.26</v>
      </c>
      <c r="H578">
        <v>0.61</v>
      </c>
      <c r="I578">
        <v>396.78</v>
      </c>
      <c r="J578">
        <v>23.37</v>
      </c>
      <c r="K578">
        <v>3.3</v>
      </c>
      <c r="L578">
        <v>1.27</v>
      </c>
    </row>
    <row r="579" spans="1:12" x14ac:dyDescent="0.3">
      <c r="A579" s="1">
        <v>45050</v>
      </c>
      <c r="B579">
        <v>61258.13</v>
      </c>
      <c r="C579">
        <v>61797.91</v>
      </c>
      <c r="D579">
        <v>61119.56</v>
      </c>
      <c r="E579">
        <v>61749.25</v>
      </c>
      <c r="F579">
        <v>555.95000000000005</v>
      </c>
      <c r="G579">
        <v>0.91</v>
      </c>
      <c r="H579">
        <v>0.81</v>
      </c>
      <c r="I579">
        <v>528.11</v>
      </c>
      <c r="J579">
        <v>23.58</v>
      </c>
      <c r="K579">
        <v>3.32</v>
      </c>
      <c r="L579">
        <v>1.26</v>
      </c>
    </row>
    <row r="580" spans="1:12" x14ac:dyDescent="0.3">
      <c r="A580" s="1">
        <v>45051</v>
      </c>
      <c r="B580">
        <v>61163.1</v>
      </c>
      <c r="C580">
        <v>61585.5</v>
      </c>
      <c r="D580">
        <v>61002.17</v>
      </c>
      <c r="E580">
        <v>61054.29</v>
      </c>
      <c r="F580">
        <v>-694.96</v>
      </c>
      <c r="G580">
        <v>-1.1299999999999999</v>
      </c>
      <c r="H580">
        <v>0.56000000000000005</v>
      </c>
      <c r="I580">
        <v>479.89</v>
      </c>
      <c r="J580">
        <v>23.33</v>
      </c>
      <c r="K580">
        <v>3.29</v>
      </c>
      <c r="L580">
        <v>1.27</v>
      </c>
    </row>
    <row r="581" spans="1:12" x14ac:dyDescent="0.3">
      <c r="A581" s="1">
        <v>45054</v>
      </c>
      <c r="B581">
        <v>61166.09</v>
      </c>
      <c r="C581">
        <v>61854.19</v>
      </c>
      <c r="D581">
        <v>61166.09</v>
      </c>
      <c r="E581">
        <v>61764.25</v>
      </c>
      <c r="F581">
        <v>709.96</v>
      </c>
      <c r="G581">
        <v>1.1599999999999999</v>
      </c>
      <c r="H581">
        <v>0.79</v>
      </c>
      <c r="I581">
        <v>619.95000000000005</v>
      </c>
      <c r="J581">
        <v>23.88</v>
      </c>
      <c r="K581">
        <v>3.29</v>
      </c>
      <c r="L581">
        <v>1.27</v>
      </c>
    </row>
    <row r="582" spans="1:12" x14ac:dyDescent="0.3">
      <c r="A582" s="1">
        <v>45055</v>
      </c>
      <c r="B582">
        <v>61879.68</v>
      </c>
      <c r="C582">
        <v>62027.51</v>
      </c>
      <c r="D582">
        <v>61654.94</v>
      </c>
      <c r="E582">
        <v>61761.33</v>
      </c>
      <c r="F582">
        <v>-2.92</v>
      </c>
      <c r="G582">
        <v>0</v>
      </c>
      <c r="H582">
        <v>0.69</v>
      </c>
      <c r="I582">
        <v>527.96</v>
      </c>
      <c r="J582">
        <v>23.8</v>
      </c>
      <c r="K582">
        <v>3.28</v>
      </c>
      <c r="L582">
        <v>1.27</v>
      </c>
    </row>
    <row r="583" spans="1:12" x14ac:dyDescent="0.3">
      <c r="A583" s="1">
        <v>45056</v>
      </c>
      <c r="B583">
        <v>61843.360000000001</v>
      </c>
      <c r="C583">
        <v>61974.35</v>
      </c>
      <c r="D583">
        <v>61572.93</v>
      </c>
      <c r="E583">
        <v>61940.2</v>
      </c>
      <c r="F583">
        <v>178.87</v>
      </c>
      <c r="G583">
        <v>0.28999999999999998</v>
      </c>
      <c r="H583">
        <v>0.48</v>
      </c>
      <c r="I583">
        <v>390.97</v>
      </c>
      <c r="J583">
        <v>23.89</v>
      </c>
      <c r="K583">
        <v>3.29</v>
      </c>
      <c r="L583">
        <v>1.27</v>
      </c>
    </row>
    <row r="584" spans="1:12" x14ac:dyDescent="0.3">
      <c r="A584" s="1">
        <v>45057</v>
      </c>
      <c r="B584">
        <v>62158.1</v>
      </c>
      <c r="C584">
        <v>62168.22</v>
      </c>
      <c r="D584">
        <v>61823.07</v>
      </c>
      <c r="E584">
        <v>61904.52</v>
      </c>
      <c r="F584">
        <v>-35.68</v>
      </c>
      <c r="G584">
        <v>-0.06</v>
      </c>
      <c r="H584">
        <v>0.61</v>
      </c>
      <c r="I584">
        <v>531.98</v>
      </c>
      <c r="J584">
        <v>23.95</v>
      </c>
      <c r="K584">
        <v>3.3</v>
      </c>
      <c r="L584">
        <v>1.27</v>
      </c>
    </row>
    <row r="585" spans="1:12" x14ac:dyDescent="0.3">
      <c r="A585" s="1">
        <v>45058</v>
      </c>
      <c r="B585">
        <v>61857.69</v>
      </c>
      <c r="C585">
        <v>62110.93</v>
      </c>
      <c r="D585">
        <v>61578.15</v>
      </c>
      <c r="E585">
        <v>62027.9</v>
      </c>
      <c r="F585">
        <v>123.38</v>
      </c>
      <c r="G585">
        <v>0.2</v>
      </c>
      <c r="H585">
        <v>0.7</v>
      </c>
      <c r="I585">
        <v>509.79</v>
      </c>
      <c r="J585">
        <v>23.9</v>
      </c>
      <c r="K585">
        <v>3.29</v>
      </c>
      <c r="L585">
        <v>1.27</v>
      </c>
    </row>
    <row r="586" spans="1:12" x14ac:dyDescent="0.3">
      <c r="A586" s="1">
        <v>45061</v>
      </c>
      <c r="B586">
        <v>62157.1</v>
      </c>
      <c r="C586">
        <v>62562.67</v>
      </c>
      <c r="D586">
        <v>61950.3</v>
      </c>
      <c r="E586">
        <v>62345.71</v>
      </c>
      <c r="F586">
        <v>317.81</v>
      </c>
      <c r="G586">
        <v>0.51</v>
      </c>
      <c r="H586">
        <v>0.69</v>
      </c>
      <c r="I586">
        <v>559.15</v>
      </c>
      <c r="J586">
        <v>24.05</v>
      </c>
      <c r="K586">
        <v>3.31</v>
      </c>
      <c r="L586">
        <v>1.26</v>
      </c>
    </row>
    <row r="587" spans="1:12" x14ac:dyDescent="0.3">
      <c r="A587" s="1">
        <v>45062</v>
      </c>
      <c r="B587">
        <v>62474.11</v>
      </c>
      <c r="C587">
        <v>62475.95</v>
      </c>
      <c r="D587">
        <v>61847.41</v>
      </c>
      <c r="E587">
        <v>61932.47</v>
      </c>
      <c r="F587">
        <v>-413.24</v>
      </c>
      <c r="G587">
        <v>-0.66</v>
      </c>
      <c r="H587">
        <v>0.59</v>
      </c>
      <c r="I587">
        <v>460.71</v>
      </c>
      <c r="J587">
        <v>23.91</v>
      </c>
      <c r="K587">
        <v>3.29</v>
      </c>
      <c r="L587">
        <v>1.28</v>
      </c>
    </row>
    <row r="588" spans="1:12" x14ac:dyDescent="0.3">
      <c r="A588" s="1">
        <v>45063</v>
      </c>
      <c r="B588">
        <v>61932.32</v>
      </c>
      <c r="C588">
        <v>61979.94</v>
      </c>
      <c r="D588">
        <v>61340.1</v>
      </c>
      <c r="E588">
        <v>61560.639999999999</v>
      </c>
      <c r="F588">
        <v>-371.83</v>
      </c>
      <c r="G588">
        <v>-0.6</v>
      </c>
      <c r="H588">
        <v>0.67</v>
      </c>
      <c r="I588">
        <v>514.67999999999995</v>
      </c>
      <c r="J588">
        <v>23.72</v>
      </c>
      <c r="K588">
        <v>3.26</v>
      </c>
      <c r="L588">
        <v>1.29</v>
      </c>
    </row>
    <row r="589" spans="1:12" x14ac:dyDescent="0.3">
      <c r="A589" s="1">
        <v>45064</v>
      </c>
      <c r="B589">
        <v>61937.86</v>
      </c>
      <c r="C589">
        <v>61955.9</v>
      </c>
      <c r="D589">
        <v>61349.34</v>
      </c>
      <c r="E589">
        <v>61431.74</v>
      </c>
      <c r="F589">
        <v>-128.9</v>
      </c>
      <c r="G589">
        <v>-0.21</v>
      </c>
      <c r="H589">
        <v>0.82</v>
      </c>
      <c r="I589">
        <v>572.88</v>
      </c>
      <c r="J589">
        <v>23.59</v>
      </c>
      <c r="K589">
        <v>3.25</v>
      </c>
      <c r="L589">
        <v>1.3</v>
      </c>
    </row>
    <row r="590" spans="1:12" x14ac:dyDescent="0.3">
      <c r="A590" s="1">
        <v>45065</v>
      </c>
      <c r="B590">
        <v>61556.25</v>
      </c>
      <c r="C590">
        <v>61784.61</v>
      </c>
      <c r="D590">
        <v>61251.7</v>
      </c>
      <c r="E590">
        <v>61729.68</v>
      </c>
      <c r="F590">
        <v>297.94</v>
      </c>
      <c r="G590">
        <v>0.48</v>
      </c>
      <c r="H590">
        <v>0.61</v>
      </c>
      <c r="I590">
        <v>394.02</v>
      </c>
      <c r="J590">
        <v>23.22</v>
      </c>
      <c r="K590">
        <v>3.25</v>
      </c>
      <c r="L590">
        <v>1.29</v>
      </c>
    </row>
    <row r="591" spans="1:12" x14ac:dyDescent="0.3">
      <c r="A591" s="1">
        <v>45068</v>
      </c>
      <c r="B591">
        <v>61579.78</v>
      </c>
      <c r="C591">
        <v>62044.46</v>
      </c>
      <c r="D591">
        <v>61579.78</v>
      </c>
      <c r="E591">
        <v>61963.68</v>
      </c>
      <c r="F591">
        <v>234</v>
      </c>
      <c r="G591">
        <v>0.38</v>
      </c>
      <c r="H591">
        <v>0.56000000000000005</v>
      </c>
      <c r="I591">
        <v>394.46</v>
      </c>
      <c r="J591">
        <v>23.06</v>
      </c>
      <c r="K591">
        <v>3.26</v>
      </c>
      <c r="L591">
        <v>1.33</v>
      </c>
    </row>
    <row r="592" spans="1:12" x14ac:dyDescent="0.3">
      <c r="A592" s="1">
        <v>45069</v>
      </c>
      <c r="B592">
        <v>62098.16</v>
      </c>
      <c r="C592">
        <v>62245.19</v>
      </c>
      <c r="D592">
        <v>61914.400000000001</v>
      </c>
      <c r="E592">
        <v>61981.79</v>
      </c>
      <c r="F592">
        <v>18.11</v>
      </c>
      <c r="G592">
        <v>0.03</v>
      </c>
      <c r="H592">
        <v>0.84</v>
      </c>
      <c r="I592">
        <v>509.97</v>
      </c>
      <c r="J592">
        <v>23.06</v>
      </c>
      <c r="K592">
        <v>3.26</v>
      </c>
      <c r="L592">
        <v>1.33</v>
      </c>
    </row>
    <row r="593" spans="1:12" x14ac:dyDescent="0.3">
      <c r="A593" s="1">
        <v>45070</v>
      </c>
      <c r="B593">
        <v>61834.28</v>
      </c>
      <c r="C593">
        <v>62154.14</v>
      </c>
      <c r="D593">
        <v>61708.1</v>
      </c>
      <c r="E593">
        <v>61773.78</v>
      </c>
      <c r="F593">
        <v>-208.01</v>
      </c>
      <c r="G593">
        <v>-0.34</v>
      </c>
      <c r="H593">
        <v>0.59</v>
      </c>
      <c r="I593">
        <v>367.32</v>
      </c>
      <c r="J593">
        <v>23.03</v>
      </c>
      <c r="K593">
        <v>3.26</v>
      </c>
      <c r="L593">
        <v>1.33</v>
      </c>
    </row>
    <row r="594" spans="1:12" x14ac:dyDescent="0.3">
      <c r="A594" s="1">
        <v>45071</v>
      </c>
      <c r="B594">
        <v>61706.13</v>
      </c>
      <c r="C594">
        <v>61934.01</v>
      </c>
      <c r="D594">
        <v>61484.66</v>
      </c>
      <c r="E594">
        <v>61872.62</v>
      </c>
      <c r="F594">
        <v>98.84</v>
      </c>
      <c r="G594">
        <v>0.16</v>
      </c>
      <c r="H594">
        <v>0.84</v>
      </c>
      <c r="I594">
        <v>398.23</v>
      </c>
      <c r="J594">
        <v>23.06</v>
      </c>
      <c r="K594">
        <v>3.26</v>
      </c>
      <c r="L594">
        <v>1.32</v>
      </c>
    </row>
    <row r="595" spans="1:12" x14ac:dyDescent="0.3">
      <c r="A595" s="1">
        <v>45072</v>
      </c>
      <c r="B595">
        <v>61985.36</v>
      </c>
      <c r="C595">
        <v>62529.83</v>
      </c>
      <c r="D595">
        <v>61911.61</v>
      </c>
      <c r="E595">
        <v>62501.69</v>
      </c>
      <c r="F595">
        <v>629.07000000000005</v>
      </c>
      <c r="G595">
        <v>1.02</v>
      </c>
      <c r="H595">
        <v>0.92</v>
      </c>
      <c r="I595">
        <v>545.96</v>
      </c>
      <c r="J595">
        <v>23.27</v>
      </c>
      <c r="K595">
        <v>3.29</v>
      </c>
      <c r="L595">
        <v>1.31</v>
      </c>
    </row>
    <row r="596" spans="1:12" x14ac:dyDescent="0.3">
      <c r="A596" s="1">
        <v>45075</v>
      </c>
      <c r="B596">
        <v>62801.54</v>
      </c>
      <c r="C596">
        <v>63026</v>
      </c>
      <c r="D596">
        <v>62801.54</v>
      </c>
      <c r="E596">
        <v>62846.38</v>
      </c>
      <c r="F596">
        <v>344.69</v>
      </c>
      <c r="G596">
        <v>0.55000000000000004</v>
      </c>
      <c r="H596">
        <v>0.96</v>
      </c>
      <c r="I596">
        <v>583.03</v>
      </c>
      <c r="J596">
        <v>23.2</v>
      </c>
      <c r="K596">
        <v>3.3</v>
      </c>
      <c r="L596">
        <v>1.31</v>
      </c>
    </row>
    <row r="597" spans="1:12" x14ac:dyDescent="0.3">
      <c r="A597" s="1">
        <v>45076</v>
      </c>
      <c r="B597">
        <v>62839.85</v>
      </c>
      <c r="C597">
        <v>63036.12</v>
      </c>
      <c r="D597">
        <v>62737.4</v>
      </c>
      <c r="E597">
        <v>62969.13</v>
      </c>
      <c r="F597">
        <v>122.75</v>
      </c>
      <c r="G597">
        <v>0.2</v>
      </c>
      <c r="H597">
        <v>0.78</v>
      </c>
      <c r="I597">
        <v>434.92</v>
      </c>
      <c r="J597">
        <v>23.21</v>
      </c>
      <c r="K597">
        <v>3.3</v>
      </c>
      <c r="L597">
        <v>1.31</v>
      </c>
    </row>
    <row r="598" spans="1:12" x14ac:dyDescent="0.3">
      <c r="A598" s="1">
        <v>45077</v>
      </c>
      <c r="B598">
        <v>62839.97</v>
      </c>
      <c r="C598">
        <v>62876.77</v>
      </c>
      <c r="D598">
        <v>62401.02</v>
      </c>
      <c r="E598">
        <v>62622.239999999998</v>
      </c>
      <c r="F598">
        <v>-346.89</v>
      </c>
      <c r="G598">
        <v>-0.55000000000000004</v>
      </c>
      <c r="H598">
        <v>0.73</v>
      </c>
      <c r="I598">
        <v>569.49</v>
      </c>
      <c r="J598">
        <v>23.1</v>
      </c>
      <c r="K598">
        <v>3.28</v>
      </c>
      <c r="L598">
        <v>1.32</v>
      </c>
    </row>
    <row r="599" spans="1:12" x14ac:dyDescent="0.3">
      <c r="A599" s="1">
        <v>45078</v>
      </c>
      <c r="B599">
        <v>62736.47</v>
      </c>
      <c r="C599">
        <v>62762.41</v>
      </c>
      <c r="D599">
        <v>62359.14</v>
      </c>
      <c r="E599">
        <v>62428.54</v>
      </c>
      <c r="F599">
        <v>-193.7</v>
      </c>
      <c r="G599">
        <v>-0.31</v>
      </c>
      <c r="H599">
        <v>0.8</v>
      </c>
      <c r="I599">
        <v>537.4</v>
      </c>
      <c r="J599">
        <v>23.12</v>
      </c>
      <c r="K599">
        <v>3.29</v>
      </c>
      <c r="L599">
        <v>1.32</v>
      </c>
    </row>
    <row r="600" spans="1:12" x14ac:dyDescent="0.3">
      <c r="A600" s="1">
        <v>45079</v>
      </c>
      <c r="B600">
        <v>62601.97</v>
      </c>
      <c r="C600">
        <v>62719.839999999997</v>
      </c>
      <c r="D600">
        <v>62379.86</v>
      </c>
      <c r="E600">
        <v>62547.11</v>
      </c>
      <c r="F600">
        <v>118.57</v>
      </c>
      <c r="G600">
        <v>0.19</v>
      </c>
      <c r="H600">
        <v>0.63</v>
      </c>
      <c r="I600">
        <v>457.54</v>
      </c>
      <c r="J600">
        <v>23.2</v>
      </c>
      <c r="K600">
        <v>3.3</v>
      </c>
      <c r="L600">
        <v>1.31</v>
      </c>
    </row>
    <row r="601" spans="1:12" x14ac:dyDescent="0.3">
      <c r="A601" s="1">
        <v>45082</v>
      </c>
      <c r="B601">
        <v>62759.19</v>
      </c>
      <c r="C601">
        <v>62943.199999999997</v>
      </c>
      <c r="D601">
        <v>62751.72</v>
      </c>
      <c r="E601">
        <v>62787.47</v>
      </c>
      <c r="F601">
        <v>240.36</v>
      </c>
      <c r="G601">
        <v>0.38</v>
      </c>
      <c r="H601">
        <v>0.61</v>
      </c>
      <c r="I601">
        <v>428.18</v>
      </c>
      <c r="J601">
        <v>23.12</v>
      </c>
      <c r="K601">
        <v>3.29</v>
      </c>
      <c r="L601">
        <v>1.32</v>
      </c>
    </row>
    <row r="602" spans="1:12" x14ac:dyDescent="0.3">
      <c r="A602" s="1">
        <v>45083</v>
      </c>
      <c r="B602">
        <v>62738.35</v>
      </c>
      <c r="C602">
        <v>62867.95</v>
      </c>
      <c r="D602">
        <v>62554.21</v>
      </c>
      <c r="E602">
        <v>62792.88</v>
      </c>
      <c r="F602">
        <v>5.41</v>
      </c>
      <c r="G602">
        <v>0.01</v>
      </c>
      <c r="H602">
        <v>0.81</v>
      </c>
      <c r="I602">
        <v>975.72</v>
      </c>
      <c r="J602">
        <v>23.13</v>
      </c>
      <c r="K602">
        <v>3.29</v>
      </c>
      <c r="L602">
        <v>1.32</v>
      </c>
    </row>
    <row r="603" spans="1:12" x14ac:dyDescent="0.3">
      <c r="A603" s="1">
        <v>45084</v>
      </c>
      <c r="B603">
        <v>62917.39</v>
      </c>
      <c r="C603">
        <v>63196.43</v>
      </c>
      <c r="D603">
        <v>62841.95</v>
      </c>
      <c r="E603">
        <v>63142.96</v>
      </c>
      <c r="F603">
        <v>350.08</v>
      </c>
      <c r="G603">
        <v>0.56000000000000005</v>
      </c>
      <c r="H603">
        <v>0.69</v>
      </c>
      <c r="I603">
        <v>503.27</v>
      </c>
      <c r="J603">
        <v>23.32</v>
      </c>
      <c r="K603">
        <v>3.31</v>
      </c>
      <c r="L603">
        <v>1.31</v>
      </c>
    </row>
    <row r="604" spans="1:12" x14ac:dyDescent="0.3">
      <c r="A604" s="1">
        <v>45085</v>
      </c>
      <c r="B604">
        <v>63140.17</v>
      </c>
      <c r="C604">
        <v>63321.4</v>
      </c>
      <c r="D604">
        <v>62789.73</v>
      </c>
      <c r="E604">
        <v>62848.639999999999</v>
      </c>
      <c r="F604">
        <v>-294.32</v>
      </c>
      <c r="G604">
        <v>-0.47</v>
      </c>
      <c r="H604">
        <v>1.1000000000000001</v>
      </c>
      <c r="I604">
        <v>556.61</v>
      </c>
      <c r="J604">
        <v>23.2</v>
      </c>
      <c r="K604">
        <v>3.3</v>
      </c>
      <c r="L604">
        <v>1.31</v>
      </c>
    </row>
    <row r="605" spans="1:12" x14ac:dyDescent="0.3">
      <c r="A605" s="1">
        <v>45086</v>
      </c>
      <c r="B605">
        <v>62810.68</v>
      </c>
      <c r="C605">
        <v>62992.160000000003</v>
      </c>
      <c r="D605">
        <v>62594.74</v>
      </c>
      <c r="E605">
        <v>62625.63</v>
      </c>
      <c r="F605">
        <v>-223.01</v>
      </c>
      <c r="G605">
        <v>-0.35</v>
      </c>
      <c r="H605">
        <v>4.1399999999999997</v>
      </c>
      <c r="I605">
        <v>7082.45</v>
      </c>
      <c r="J605">
        <v>23.16</v>
      </c>
      <c r="K605">
        <v>3.29</v>
      </c>
      <c r="L605">
        <v>1.32</v>
      </c>
    </row>
    <row r="606" spans="1:12" x14ac:dyDescent="0.3">
      <c r="A606" s="1">
        <v>45089</v>
      </c>
      <c r="B606">
        <v>62659.98</v>
      </c>
      <c r="C606">
        <v>62804.89</v>
      </c>
      <c r="D606">
        <v>62615.199999999997</v>
      </c>
      <c r="E606">
        <v>62724.71</v>
      </c>
      <c r="F606">
        <v>99.08</v>
      </c>
      <c r="G606">
        <v>0.16</v>
      </c>
      <c r="H606">
        <v>0.49</v>
      </c>
      <c r="I606">
        <v>371.47</v>
      </c>
      <c r="J606">
        <v>23.16</v>
      </c>
      <c r="K606">
        <v>3.29</v>
      </c>
      <c r="L606">
        <v>1.32</v>
      </c>
    </row>
    <row r="607" spans="1:12" x14ac:dyDescent="0.3">
      <c r="A607" s="1">
        <v>45090</v>
      </c>
      <c r="B607">
        <v>62779.14</v>
      </c>
      <c r="C607">
        <v>63177.47</v>
      </c>
      <c r="D607">
        <v>62777.04</v>
      </c>
      <c r="E607">
        <v>63143.16</v>
      </c>
      <c r="F607">
        <v>418.45</v>
      </c>
      <c r="G607">
        <v>0.67</v>
      </c>
      <c r="H607">
        <v>0.55000000000000004</v>
      </c>
      <c r="I607">
        <v>431.99</v>
      </c>
      <c r="J607">
        <v>23.34</v>
      </c>
      <c r="K607">
        <v>3.32</v>
      </c>
      <c r="L607">
        <v>1.31</v>
      </c>
    </row>
    <row r="608" spans="1:12" x14ac:dyDescent="0.3">
      <c r="A608" s="1">
        <v>45091</v>
      </c>
      <c r="B608">
        <v>63115.48</v>
      </c>
      <c r="C608">
        <v>63274.03</v>
      </c>
      <c r="D608">
        <v>63013.51</v>
      </c>
      <c r="E608">
        <v>63228.51</v>
      </c>
      <c r="F608">
        <v>85.35</v>
      </c>
      <c r="G608">
        <v>0.14000000000000001</v>
      </c>
      <c r="H608">
        <v>1.19</v>
      </c>
      <c r="I608">
        <v>651.94000000000005</v>
      </c>
      <c r="J608">
        <v>23.42</v>
      </c>
      <c r="K608">
        <v>3.33</v>
      </c>
      <c r="L608">
        <v>1.3</v>
      </c>
    </row>
    <row r="609" spans="1:12" x14ac:dyDescent="0.3">
      <c r="A609" s="1">
        <v>45092</v>
      </c>
      <c r="B609">
        <v>63153.78</v>
      </c>
      <c r="C609">
        <v>63310.96</v>
      </c>
      <c r="D609">
        <v>62871.08</v>
      </c>
      <c r="E609">
        <v>62917.63</v>
      </c>
      <c r="F609">
        <v>-310.88</v>
      </c>
      <c r="G609">
        <v>-0.49</v>
      </c>
      <c r="H609">
        <v>0.67</v>
      </c>
      <c r="I609">
        <v>700.71</v>
      </c>
      <c r="J609">
        <v>23.3</v>
      </c>
      <c r="K609">
        <v>3.31</v>
      </c>
      <c r="L609">
        <v>1.31</v>
      </c>
    </row>
    <row r="610" spans="1:12" x14ac:dyDescent="0.3">
      <c r="A610" s="1">
        <v>45093</v>
      </c>
      <c r="B610">
        <v>62960.73</v>
      </c>
      <c r="C610">
        <v>63520.36</v>
      </c>
      <c r="D610">
        <v>62957.17</v>
      </c>
      <c r="E610">
        <v>63384.58</v>
      </c>
      <c r="F610">
        <v>466.95</v>
      </c>
      <c r="G610">
        <v>0.74</v>
      </c>
      <c r="H610">
        <v>0.55000000000000004</v>
      </c>
      <c r="I610">
        <v>487.87</v>
      </c>
      <c r="J610">
        <v>23.44</v>
      </c>
      <c r="K610">
        <v>3.33</v>
      </c>
      <c r="L610">
        <v>1.3</v>
      </c>
    </row>
    <row r="611" spans="1:12" x14ac:dyDescent="0.3">
      <c r="A611" s="1">
        <v>45096</v>
      </c>
      <c r="B611">
        <v>63474.21</v>
      </c>
      <c r="C611">
        <v>63574.69</v>
      </c>
      <c r="D611">
        <v>63047.83</v>
      </c>
      <c r="E611">
        <v>63168.3</v>
      </c>
      <c r="F611">
        <v>-216.28</v>
      </c>
      <c r="G611">
        <v>-0.34</v>
      </c>
      <c r="H611">
        <v>0.65</v>
      </c>
      <c r="I611">
        <v>530.64</v>
      </c>
      <c r="J611">
        <v>23.36</v>
      </c>
      <c r="K611">
        <v>3.32</v>
      </c>
      <c r="L611">
        <v>1.31</v>
      </c>
    </row>
    <row r="612" spans="1:12" x14ac:dyDescent="0.3">
      <c r="A612" s="1">
        <v>45097</v>
      </c>
      <c r="B612">
        <v>63176.77</v>
      </c>
      <c r="C612">
        <v>63440.19</v>
      </c>
      <c r="D612">
        <v>62801.91</v>
      </c>
      <c r="E612">
        <v>63327.7</v>
      </c>
      <c r="F612">
        <v>159.4</v>
      </c>
      <c r="G612">
        <v>0.25</v>
      </c>
      <c r="H612">
        <v>0.5</v>
      </c>
      <c r="I612">
        <v>397.74</v>
      </c>
      <c r="J612">
        <v>23.36</v>
      </c>
      <c r="K612">
        <v>3.32</v>
      </c>
      <c r="L612">
        <v>1.31</v>
      </c>
    </row>
    <row r="613" spans="1:12" x14ac:dyDescent="0.3">
      <c r="A613" s="1">
        <v>45098</v>
      </c>
      <c r="B613">
        <v>63467.46</v>
      </c>
      <c r="C613">
        <v>63588.31</v>
      </c>
      <c r="D613">
        <v>63315.62</v>
      </c>
      <c r="E613">
        <v>63523.15</v>
      </c>
      <c r="F613">
        <v>195.45</v>
      </c>
      <c r="G613">
        <v>0.31</v>
      </c>
      <c r="H613">
        <v>1.06</v>
      </c>
      <c r="I613">
        <v>1049.2</v>
      </c>
      <c r="J613">
        <v>23.46</v>
      </c>
      <c r="K613">
        <v>3.33</v>
      </c>
      <c r="L613">
        <v>1.3</v>
      </c>
    </row>
    <row r="614" spans="1:12" x14ac:dyDescent="0.3">
      <c r="A614" s="1">
        <v>45099</v>
      </c>
      <c r="B614">
        <v>63601.71</v>
      </c>
      <c r="C614">
        <v>63601.71</v>
      </c>
      <c r="D614">
        <v>63200.63</v>
      </c>
      <c r="E614">
        <v>63238.89</v>
      </c>
      <c r="F614">
        <v>-284.26</v>
      </c>
      <c r="G614">
        <v>-0.45</v>
      </c>
      <c r="H614">
        <v>0.73</v>
      </c>
      <c r="I614">
        <v>587.23</v>
      </c>
      <c r="J614">
        <v>23.4</v>
      </c>
      <c r="K614">
        <v>3.32</v>
      </c>
      <c r="L614">
        <v>1.3</v>
      </c>
    </row>
    <row r="615" spans="1:12" x14ac:dyDescent="0.3">
      <c r="A615" s="1">
        <v>45100</v>
      </c>
      <c r="B615">
        <v>63124.28</v>
      </c>
      <c r="C615">
        <v>63240.63</v>
      </c>
      <c r="D615">
        <v>62874.12</v>
      </c>
      <c r="E615">
        <v>62979.37</v>
      </c>
      <c r="F615">
        <v>-259.52</v>
      </c>
      <c r="G615">
        <v>-0.41</v>
      </c>
      <c r="H615">
        <v>0.73</v>
      </c>
      <c r="I615">
        <v>752.98</v>
      </c>
      <c r="J615">
        <v>23.26</v>
      </c>
      <c r="K615">
        <v>3.3</v>
      </c>
      <c r="L615">
        <v>1.31</v>
      </c>
    </row>
    <row r="616" spans="1:12" x14ac:dyDescent="0.3">
      <c r="A616" s="1">
        <v>45103</v>
      </c>
      <c r="B616">
        <v>62946.5</v>
      </c>
      <c r="C616">
        <v>63136.09</v>
      </c>
      <c r="D616">
        <v>62853.67</v>
      </c>
      <c r="E616">
        <v>62970</v>
      </c>
      <c r="F616">
        <v>-9.3699999999999992</v>
      </c>
      <c r="G616">
        <v>-0.01</v>
      </c>
      <c r="H616">
        <v>0.44</v>
      </c>
      <c r="I616">
        <v>355.23</v>
      </c>
      <c r="J616">
        <v>23.26</v>
      </c>
      <c r="K616">
        <v>3.3</v>
      </c>
      <c r="L616">
        <v>1.31</v>
      </c>
    </row>
    <row r="617" spans="1:12" x14ac:dyDescent="0.3">
      <c r="A617" s="1">
        <v>45104</v>
      </c>
      <c r="B617">
        <v>63151.85</v>
      </c>
      <c r="C617">
        <v>63467.54</v>
      </c>
      <c r="D617">
        <v>63054.84</v>
      </c>
      <c r="E617">
        <v>63416.03</v>
      </c>
      <c r="F617">
        <v>446.03</v>
      </c>
      <c r="G617">
        <v>0.71</v>
      </c>
      <c r="H617">
        <v>0.48</v>
      </c>
      <c r="I617">
        <v>400.18</v>
      </c>
      <c r="J617">
        <v>23.43</v>
      </c>
      <c r="K617">
        <v>3.33</v>
      </c>
      <c r="L617">
        <v>1.3</v>
      </c>
    </row>
    <row r="618" spans="1:12" x14ac:dyDescent="0.3">
      <c r="A618" s="1">
        <v>45105</v>
      </c>
      <c r="B618">
        <v>63701.78</v>
      </c>
      <c r="C618">
        <v>64050.44</v>
      </c>
      <c r="D618">
        <v>63554.82</v>
      </c>
      <c r="E618">
        <v>63915.42</v>
      </c>
      <c r="F618">
        <v>499.39</v>
      </c>
      <c r="G618">
        <v>0.79</v>
      </c>
      <c r="H618">
        <v>0.63</v>
      </c>
      <c r="I618">
        <v>641.5</v>
      </c>
      <c r="J618">
        <v>23.62</v>
      </c>
      <c r="K618">
        <v>3.35</v>
      </c>
      <c r="L618">
        <v>1.29</v>
      </c>
    </row>
    <row r="619" spans="1:12" x14ac:dyDescent="0.3">
      <c r="A619" s="1">
        <v>45107</v>
      </c>
      <c r="B619">
        <v>64068.44</v>
      </c>
      <c r="C619">
        <v>64768.58</v>
      </c>
      <c r="D619">
        <v>64068.44</v>
      </c>
      <c r="E619">
        <v>64718.559999999998</v>
      </c>
      <c r="F619">
        <v>803.14</v>
      </c>
      <c r="G619">
        <v>1.26</v>
      </c>
      <c r="H619">
        <v>2.97</v>
      </c>
      <c r="I619">
        <v>2781.43</v>
      </c>
      <c r="J619">
        <v>23.92</v>
      </c>
      <c r="K619">
        <v>3.4</v>
      </c>
      <c r="L619">
        <v>1.27</v>
      </c>
    </row>
    <row r="620" spans="1:12" x14ac:dyDescent="0.3">
      <c r="A620" s="1">
        <v>45110</v>
      </c>
      <c r="B620">
        <v>64836.160000000003</v>
      </c>
      <c r="C620">
        <v>65300.35</v>
      </c>
      <c r="D620">
        <v>64836.160000000003</v>
      </c>
      <c r="E620">
        <v>65205.05</v>
      </c>
      <c r="F620">
        <v>486.49</v>
      </c>
      <c r="G620">
        <v>0.75</v>
      </c>
      <c r="H620">
        <v>0.88</v>
      </c>
      <c r="I620">
        <v>767.29</v>
      </c>
      <c r="J620">
        <v>24.15</v>
      </c>
      <c r="K620">
        <v>3.43</v>
      </c>
      <c r="L620">
        <v>1.26</v>
      </c>
    </row>
    <row r="621" spans="1:12" x14ac:dyDescent="0.3">
      <c r="A621" s="1">
        <v>45111</v>
      </c>
      <c r="B621">
        <v>65503.85</v>
      </c>
      <c r="C621">
        <v>65672.97</v>
      </c>
      <c r="D621">
        <v>65171.06</v>
      </c>
      <c r="E621">
        <v>65479.05</v>
      </c>
      <c r="F621">
        <v>274</v>
      </c>
      <c r="G621">
        <v>0.42</v>
      </c>
      <c r="H621">
        <v>0.66</v>
      </c>
      <c r="I621">
        <v>749.72</v>
      </c>
      <c r="J621">
        <v>24.23</v>
      </c>
      <c r="K621">
        <v>3.44</v>
      </c>
      <c r="L621">
        <v>1.26</v>
      </c>
    </row>
    <row r="622" spans="1:12" x14ac:dyDescent="0.3">
      <c r="A622" s="1">
        <v>45112</v>
      </c>
      <c r="B622">
        <v>65493.68</v>
      </c>
      <c r="C622">
        <v>65584.33</v>
      </c>
      <c r="D622">
        <v>65256.49</v>
      </c>
      <c r="E622">
        <v>65446.04</v>
      </c>
      <c r="F622">
        <v>-33.01</v>
      </c>
      <c r="G622">
        <v>-0.05</v>
      </c>
      <c r="H622">
        <v>0.74</v>
      </c>
      <c r="I622">
        <v>648.76</v>
      </c>
      <c r="J622">
        <v>24.12</v>
      </c>
      <c r="K622">
        <v>3.43</v>
      </c>
      <c r="L622">
        <v>1.26</v>
      </c>
    </row>
    <row r="623" spans="1:12" x14ac:dyDescent="0.3">
      <c r="A623" s="1">
        <v>45113</v>
      </c>
      <c r="B623">
        <v>65391.88</v>
      </c>
      <c r="C623">
        <v>65832.98</v>
      </c>
      <c r="D623">
        <v>65328.29</v>
      </c>
      <c r="E623">
        <v>65785.64</v>
      </c>
      <c r="F623">
        <v>339.6</v>
      </c>
      <c r="G623">
        <v>0.52</v>
      </c>
      <c r="H623">
        <v>0.86</v>
      </c>
      <c r="I623">
        <v>893.31</v>
      </c>
      <c r="J623">
        <v>24.17</v>
      </c>
      <c r="K623">
        <v>3.43</v>
      </c>
      <c r="L623">
        <v>1.26</v>
      </c>
    </row>
    <row r="624" spans="1:12" x14ac:dyDescent="0.3">
      <c r="A624" s="1">
        <v>45114</v>
      </c>
      <c r="B624">
        <v>65559.41</v>
      </c>
      <c r="C624">
        <v>65898.98</v>
      </c>
      <c r="D624">
        <v>65175.74</v>
      </c>
      <c r="E624">
        <v>65280.45</v>
      </c>
      <c r="F624">
        <v>-505.19</v>
      </c>
      <c r="G624">
        <v>-0.77</v>
      </c>
      <c r="H624">
        <v>1.43</v>
      </c>
      <c r="I624">
        <v>1303.8</v>
      </c>
      <c r="J624">
        <v>24.02</v>
      </c>
      <c r="K624">
        <v>3.41</v>
      </c>
      <c r="L624">
        <v>1.27</v>
      </c>
    </row>
    <row r="625" spans="1:12" x14ac:dyDescent="0.3">
      <c r="A625" s="1">
        <v>45117</v>
      </c>
      <c r="B625">
        <v>65482.33</v>
      </c>
      <c r="C625">
        <v>65633.490000000005</v>
      </c>
      <c r="D625">
        <v>65246.400000000001</v>
      </c>
      <c r="E625">
        <v>65344.17</v>
      </c>
      <c r="F625">
        <v>63.72</v>
      </c>
      <c r="G625">
        <v>0.1</v>
      </c>
      <c r="H625">
        <v>1.44</v>
      </c>
      <c r="I625">
        <v>908.18</v>
      </c>
      <c r="J625">
        <v>24.15</v>
      </c>
      <c r="K625">
        <v>3.43</v>
      </c>
      <c r="L625">
        <v>1.26</v>
      </c>
    </row>
    <row r="626" spans="1:12" x14ac:dyDescent="0.3">
      <c r="A626" s="1">
        <v>45118</v>
      </c>
      <c r="B626">
        <v>65598.649999999994</v>
      </c>
      <c r="C626">
        <v>65870.59</v>
      </c>
      <c r="D626">
        <v>65517.57</v>
      </c>
      <c r="E626">
        <v>65617.84</v>
      </c>
      <c r="F626">
        <v>273.67</v>
      </c>
      <c r="G626">
        <v>0.42</v>
      </c>
      <c r="H626">
        <v>0.98</v>
      </c>
      <c r="I626">
        <v>763.38</v>
      </c>
      <c r="J626">
        <v>24.31</v>
      </c>
      <c r="K626">
        <v>3.45</v>
      </c>
      <c r="L626">
        <v>1.25</v>
      </c>
    </row>
    <row r="627" spans="1:12" x14ac:dyDescent="0.3">
      <c r="A627" s="1">
        <v>45119</v>
      </c>
      <c r="B627">
        <v>65759.28</v>
      </c>
      <c r="C627">
        <v>65811.64</v>
      </c>
      <c r="D627">
        <v>65320.25</v>
      </c>
      <c r="E627">
        <v>65393.9</v>
      </c>
      <c r="F627">
        <v>-223.94</v>
      </c>
      <c r="G627">
        <v>-0.34</v>
      </c>
      <c r="H627">
        <v>0.74</v>
      </c>
      <c r="I627">
        <v>771.42</v>
      </c>
      <c r="J627">
        <v>24.23</v>
      </c>
      <c r="K627">
        <v>3.44</v>
      </c>
      <c r="L627">
        <v>1.26</v>
      </c>
    </row>
    <row r="628" spans="1:12" x14ac:dyDescent="0.3">
      <c r="A628" s="1">
        <v>45120</v>
      </c>
      <c r="B628">
        <v>65667.070000000007</v>
      </c>
      <c r="C628">
        <v>66064.210000000006</v>
      </c>
      <c r="D628">
        <v>65452.15</v>
      </c>
      <c r="E628">
        <v>65558.89</v>
      </c>
      <c r="F628">
        <v>164.99</v>
      </c>
      <c r="G628">
        <v>0.25</v>
      </c>
      <c r="H628">
        <v>0.95</v>
      </c>
      <c r="I628">
        <v>743.4</v>
      </c>
      <c r="J628">
        <v>25.67</v>
      </c>
      <c r="K628">
        <v>3.67</v>
      </c>
      <c r="L628">
        <v>1.22</v>
      </c>
    </row>
    <row r="629" spans="1:12" x14ac:dyDescent="0.3">
      <c r="A629" s="1">
        <v>45121</v>
      </c>
      <c r="B629">
        <v>65775.490000000005</v>
      </c>
      <c r="C629">
        <v>66159.789999999994</v>
      </c>
      <c r="D629">
        <v>65610.820000000007</v>
      </c>
      <c r="E629">
        <v>66060.899999999994</v>
      </c>
      <c r="F629">
        <v>502.01</v>
      </c>
      <c r="G629">
        <v>0.77</v>
      </c>
      <c r="H629">
        <v>1.08</v>
      </c>
      <c r="I629">
        <v>1019.21</v>
      </c>
      <c r="J629">
        <v>25.7</v>
      </c>
      <c r="K629">
        <v>3.68</v>
      </c>
      <c r="L629">
        <v>1.21</v>
      </c>
    </row>
    <row r="630" spans="1:12" x14ac:dyDescent="0.3">
      <c r="A630" s="1">
        <v>45124</v>
      </c>
      <c r="B630">
        <v>66148.179999999993</v>
      </c>
      <c r="C630">
        <v>66656.210000000006</v>
      </c>
      <c r="D630">
        <v>66015.63</v>
      </c>
      <c r="E630">
        <v>66589.929999999993</v>
      </c>
      <c r="F630">
        <v>529.03</v>
      </c>
      <c r="G630">
        <v>0.8</v>
      </c>
      <c r="H630">
        <v>0.92</v>
      </c>
      <c r="I630">
        <v>706.2</v>
      </c>
      <c r="J630">
        <v>25.94</v>
      </c>
      <c r="K630">
        <v>3.71</v>
      </c>
      <c r="L630">
        <v>1.2</v>
      </c>
    </row>
    <row r="631" spans="1:12" x14ac:dyDescent="0.3">
      <c r="A631" s="1">
        <v>45125</v>
      </c>
      <c r="B631">
        <v>66828.960000000006</v>
      </c>
      <c r="C631">
        <v>67007.02</v>
      </c>
      <c r="D631">
        <v>66574.47</v>
      </c>
      <c r="E631">
        <v>66795.14</v>
      </c>
      <c r="F631">
        <v>205.21</v>
      </c>
      <c r="G631">
        <v>0.31</v>
      </c>
      <c r="H631">
        <v>0.82</v>
      </c>
      <c r="I631">
        <v>754.87</v>
      </c>
      <c r="J631">
        <v>26.04</v>
      </c>
      <c r="K631">
        <v>3.73</v>
      </c>
      <c r="L631">
        <v>1.2</v>
      </c>
    </row>
    <row r="632" spans="1:12" x14ac:dyDescent="0.3">
      <c r="A632" s="1">
        <v>45126</v>
      </c>
      <c r="B632">
        <v>66905.009999999995</v>
      </c>
      <c r="C632">
        <v>67171.38</v>
      </c>
      <c r="D632">
        <v>66703.61</v>
      </c>
      <c r="E632">
        <v>67097.440000000002</v>
      </c>
      <c r="F632">
        <v>302.3</v>
      </c>
      <c r="G632">
        <v>0.45</v>
      </c>
      <c r="H632">
        <v>0.85</v>
      </c>
      <c r="I632">
        <v>742.84</v>
      </c>
      <c r="J632">
        <v>25.87</v>
      </c>
      <c r="K632">
        <v>3.72</v>
      </c>
      <c r="L632">
        <v>1.19</v>
      </c>
    </row>
    <row r="633" spans="1:12" x14ac:dyDescent="0.3">
      <c r="A633" s="1">
        <v>45127</v>
      </c>
      <c r="B633">
        <v>67074.34</v>
      </c>
      <c r="C633">
        <v>67619.17</v>
      </c>
      <c r="D633">
        <v>66831.38</v>
      </c>
      <c r="E633">
        <v>67571.899999999994</v>
      </c>
      <c r="F633">
        <v>474.46</v>
      </c>
      <c r="G633">
        <v>0.71</v>
      </c>
      <c r="H633">
        <v>0.83</v>
      </c>
      <c r="I633">
        <v>648.66</v>
      </c>
      <c r="J633">
        <v>25.76</v>
      </c>
      <c r="K633">
        <v>3.7</v>
      </c>
      <c r="L633">
        <v>1.18</v>
      </c>
    </row>
    <row r="634" spans="1:12" x14ac:dyDescent="0.3">
      <c r="A634" s="1">
        <v>45128</v>
      </c>
      <c r="B634">
        <v>66907.070000000007</v>
      </c>
      <c r="C634">
        <v>67190.52</v>
      </c>
      <c r="D634">
        <v>66533.740000000005</v>
      </c>
      <c r="E634">
        <v>66684.259999999995</v>
      </c>
      <c r="F634">
        <v>-887.64</v>
      </c>
      <c r="G634">
        <v>-1.31</v>
      </c>
      <c r="H634">
        <v>1.32</v>
      </c>
      <c r="I634">
        <v>1383.95</v>
      </c>
      <c r="J634">
        <v>25.42</v>
      </c>
      <c r="K634">
        <v>3.66</v>
      </c>
      <c r="L634">
        <v>1.2</v>
      </c>
    </row>
    <row r="635" spans="1:12" x14ac:dyDescent="0.3">
      <c r="A635" s="1">
        <v>45131</v>
      </c>
      <c r="B635">
        <v>66629.14</v>
      </c>
      <c r="C635">
        <v>66808.56</v>
      </c>
      <c r="D635">
        <v>66326.25</v>
      </c>
      <c r="E635">
        <v>66384.78</v>
      </c>
      <c r="F635">
        <v>-299.48</v>
      </c>
      <c r="G635">
        <v>-0.45</v>
      </c>
      <c r="H635">
        <v>0.86</v>
      </c>
      <c r="I635">
        <v>588.17999999999995</v>
      </c>
      <c r="J635">
        <v>25.05</v>
      </c>
      <c r="K635">
        <v>3.62</v>
      </c>
      <c r="L635">
        <v>1.21</v>
      </c>
    </row>
    <row r="636" spans="1:12" x14ac:dyDescent="0.3">
      <c r="A636" s="1">
        <v>45132</v>
      </c>
      <c r="B636">
        <v>66531.199999999997</v>
      </c>
      <c r="C636">
        <v>66559.289999999994</v>
      </c>
      <c r="D636">
        <v>66177.62</v>
      </c>
      <c r="E636">
        <v>66355.710000000006</v>
      </c>
      <c r="F636">
        <v>-29.07</v>
      </c>
      <c r="G636">
        <v>-0.04</v>
      </c>
      <c r="H636">
        <v>1.1100000000000001</v>
      </c>
      <c r="I636">
        <v>708.78</v>
      </c>
      <c r="J636">
        <v>25.04</v>
      </c>
      <c r="K636">
        <v>3.62</v>
      </c>
      <c r="L636">
        <v>1.21</v>
      </c>
    </row>
    <row r="637" spans="1:12" x14ac:dyDescent="0.3">
      <c r="A637" s="1">
        <v>45133</v>
      </c>
      <c r="B637">
        <v>66434.720000000001</v>
      </c>
      <c r="C637">
        <v>66897.27</v>
      </c>
      <c r="D637">
        <v>66431.34</v>
      </c>
      <c r="E637">
        <v>66707.199999999997</v>
      </c>
      <c r="F637">
        <v>351.49</v>
      </c>
      <c r="G637">
        <v>0.53</v>
      </c>
      <c r="H637">
        <v>1.05</v>
      </c>
      <c r="I637">
        <v>628.63</v>
      </c>
      <c r="J637">
        <v>25.41</v>
      </c>
      <c r="K637">
        <v>3.63</v>
      </c>
      <c r="L637">
        <v>1.21</v>
      </c>
    </row>
    <row r="638" spans="1:12" x14ac:dyDescent="0.3">
      <c r="A638" s="1">
        <v>45134</v>
      </c>
      <c r="B638">
        <v>66834.12</v>
      </c>
      <c r="C638">
        <v>66984.17</v>
      </c>
      <c r="D638">
        <v>66060.740000000005</v>
      </c>
      <c r="E638">
        <v>66266.820000000007</v>
      </c>
      <c r="F638">
        <v>-440.38</v>
      </c>
      <c r="G638">
        <v>-0.66</v>
      </c>
      <c r="H638">
        <v>0.84</v>
      </c>
      <c r="I638">
        <v>628.84</v>
      </c>
      <c r="J638">
        <v>24.87</v>
      </c>
      <c r="K638">
        <v>3.61</v>
      </c>
      <c r="L638">
        <v>1.21</v>
      </c>
    </row>
    <row r="639" spans="1:12" x14ac:dyDescent="0.3">
      <c r="A639" s="1">
        <v>45135</v>
      </c>
      <c r="B639">
        <v>66266.350000000006</v>
      </c>
      <c r="C639">
        <v>66351.22</v>
      </c>
      <c r="D639">
        <v>65878.649999999994</v>
      </c>
      <c r="E639">
        <v>66160.2</v>
      </c>
      <c r="F639">
        <v>-106.62</v>
      </c>
      <c r="G639">
        <v>-0.16</v>
      </c>
      <c r="H639">
        <v>1.23</v>
      </c>
      <c r="I639">
        <v>1064.0899999999999</v>
      </c>
      <c r="J639">
        <v>24.63</v>
      </c>
      <c r="K639">
        <v>3.58</v>
      </c>
      <c r="L639">
        <v>1.22</v>
      </c>
    </row>
    <row r="640" spans="1:12" x14ac:dyDescent="0.3">
      <c r="A640" s="1">
        <v>45138</v>
      </c>
      <c r="B640">
        <v>66156.39</v>
      </c>
      <c r="C640">
        <v>66598.42</v>
      </c>
      <c r="D640">
        <v>65998.899999999994</v>
      </c>
      <c r="E640">
        <v>66527.67</v>
      </c>
      <c r="F640">
        <v>367.47</v>
      </c>
      <c r="G640">
        <v>0.56000000000000005</v>
      </c>
      <c r="H640">
        <v>0.79</v>
      </c>
      <c r="I640">
        <v>504.24</v>
      </c>
      <c r="J640">
        <v>24.78</v>
      </c>
      <c r="K640">
        <v>3.61</v>
      </c>
      <c r="L640">
        <v>1.21</v>
      </c>
    </row>
    <row r="641" spans="1:12" x14ac:dyDescent="0.3">
      <c r="A641" s="1">
        <v>45139</v>
      </c>
      <c r="B641">
        <v>66532.98</v>
      </c>
      <c r="C641">
        <v>66658.12</v>
      </c>
      <c r="D641">
        <v>66388.259999999995</v>
      </c>
      <c r="E641">
        <v>66459.31</v>
      </c>
      <c r="F641">
        <v>-68.36</v>
      </c>
      <c r="G641">
        <v>-0.1</v>
      </c>
      <c r="H641">
        <v>1.05</v>
      </c>
      <c r="I641">
        <v>683.2</v>
      </c>
      <c r="J641">
        <v>24.75</v>
      </c>
      <c r="K641">
        <v>3.61</v>
      </c>
      <c r="L641">
        <v>1.21</v>
      </c>
    </row>
    <row r="642" spans="1:12" x14ac:dyDescent="0.3">
      <c r="A642" s="1">
        <v>45140</v>
      </c>
      <c r="B642">
        <v>66064.41</v>
      </c>
      <c r="C642">
        <v>66261.97</v>
      </c>
      <c r="D642">
        <v>65431.68</v>
      </c>
      <c r="E642">
        <v>65782.78</v>
      </c>
      <c r="F642">
        <v>-676.53</v>
      </c>
      <c r="G642">
        <v>-1.02</v>
      </c>
      <c r="H642">
        <v>0.75</v>
      </c>
      <c r="I642">
        <v>552.15</v>
      </c>
      <c r="J642">
        <v>24.34</v>
      </c>
      <c r="K642">
        <v>3.56</v>
      </c>
      <c r="L642">
        <v>1.23</v>
      </c>
    </row>
    <row r="643" spans="1:12" x14ac:dyDescent="0.3">
      <c r="A643" s="1">
        <v>45141</v>
      </c>
      <c r="B643">
        <v>65550.820000000007</v>
      </c>
      <c r="C643">
        <v>65820.820000000007</v>
      </c>
      <c r="D643">
        <v>64963.08</v>
      </c>
      <c r="E643">
        <v>65240.68</v>
      </c>
      <c r="F643">
        <v>-542.1</v>
      </c>
      <c r="G643">
        <v>-0.82</v>
      </c>
      <c r="H643">
        <v>0.93</v>
      </c>
      <c r="I643">
        <v>750.22</v>
      </c>
      <c r="J643">
        <v>24.13</v>
      </c>
      <c r="K643">
        <v>3.53</v>
      </c>
      <c r="L643">
        <v>1.24</v>
      </c>
    </row>
    <row r="644" spans="1:12" x14ac:dyDescent="0.3">
      <c r="A644" s="1">
        <v>45142</v>
      </c>
      <c r="B644">
        <v>65453.55</v>
      </c>
      <c r="C644">
        <v>65799.27</v>
      </c>
      <c r="D644">
        <v>65387.18</v>
      </c>
      <c r="E644">
        <v>65721.25</v>
      </c>
      <c r="F644">
        <v>480.57</v>
      </c>
      <c r="G644">
        <v>0.74</v>
      </c>
      <c r="H644">
        <v>1.25</v>
      </c>
      <c r="I644">
        <v>1076.83</v>
      </c>
      <c r="J644">
        <v>24.39</v>
      </c>
      <c r="K644">
        <v>3.56</v>
      </c>
      <c r="L644">
        <v>1.23</v>
      </c>
    </row>
    <row r="645" spans="1:12" x14ac:dyDescent="0.3">
      <c r="A645" s="1">
        <v>45145</v>
      </c>
      <c r="B645">
        <v>65811.399999999994</v>
      </c>
      <c r="C645">
        <v>66067.899999999994</v>
      </c>
      <c r="D645">
        <v>65748.25</v>
      </c>
      <c r="E645">
        <v>65953.48</v>
      </c>
      <c r="F645">
        <v>232.23</v>
      </c>
      <c r="G645">
        <v>0.35</v>
      </c>
      <c r="H645">
        <v>0.71</v>
      </c>
      <c r="I645">
        <v>559.51</v>
      </c>
      <c r="J645">
        <v>24.04</v>
      </c>
      <c r="K645">
        <v>3.57</v>
      </c>
      <c r="L645">
        <v>1.22</v>
      </c>
    </row>
    <row r="646" spans="1:12" x14ac:dyDescent="0.3">
      <c r="A646" s="1">
        <v>45146</v>
      </c>
      <c r="B646">
        <v>66048.81</v>
      </c>
      <c r="C646">
        <v>66057.53</v>
      </c>
      <c r="D646">
        <v>65752.63</v>
      </c>
      <c r="E646">
        <v>65846.5</v>
      </c>
      <c r="F646">
        <v>-106.98</v>
      </c>
      <c r="G646">
        <v>-0.16</v>
      </c>
      <c r="H646">
        <v>0.63</v>
      </c>
      <c r="I646">
        <v>505.27</v>
      </c>
      <c r="J646">
        <v>23.98</v>
      </c>
      <c r="K646">
        <v>3.56</v>
      </c>
      <c r="L646">
        <v>1.22</v>
      </c>
    </row>
    <row r="647" spans="1:12" x14ac:dyDescent="0.3">
      <c r="A647" s="1">
        <v>45147</v>
      </c>
      <c r="B647">
        <v>65810.960000000006</v>
      </c>
      <c r="C647">
        <v>66066.009999999995</v>
      </c>
      <c r="D647">
        <v>65444.38</v>
      </c>
      <c r="E647">
        <v>65995.81</v>
      </c>
      <c r="F647">
        <v>149.31</v>
      </c>
      <c r="G647">
        <v>0.23</v>
      </c>
      <c r="H647">
        <v>0.66</v>
      </c>
      <c r="I647">
        <v>570.83000000000004</v>
      </c>
      <c r="J647">
        <v>24.07</v>
      </c>
      <c r="K647">
        <v>3.57</v>
      </c>
      <c r="L647">
        <v>1.22</v>
      </c>
    </row>
    <row r="648" spans="1:12" x14ac:dyDescent="0.3">
      <c r="A648" s="1">
        <v>45148</v>
      </c>
      <c r="B648">
        <v>65945.39</v>
      </c>
      <c r="C648">
        <v>65956.25</v>
      </c>
      <c r="D648">
        <v>65509.14</v>
      </c>
      <c r="E648">
        <v>65688.179999999993</v>
      </c>
      <c r="F648">
        <v>-307.63</v>
      </c>
      <c r="G648">
        <v>-0.47</v>
      </c>
      <c r="H648">
        <v>0.6</v>
      </c>
      <c r="I648">
        <v>524.16</v>
      </c>
      <c r="J648">
        <v>23.96</v>
      </c>
      <c r="K648">
        <v>3.56</v>
      </c>
      <c r="L648">
        <v>1.23</v>
      </c>
    </row>
    <row r="649" spans="1:12" x14ac:dyDescent="0.3">
      <c r="A649" s="1">
        <v>45149</v>
      </c>
      <c r="B649">
        <v>65727.8</v>
      </c>
      <c r="C649">
        <v>65727.8</v>
      </c>
      <c r="D649">
        <v>65274.61</v>
      </c>
      <c r="E649">
        <v>65322.65</v>
      </c>
      <c r="F649">
        <v>-365.53</v>
      </c>
      <c r="G649">
        <v>-0.56000000000000005</v>
      </c>
      <c r="H649">
        <v>0.76</v>
      </c>
      <c r="I649">
        <v>598.11</v>
      </c>
      <c r="J649">
        <v>23.83</v>
      </c>
      <c r="K649">
        <v>3.54</v>
      </c>
      <c r="L649">
        <v>1.23</v>
      </c>
    </row>
    <row r="650" spans="1:12" x14ac:dyDescent="0.3">
      <c r="A650" s="1">
        <v>45152</v>
      </c>
      <c r="B650">
        <v>65153.02</v>
      </c>
      <c r="C650">
        <v>65517.82</v>
      </c>
      <c r="D650">
        <v>64821.88</v>
      </c>
      <c r="E650">
        <v>65401.919999999998</v>
      </c>
      <c r="F650">
        <v>79.27</v>
      </c>
      <c r="G650">
        <v>0.12</v>
      </c>
      <c r="H650" t="s">
        <v>13</v>
      </c>
      <c r="J650">
        <v>23.84</v>
      </c>
      <c r="K650">
        <v>3.54</v>
      </c>
      <c r="L650">
        <v>1.24</v>
      </c>
    </row>
    <row r="651" spans="1:12" x14ac:dyDescent="0.3">
      <c r="A651" s="1">
        <v>45154</v>
      </c>
      <c r="B651">
        <v>65238.67</v>
      </c>
      <c r="C651">
        <v>65605.740000000005</v>
      </c>
      <c r="D651">
        <v>65032.89</v>
      </c>
      <c r="E651">
        <v>65539.42</v>
      </c>
      <c r="F651">
        <v>137.5</v>
      </c>
      <c r="G651">
        <v>0.21</v>
      </c>
      <c r="H651">
        <v>0.57999999999999996</v>
      </c>
      <c r="I651">
        <v>416.55</v>
      </c>
      <c r="J651">
        <v>23.89</v>
      </c>
      <c r="K651">
        <v>3.55</v>
      </c>
      <c r="L651">
        <v>1.24</v>
      </c>
    </row>
    <row r="652" spans="1:12" x14ac:dyDescent="0.3">
      <c r="A652" s="1">
        <v>45155</v>
      </c>
      <c r="B652">
        <v>65503.85</v>
      </c>
      <c r="C652">
        <v>65535.14</v>
      </c>
      <c r="D652">
        <v>65046.1</v>
      </c>
      <c r="E652">
        <v>65151.02</v>
      </c>
      <c r="F652">
        <v>-388.4</v>
      </c>
      <c r="G652">
        <v>-0.59</v>
      </c>
      <c r="H652">
        <v>0.64</v>
      </c>
      <c r="I652">
        <v>427.21</v>
      </c>
      <c r="J652">
        <v>23.78</v>
      </c>
      <c r="K652">
        <v>3.53</v>
      </c>
      <c r="L652">
        <v>1.24</v>
      </c>
    </row>
    <row r="653" spans="1:12" x14ac:dyDescent="0.3">
      <c r="A653" s="1">
        <v>45156</v>
      </c>
      <c r="B653">
        <v>65025.71</v>
      </c>
      <c r="C653">
        <v>65175.32</v>
      </c>
      <c r="D653">
        <v>64754.720000000001</v>
      </c>
      <c r="E653">
        <v>64948.66</v>
      </c>
      <c r="F653">
        <v>-202.36</v>
      </c>
      <c r="G653">
        <v>-0.31</v>
      </c>
      <c r="H653">
        <v>1.43</v>
      </c>
      <c r="I653">
        <v>1424.67</v>
      </c>
      <c r="J653">
        <v>23.68</v>
      </c>
      <c r="K653">
        <v>3.52</v>
      </c>
      <c r="L653">
        <v>1.24</v>
      </c>
    </row>
    <row r="654" spans="1:12" x14ac:dyDescent="0.3">
      <c r="A654" s="1">
        <v>45159</v>
      </c>
      <c r="B654">
        <v>64852.7</v>
      </c>
      <c r="C654">
        <v>65335.82</v>
      </c>
      <c r="D654">
        <v>64852.7</v>
      </c>
      <c r="E654">
        <v>65216.09</v>
      </c>
      <c r="F654">
        <v>267.43</v>
      </c>
      <c r="G654">
        <v>0.41</v>
      </c>
      <c r="H654">
        <v>0.93</v>
      </c>
      <c r="I654">
        <v>479.91</v>
      </c>
      <c r="J654">
        <v>23.76</v>
      </c>
      <c r="K654">
        <v>3.53</v>
      </c>
      <c r="L654">
        <v>1.24</v>
      </c>
    </row>
    <row r="655" spans="1:12" x14ac:dyDescent="0.3">
      <c r="A655" s="1">
        <v>45160</v>
      </c>
      <c r="B655">
        <v>65272.42</v>
      </c>
      <c r="C655">
        <v>65362.91</v>
      </c>
      <c r="D655">
        <v>65165.45</v>
      </c>
      <c r="E655">
        <v>65220.03</v>
      </c>
      <c r="F655">
        <v>3.94</v>
      </c>
      <c r="G655">
        <v>0.01</v>
      </c>
      <c r="H655">
        <v>0.59</v>
      </c>
      <c r="I655">
        <v>398.25</v>
      </c>
      <c r="J655">
        <v>23.81</v>
      </c>
      <c r="K655">
        <v>3.54</v>
      </c>
      <c r="L655">
        <v>1.24</v>
      </c>
    </row>
    <row r="656" spans="1:12" x14ac:dyDescent="0.3">
      <c r="A656" s="1">
        <v>45161</v>
      </c>
      <c r="B656">
        <v>65300.93</v>
      </c>
      <c r="C656">
        <v>65504.71</v>
      </c>
      <c r="D656">
        <v>65108.51</v>
      </c>
      <c r="E656">
        <v>65433.3</v>
      </c>
      <c r="F656">
        <v>213.27</v>
      </c>
      <c r="G656">
        <v>0.33</v>
      </c>
      <c r="H656">
        <v>0.71</v>
      </c>
      <c r="I656">
        <v>521.32000000000005</v>
      </c>
      <c r="J656">
        <v>23.91</v>
      </c>
      <c r="K656">
        <v>3.55</v>
      </c>
      <c r="L656">
        <v>1.23</v>
      </c>
    </row>
    <row r="657" spans="1:12" x14ac:dyDescent="0.3">
      <c r="A657" s="1">
        <v>45162</v>
      </c>
      <c r="B657">
        <v>65722.509999999995</v>
      </c>
      <c r="C657">
        <v>65913.77</v>
      </c>
      <c r="D657">
        <v>65181.94</v>
      </c>
      <c r="E657">
        <v>65252.34</v>
      </c>
      <c r="F657">
        <v>-180.96</v>
      </c>
      <c r="G657">
        <v>-0.28000000000000003</v>
      </c>
      <c r="H657">
        <v>0.59</v>
      </c>
      <c r="I657">
        <v>543.24</v>
      </c>
      <c r="J657">
        <v>23.94</v>
      </c>
      <c r="K657">
        <v>3.56</v>
      </c>
      <c r="L657">
        <v>1.23</v>
      </c>
    </row>
    <row r="658" spans="1:12" x14ac:dyDescent="0.3">
      <c r="A658" s="1">
        <v>45163</v>
      </c>
      <c r="B658">
        <v>65000.67</v>
      </c>
      <c r="C658">
        <v>65106</v>
      </c>
      <c r="D658">
        <v>64732.57</v>
      </c>
      <c r="E658">
        <v>64886.51</v>
      </c>
      <c r="F658">
        <v>-365.83</v>
      </c>
      <c r="G658">
        <v>-0.56000000000000005</v>
      </c>
      <c r="H658">
        <v>5.17</v>
      </c>
      <c r="I658">
        <v>2515</v>
      </c>
      <c r="J658">
        <v>23.65</v>
      </c>
      <c r="K658">
        <v>3.51</v>
      </c>
      <c r="L658">
        <v>1.24</v>
      </c>
    </row>
    <row r="659" spans="1:12" x14ac:dyDescent="0.3">
      <c r="A659" s="1">
        <v>45166</v>
      </c>
      <c r="B659">
        <v>64908.08</v>
      </c>
      <c r="C659">
        <v>65213.45</v>
      </c>
      <c r="D659">
        <v>64776.92</v>
      </c>
      <c r="E659">
        <v>64996.6</v>
      </c>
      <c r="F659">
        <v>110.09</v>
      </c>
      <c r="G659">
        <v>0.17</v>
      </c>
      <c r="H659">
        <v>2.08</v>
      </c>
      <c r="I659">
        <v>1118.6199999999999</v>
      </c>
      <c r="J659">
        <v>23.71</v>
      </c>
      <c r="K659">
        <v>3.52</v>
      </c>
      <c r="L659">
        <v>1.24</v>
      </c>
    </row>
    <row r="660" spans="1:12" x14ac:dyDescent="0.3">
      <c r="A660" s="1">
        <v>45167</v>
      </c>
      <c r="B660">
        <v>65201.35</v>
      </c>
      <c r="C660">
        <v>65229.03</v>
      </c>
      <c r="D660">
        <v>64956.67</v>
      </c>
      <c r="E660">
        <v>65075.82</v>
      </c>
      <c r="F660">
        <v>79.22</v>
      </c>
      <c r="G660">
        <v>0.12</v>
      </c>
      <c r="H660">
        <v>4.8499999999999996</v>
      </c>
      <c r="I660">
        <v>2046.6</v>
      </c>
      <c r="J660">
        <v>23.7</v>
      </c>
      <c r="K660">
        <v>3.52</v>
      </c>
      <c r="L660">
        <v>1.24</v>
      </c>
    </row>
    <row r="661" spans="1:12" x14ac:dyDescent="0.3">
      <c r="A661" s="1">
        <v>45168</v>
      </c>
      <c r="B661">
        <v>65311.58</v>
      </c>
      <c r="C661">
        <v>65458.7</v>
      </c>
      <c r="D661">
        <v>65052.74</v>
      </c>
      <c r="E661">
        <v>65087.25</v>
      </c>
      <c r="F661">
        <v>11.43</v>
      </c>
      <c r="G661">
        <v>0.02</v>
      </c>
      <c r="H661">
        <v>1.77</v>
      </c>
      <c r="I661">
        <v>957.34</v>
      </c>
      <c r="J661">
        <v>23.7</v>
      </c>
      <c r="K661">
        <v>3.52</v>
      </c>
      <c r="L661">
        <v>1.24</v>
      </c>
    </row>
    <row r="662" spans="1:12" x14ac:dyDescent="0.3">
      <c r="A662" s="1">
        <v>45169</v>
      </c>
      <c r="B662">
        <v>65178.33</v>
      </c>
      <c r="C662">
        <v>65277.04</v>
      </c>
      <c r="D662">
        <v>64723.63</v>
      </c>
      <c r="E662">
        <v>64831.41</v>
      </c>
      <c r="F662">
        <v>-255.84</v>
      </c>
      <c r="G662">
        <v>-0.39</v>
      </c>
      <c r="H662">
        <v>4.8600000000000003</v>
      </c>
      <c r="I662">
        <v>2321.08</v>
      </c>
      <c r="J662">
        <v>23.6</v>
      </c>
      <c r="K662">
        <v>3.51</v>
      </c>
      <c r="L662">
        <v>1.24</v>
      </c>
    </row>
    <row r="663" spans="1:12" x14ac:dyDescent="0.3">
      <c r="A663" s="1">
        <v>45170</v>
      </c>
      <c r="B663">
        <v>64855.51</v>
      </c>
      <c r="C663">
        <v>65473.27</v>
      </c>
      <c r="D663">
        <v>64818.37</v>
      </c>
      <c r="E663">
        <v>65387.16</v>
      </c>
      <c r="F663">
        <v>555.75</v>
      </c>
      <c r="G663">
        <v>0.86</v>
      </c>
      <c r="H663">
        <v>2.16</v>
      </c>
      <c r="I663">
        <v>1372.43</v>
      </c>
      <c r="J663">
        <v>23.82</v>
      </c>
      <c r="K663">
        <v>3.54</v>
      </c>
      <c r="L663">
        <v>1.25</v>
      </c>
    </row>
    <row r="664" spans="1:12" x14ac:dyDescent="0.3">
      <c r="A664" s="1">
        <v>45173</v>
      </c>
      <c r="B664">
        <v>65525.91</v>
      </c>
      <c r="C664">
        <v>65683.91</v>
      </c>
      <c r="D664">
        <v>65285.56</v>
      </c>
      <c r="E664">
        <v>65628.14</v>
      </c>
      <c r="F664">
        <v>240.98</v>
      </c>
      <c r="G664">
        <v>0.37</v>
      </c>
      <c r="H664">
        <v>1.37</v>
      </c>
      <c r="I664">
        <v>715.38</v>
      </c>
      <c r="J664">
        <v>23.92</v>
      </c>
      <c r="K664">
        <v>3.55</v>
      </c>
      <c r="L664">
        <v>1.24</v>
      </c>
    </row>
    <row r="665" spans="1:12" x14ac:dyDescent="0.3">
      <c r="A665" s="1">
        <v>45174</v>
      </c>
      <c r="B665">
        <v>65671.600000000006</v>
      </c>
      <c r="C665">
        <v>65831.7</v>
      </c>
      <c r="D665">
        <v>65601.47</v>
      </c>
      <c r="E665">
        <v>65780.259999999995</v>
      </c>
      <c r="F665">
        <v>152.12</v>
      </c>
      <c r="G665">
        <v>0.23</v>
      </c>
      <c r="H665">
        <v>0.66</v>
      </c>
      <c r="I665">
        <v>431.67</v>
      </c>
      <c r="J665">
        <v>23.89</v>
      </c>
      <c r="K665">
        <v>3.55</v>
      </c>
      <c r="L665">
        <v>1.24</v>
      </c>
    </row>
    <row r="666" spans="1:12" x14ac:dyDescent="0.3">
      <c r="A666" s="1">
        <v>45175</v>
      </c>
      <c r="B666">
        <v>65744.19</v>
      </c>
      <c r="C666">
        <v>65971.13</v>
      </c>
      <c r="D666">
        <v>65488.03</v>
      </c>
      <c r="E666">
        <v>65880.52</v>
      </c>
      <c r="F666">
        <v>100.26</v>
      </c>
      <c r="G666">
        <v>0.15</v>
      </c>
      <c r="H666">
        <v>0.61</v>
      </c>
      <c r="I666">
        <v>423.93</v>
      </c>
      <c r="J666">
        <v>23.89</v>
      </c>
      <c r="K666">
        <v>3.55</v>
      </c>
      <c r="L666">
        <v>1.24</v>
      </c>
    </row>
    <row r="667" spans="1:12" x14ac:dyDescent="0.3">
      <c r="A667" s="1">
        <v>45176</v>
      </c>
      <c r="B667">
        <v>65854.25</v>
      </c>
      <c r="C667">
        <v>66296.899999999994</v>
      </c>
      <c r="D667">
        <v>65672.34</v>
      </c>
      <c r="E667">
        <v>66265.56</v>
      </c>
      <c r="F667">
        <v>385.04</v>
      </c>
      <c r="G667">
        <v>0.57999999999999996</v>
      </c>
      <c r="H667">
        <v>0.62</v>
      </c>
      <c r="I667">
        <v>512.78</v>
      </c>
      <c r="J667">
        <v>24.11</v>
      </c>
      <c r="K667">
        <v>3.58</v>
      </c>
      <c r="L667">
        <v>1.23</v>
      </c>
    </row>
    <row r="668" spans="1:12" x14ac:dyDescent="0.3">
      <c r="A668" s="1">
        <v>45177</v>
      </c>
      <c r="B668">
        <v>66381.429999999993</v>
      </c>
      <c r="C668">
        <v>66766.92</v>
      </c>
      <c r="D668">
        <v>66299.3</v>
      </c>
      <c r="E668">
        <v>66598.91</v>
      </c>
      <c r="F668">
        <v>333.35</v>
      </c>
      <c r="G668">
        <v>0.5</v>
      </c>
      <c r="H668">
        <v>1.1499999999999999</v>
      </c>
      <c r="I668">
        <v>985.88</v>
      </c>
      <c r="J668">
        <v>24.33</v>
      </c>
      <c r="K668">
        <v>3.62</v>
      </c>
      <c r="L668">
        <v>1.22</v>
      </c>
    </row>
    <row r="669" spans="1:12" x14ac:dyDescent="0.3">
      <c r="A669" s="1">
        <v>45180</v>
      </c>
      <c r="B669">
        <v>66807.73</v>
      </c>
      <c r="C669">
        <v>67172.13</v>
      </c>
      <c r="D669">
        <v>66735.839999999997</v>
      </c>
      <c r="E669">
        <v>67127.08</v>
      </c>
      <c r="F669">
        <v>528.16999999999996</v>
      </c>
      <c r="G669">
        <v>0.79</v>
      </c>
      <c r="H669">
        <v>0.93</v>
      </c>
      <c r="I669">
        <v>636.86</v>
      </c>
      <c r="J669">
        <v>24.46</v>
      </c>
      <c r="K669">
        <v>3.64</v>
      </c>
      <c r="L669">
        <v>1.22</v>
      </c>
    </row>
    <row r="670" spans="1:12" x14ac:dyDescent="0.3">
      <c r="A670" s="1">
        <v>45181</v>
      </c>
      <c r="B670">
        <v>67506.880000000005</v>
      </c>
      <c r="C670">
        <v>67539.100000000006</v>
      </c>
      <c r="D670">
        <v>66948.179999999993</v>
      </c>
      <c r="E670">
        <v>67221.13</v>
      </c>
      <c r="F670">
        <v>94.05</v>
      </c>
      <c r="G670">
        <v>0.14000000000000001</v>
      </c>
      <c r="H670">
        <v>0.87</v>
      </c>
      <c r="I670">
        <v>761.26</v>
      </c>
      <c r="J670">
        <v>24.49</v>
      </c>
      <c r="K670">
        <v>3.64</v>
      </c>
      <c r="L670">
        <v>1.21</v>
      </c>
    </row>
    <row r="671" spans="1:12" x14ac:dyDescent="0.3">
      <c r="A671" s="1">
        <v>45182</v>
      </c>
      <c r="B671">
        <v>67188.639999999999</v>
      </c>
      <c r="C671">
        <v>67565.41</v>
      </c>
      <c r="D671">
        <v>67053.36</v>
      </c>
      <c r="E671">
        <v>67466.990000000005</v>
      </c>
      <c r="F671">
        <v>245.86</v>
      </c>
      <c r="G671">
        <v>0.37</v>
      </c>
      <c r="H671">
        <v>0.62</v>
      </c>
      <c r="I671">
        <v>468.75</v>
      </c>
      <c r="J671">
        <v>24.56</v>
      </c>
      <c r="K671">
        <v>3.65</v>
      </c>
      <c r="L671">
        <v>1.21</v>
      </c>
    </row>
    <row r="672" spans="1:12" x14ac:dyDescent="0.3">
      <c r="A672" s="1">
        <v>45183</v>
      </c>
      <c r="B672">
        <v>67627.03</v>
      </c>
      <c r="C672">
        <v>67771.05</v>
      </c>
      <c r="D672">
        <v>67336.460000000006</v>
      </c>
      <c r="E672">
        <v>67519</v>
      </c>
      <c r="F672">
        <v>52.01</v>
      </c>
      <c r="G672">
        <v>0.08</v>
      </c>
      <c r="H672">
        <v>0.81</v>
      </c>
      <c r="I672">
        <v>611.79999999999995</v>
      </c>
      <c r="J672">
        <v>24.55</v>
      </c>
      <c r="K672">
        <v>3.65</v>
      </c>
      <c r="L672">
        <v>1.21</v>
      </c>
    </row>
    <row r="673" spans="1:12" x14ac:dyDescent="0.3">
      <c r="A673" s="1">
        <v>45184</v>
      </c>
      <c r="B673">
        <v>67659.91</v>
      </c>
      <c r="C673">
        <v>67927.23</v>
      </c>
      <c r="D673">
        <v>67614.42</v>
      </c>
      <c r="E673">
        <v>67838.63</v>
      </c>
      <c r="F673">
        <v>319.63</v>
      </c>
      <c r="G673">
        <v>0.47</v>
      </c>
      <c r="H673">
        <v>0.68</v>
      </c>
      <c r="I673">
        <v>488.73</v>
      </c>
      <c r="J673">
        <v>24.7</v>
      </c>
      <c r="K673">
        <v>3.67</v>
      </c>
      <c r="L673">
        <v>1.2</v>
      </c>
    </row>
    <row r="674" spans="1:12" x14ac:dyDescent="0.3">
      <c r="A674" s="1">
        <v>45187</v>
      </c>
      <c r="B674">
        <v>67665.58</v>
      </c>
      <c r="C674">
        <v>67803.149999999994</v>
      </c>
      <c r="D674">
        <v>67532.83</v>
      </c>
      <c r="E674">
        <v>67596.84</v>
      </c>
      <c r="F674">
        <v>-241.79</v>
      </c>
      <c r="G674">
        <v>-0.36</v>
      </c>
      <c r="H674">
        <v>1.03</v>
      </c>
      <c r="I674">
        <v>580.91</v>
      </c>
      <c r="J674">
        <v>24.74</v>
      </c>
      <c r="K674">
        <v>3.67</v>
      </c>
      <c r="L674">
        <v>1.21</v>
      </c>
    </row>
    <row r="675" spans="1:12" x14ac:dyDescent="0.3">
      <c r="A675" s="1">
        <v>45189</v>
      </c>
      <c r="B675">
        <v>67080.179999999993</v>
      </c>
      <c r="C675">
        <v>67294.16</v>
      </c>
      <c r="D675">
        <v>66728.14</v>
      </c>
      <c r="E675">
        <v>66800.84</v>
      </c>
      <c r="F675">
        <v>-796</v>
      </c>
      <c r="G675">
        <v>-1.18</v>
      </c>
      <c r="H675">
        <v>1.34</v>
      </c>
      <c r="I675">
        <v>1355.97</v>
      </c>
      <c r="J675">
        <v>24.5</v>
      </c>
      <c r="K675">
        <v>3.64</v>
      </c>
      <c r="L675">
        <v>1.22</v>
      </c>
    </row>
    <row r="676" spans="1:12" x14ac:dyDescent="0.3">
      <c r="A676" s="1">
        <v>45190</v>
      </c>
      <c r="B676">
        <v>66608.67</v>
      </c>
      <c r="C676">
        <v>66608.67</v>
      </c>
      <c r="D676">
        <v>66128.710000000006</v>
      </c>
      <c r="E676">
        <v>66230.240000000005</v>
      </c>
      <c r="F676">
        <v>-570.6</v>
      </c>
      <c r="G676">
        <v>-0.85</v>
      </c>
      <c r="H676">
        <v>0.84</v>
      </c>
      <c r="I676">
        <v>725.1</v>
      </c>
      <c r="J676">
        <v>24.31</v>
      </c>
      <c r="K676">
        <v>3.61</v>
      </c>
      <c r="L676">
        <v>1.23</v>
      </c>
    </row>
    <row r="677" spans="1:12" x14ac:dyDescent="0.3">
      <c r="A677" s="1">
        <v>45191</v>
      </c>
      <c r="B677">
        <v>66215.039999999994</v>
      </c>
      <c r="C677">
        <v>66445.47</v>
      </c>
      <c r="D677">
        <v>65952.83</v>
      </c>
      <c r="E677">
        <v>66009.149999999994</v>
      </c>
      <c r="F677">
        <v>-221.09</v>
      </c>
      <c r="G677">
        <v>-0.33</v>
      </c>
      <c r="H677">
        <v>0.83</v>
      </c>
      <c r="I677">
        <v>717.89</v>
      </c>
      <c r="J677">
        <v>24.23</v>
      </c>
      <c r="K677">
        <v>3.6</v>
      </c>
      <c r="L677">
        <v>1.23</v>
      </c>
    </row>
    <row r="678" spans="1:12" x14ac:dyDescent="0.3">
      <c r="A678" s="1">
        <v>45194</v>
      </c>
      <c r="B678">
        <v>66082.990000000005</v>
      </c>
      <c r="C678">
        <v>66225.63</v>
      </c>
      <c r="D678">
        <v>65764.03</v>
      </c>
      <c r="E678">
        <v>66023.69</v>
      </c>
      <c r="F678">
        <v>14.54</v>
      </c>
      <c r="G678">
        <v>0.02</v>
      </c>
      <c r="H678">
        <v>0.68</v>
      </c>
      <c r="I678">
        <v>641.87</v>
      </c>
      <c r="J678">
        <v>24.17</v>
      </c>
      <c r="K678">
        <v>3.59</v>
      </c>
      <c r="L678">
        <v>1.24</v>
      </c>
    </row>
    <row r="679" spans="1:12" x14ac:dyDescent="0.3">
      <c r="A679" s="1">
        <v>45195</v>
      </c>
      <c r="B679">
        <v>66071.63</v>
      </c>
      <c r="C679">
        <v>66078.259999999995</v>
      </c>
      <c r="D679">
        <v>65865.63</v>
      </c>
      <c r="E679">
        <v>65945.47</v>
      </c>
      <c r="F679">
        <v>-78.22</v>
      </c>
      <c r="G679">
        <v>-0.12</v>
      </c>
      <c r="H679">
        <v>0.65</v>
      </c>
      <c r="I679">
        <v>562.41</v>
      </c>
      <c r="J679">
        <v>24.11</v>
      </c>
      <c r="K679">
        <v>3.58</v>
      </c>
      <c r="L679">
        <v>1.24</v>
      </c>
    </row>
    <row r="680" spans="1:12" x14ac:dyDescent="0.3">
      <c r="A680" s="1">
        <v>45196</v>
      </c>
      <c r="B680">
        <v>65925.64</v>
      </c>
      <c r="C680">
        <v>66172.27</v>
      </c>
      <c r="D680">
        <v>65549.960000000006</v>
      </c>
      <c r="E680">
        <v>66118.69</v>
      </c>
      <c r="F680">
        <v>173.22</v>
      </c>
      <c r="G680">
        <v>0.26</v>
      </c>
      <c r="H680">
        <v>0.54</v>
      </c>
      <c r="I680">
        <v>571.91999999999996</v>
      </c>
      <c r="J680">
        <v>24.19</v>
      </c>
      <c r="K680">
        <v>3.59</v>
      </c>
      <c r="L680">
        <v>1.23</v>
      </c>
    </row>
    <row r="681" spans="1:12" x14ac:dyDescent="0.3">
      <c r="A681" s="1">
        <v>45197</v>
      </c>
      <c r="B681">
        <v>66406.009999999995</v>
      </c>
      <c r="C681">
        <v>66406.009999999995</v>
      </c>
      <c r="D681">
        <v>65423.39</v>
      </c>
      <c r="E681">
        <v>65508.32</v>
      </c>
      <c r="F681">
        <v>-610.37</v>
      </c>
      <c r="G681">
        <v>-0.92</v>
      </c>
      <c r="H681">
        <v>0.78</v>
      </c>
      <c r="I681">
        <v>734</v>
      </c>
      <c r="J681">
        <v>24.02</v>
      </c>
      <c r="K681">
        <v>3.57</v>
      </c>
      <c r="L681">
        <v>1.24</v>
      </c>
    </row>
    <row r="682" spans="1:12" x14ac:dyDescent="0.3">
      <c r="A682" s="1">
        <v>45198</v>
      </c>
      <c r="B682">
        <v>65743.929999999993</v>
      </c>
      <c r="C682">
        <v>66151.649999999994</v>
      </c>
      <c r="D682">
        <v>65570.38</v>
      </c>
      <c r="E682">
        <v>65828.41</v>
      </c>
      <c r="F682">
        <v>320.08999999999997</v>
      </c>
      <c r="G682">
        <v>0.49</v>
      </c>
      <c r="H682">
        <v>0.84</v>
      </c>
      <c r="I682">
        <v>578.39</v>
      </c>
      <c r="J682">
        <v>24.16</v>
      </c>
      <c r="K682">
        <v>3.59</v>
      </c>
      <c r="L682">
        <v>1.24</v>
      </c>
    </row>
    <row r="683" spans="1:12" x14ac:dyDescent="0.3">
      <c r="A683" s="1">
        <v>45202</v>
      </c>
      <c r="B683">
        <v>65813.42</v>
      </c>
      <c r="C683">
        <v>65813.5</v>
      </c>
      <c r="D683">
        <v>65344.59</v>
      </c>
      <c r="E683">
        <v>65512.1</v>
      </c>
      <c r="F683">
        <v>-316.31</v>
      </c>
      <c r="G683">
        <v>-0.48</v>
      </c>
      <c r="H683">
        <v>0.86</v>
      </c>
      <c r="I683">
        <v>645.98</v>
      </c>
      <c r="J683">
        <v>23.99</v>
      </c>
      <c r="K683">
        <v>3.56</v>
      </c>
      <c r="L683">
        <v>1.25</v>
      </c>
    </row>
    <row r="684" spans="1:12" x14ac:dyDescent="0.3">
      <c r="A684" s="1">
        <v>45203</v>
      </c>
      <c r="B684">
        <v>65330.65</v>
      </c>
      <c r="C684">
        <v>65332.52</v>
      </c>
      <c r="D684">
        <v>64878.77</v>
      </c>
      <c r="E684">
        <v>65226.04</v>
      </c>
      <c r="F684">
        <v>-286.06</v>
      </c>
      <c r="G684">
        <v>-0.44</v>
      </c>
      <c r="H684">
        <v>0.86</v>
      </c>
      <c r="I684">
        <v>809.78</v>
      </c>
      <c r="J684">
        <v>23.89</v>
      </c>
      <c r="K684">
        <v>3.55</v>
      </c>
      <c r="L684">
        <v>1.25</v>
      </c>
    </row>
    <row r="685" spans="1:12" x14ac:dyDescent="0.3">
      <c r="A685" s="1">
        <v>45204</v>
      </c>
      <c r="B685">
        <v>65598.259999999995</v>
      </c>
      <c r="C685">
        <v>65753.2</v>
      </c>
      <c r="D685">
        <v>65443.34</v>
      </c>
      <c r="E685">
        <v>65631.570000000007</v>
      </c>
      <c r="F685">
        <v>405.53</v>
      </c>
      <c r="G685">
        <v>0.62</v>
      </c>
      <c r="H685">
        <v>0.8</v>
      </c>
      <c r="I685">
        <v>666.36</v>
      </c>
      <c r="J685">
        <v>24.04</v>
      </c>
      <c r="K685">
        <v>3.57</v>
      </c>
      <c r="L685">
        <v>1.24</v>
      </c>
    </row>
    <row r="686" spans="1:12" x14ac:dyDescent="0.3">
      <c r="A686" s="1">
        <v>45205</v>
      </c>
      <c r="B686">
        <v>65867.539999999994</v>
      </c>
      <c r="C686">
        <v>66095.81</v>
      </c>
      <c r="D686">
        <v>65762.33</v>
      </c>
      <c r="E686">
        <v>65995.63</v>
      </c>
      <c r="F686">
        <v>364.06</v>
      </c>
      <c r="G686">
        <v>0.55000000000000004</v>
      </c>
      <c r="H686">
        <v>1.02</v>
      </c>
      <c r="I686">
        <v>1007</v>
      </c>
      <c r="J686">
        <v>24.18</v>
      </c>
      <c r="K686">
        <v>3.59</v>
      </c>
      <c r="L686">
        <v>1.24</v>
      </c>
    </row>
    <row r="687" spans="1:12" x14ac:dyDescent="0.3">
      <c r="A687" s="1">
        <v>45208</v>
      </c>
      <c r="B687">
        <v>65560.070000000007</v>
      </c>
      <c r="C687">
        <v>65789.98</v>
      </c>
      <c r="D687">
        <v>65434.61</v>
      </c>
      <c r="E687">
        <v>65512.39</v>
      </c>
      <c r="F687">
        <v>-483.24</v>
      </c>
      <c r="G687">
        <v>-0.73</v>
      </c>
      <c r="H687">
        <v>0.73</v>
      </c>
      <c r="I687">
        <v>476.53</v>
      </c>
      <c r="J687">
        <v>23.96</v>
      </c>
      <c r="K687">
        <v>3.56</v>
      </c>
      <c r="L687">
        <v>1.24</v>
      </c>
    </row>
    <row r="688" spans="1:12" x14ac:dyDescent="0.3">
      <c r="A688" s="1">
        <v>45209</v>
      </c>
      <c r="B688">
        <v>65662.27</v>
      </c>
      <c r="C688">
        <v>66180.17</v>
      </c>
      <c r="D688">
        <v>65662.27</v>
      </c>
      <c r="E688">
        <v>66079.360000000001</v>
      </c>
      <c r="F688">
        <v>566.97</v>
      </c>
      <c r="G688">
        <v>0.87</v>
      </c>
      <c r="H688">
        <v>0.51</v>
      </c>
      <c r="I688">
        <v>338.41</v>
      </c>
      <c r="J688">
        <v>24.17</v>
      </c>
      <c r="K688">
        <v>3.59</v>
      </c>
      <c r="L688">
        <v>1.23</v>
      </c>
    </row>
    <row r="689" spans="1:12" x14ac:dyDescent="0.3">
      <c r="A689" s="1">
        <v>45210</v>
      </c>
      <c r="B689">
        <v>66376.42</v>
      </c>
      <c r="C689">
        <v>66592.160000000003</v>
      </c>
      <c r="D689">
        <v>66299.789999999994</v>
      </c>
      <c r="E689">
        <v>66473.05</v>
      </c>
      <c r="F689">
        <v>393.69</v>
      </c>
      <c r="G689">
        <v>0.6</v>
      </c>
      <c r="H689">
        <v>1.68</v>
      </c>
      <c r="I689">
        <v>2494.36</v>
      </c>
      <c r="J689">
        <v>24.38</v>
      </c>
      <c r="K689">
        <v>3.62</v>
      </c>
      <c r="L689">
        <v>1.22</v>
      </c>
    </row>
    <row r="690" spans="1:12" x14ac:dyDescent="0.3">
      <c r="A690" s="1">
        <v>45211</v>
      </c>
      <c r="B690">
        <v>66564.570000000007</v>
      </c>
      <c r="C690">
        <v>66577.600000000006</v>
      </c>
      <c r="D690">
        <v>66339.42</v>
      </c>
      <c r="E690">
        <v>66408.39</v>
      </c>
      <c r="F690">
        <v>-64.66</v>
      </c>
      <c r="G690">
        <v>-0.1</v>
      </c>
      <c r="H690">
        <v>0.71</v>
      </c>
      <c r="I690">
        <v>588.54999999999995</v>
      </c>
      <c r="J690">
        <v>24.33</v>
      </c>
      <c r="K690">
        <v>3.61</v>
      </c>
      <c r="L690">
        <v>1.23</v>
      </c>
    </row>
    <row r="691" spans="1:12" x14ac:dyDescent="0.3">
      <c r="A691" s="1">
        <v>45212</v>
      </c>
      <c r="B691">
        <v>66034.210000000006</v>
      </c>
      <c r="C691">
        <v>66478.899999999994</v>
      </c>
      <c r="D691">
        <v>65895.41</v>
      </c>
      <c r="E691">
        <v>66282.740000000005</v>
      </c>
      <c r="F691">
        <v>-125.65</v>
      </c>
      <c r="G691">
        <v>-0.19</v>
      </c>
      <c r="H691">
        <v>1.34</v>
      </c>
      <c r="I691">
        <v>1549.84</v>
      </c>
      <c r="J691">
        <v>24.25</v>
      </c>
      <c r="K691">
        <v>3.6</v>
      </c>
      <c r="L691">
        <v>1.23</v>
      </c>
    </row>
    <row r="692" spans="1:12" x14ac:dyDescent="0.3">
      <c r="A692" s="1">
        <v>45215</v>
      </c>
      <c r="B692">
        <v>66238.149999999994</v>
      </c>
      <c r="C692">
        <v>66342.75</v>
      </c>
      <c r="D692">
        <v>66039.38</v>
      </c>
      <c r="E692">
        <v>66166.929999999993</v>
      </c>
      <c r="F692">
        <v>-115.81</v>
      </c>
      <c r="G692">
        <v>-0.17</v>
      </c>
      <c r="H692">
        <v>0.66</v>
      </c>
      <c r="I692">
        <v>543.69000000000005</v>
      </c>
      <c r="J692">
        <v>24.21</v>
      </c>
      <c r="K692">
        <v>3.59</v>
      </c>
      <c r="L692">
        <v>1.23</v>
      </c>
    </row>
    <row r="693" spans="1:12" x14ac:dyDescent="0.3">
      <c r="A693" s="1">
        <v>45216</v>
      </c>
      <c r="B693">
        <v>66558.149999999994</v>
      </c>
      <c r="C693">
        <v>66559.820000000007</v>
      </c>
      <c r="D693">
        <v>66309.179999999993</v>
      </c>
      <c r="E693">
        <v>66428.09</v>
      </c>
      <c r="F693">
        <v>261.16000000000003</v>
      </c>
      <c r="G693">
        <v>0.39</v>
      </c>
      <c r="H693">
        <v>0.79</v>
      </c>
      <c r="I693">
        <v>582.20000000000005</v>
      </c>
      <c r="J693">
        <v>24.32</v>
      </c>
      <c r="K693">
        <v>3.6</v>
      </c>
      <c r="L693">
        <v>1.23</v>
      </c>
    </row>
    <row r="694" spans="1:12" x14ac:dyDescent="0.3">
      <c r="A694" s="1">
        <v>45217</v>
      </c>
      <c r="B694">
        <v>66473.740000000005</v>
      </c>
      <c r="C694">
        <v>66475.27</v>
      </c>
      <c r="D694">
        <v>65842.100000000006</v>
      </c>
      <c r="E694">
        <v>65877.02</v>
      </c>
      <c r="F694">
        <v>-551.07000000000005</v>
      </c>
      <c r="G694">
        <v>-0.83</v>
      </c>
      <c r="H694">
        <v>0.71</v>
      </c>
      <c r="I694">
        <v>549.35</v>
      </c>
      <c r="J694">
        <v>23.65</v>
      </c>
      <c r="K694">
        <v>3.38</v>
      </c>
      <c r="L694">
        <v>1.23</v>
      </c>
    </row>
    <row r="695" spans="1:12" x14ac:dyDescent="0.3">
      <c r="A695" s="1">
        <v>45218</v>
      </c>
      <c r="B695">
        <v>65484.61</v>
      </c>
      <c r="C695">
        <v>65869.649999999994</v>
      </c>
      <c r="D695">
        <v>65343.5</v>
      </c>
      <c r="E695">
        <v>65629.240000000005</v>
      </c>
      <c r="F695">
        <v>-247.78</v>
      </c>
      <c r="G695">
        <v>-0.38</v>
      </c>
      <c r="H695">
        <v>1.1000000000000001</v>
      </c>
      <c r="I695">
        <v>1342.38</v>
      </c>
      <c r="J695">
        <v>23.55</v>
      </c>
      <c r="K695">
        <v>3.37</v>
      </c>
      <c r="L695">
        <v>1.24</v>
      </c>
    </row>
    <row r="696" spans="1:12" x14ac:dyDescent="0.3">
      <c r="A696" s="1">
        <v>45219</v>
      </c>
      <c r="B696">
        <v>65437.07</v>
      </c>
      <c r="C696">
        <v>65555.14</v>
      </c>
      <c r="D696">
        <v>65308.61</v>
      </c>
      <c r="E696">
        <v>65397.62</v>
      </c>
      <c r="F696">
        <v>-231.62</v>
      </c>
      <c r="G696">
        <v>-0.35</v>
      </c>
      <c r="H696">
        <v>1.43</v>
      </c>
      <c r="I696">
        <v>1778.68</v>
      </c>
      <c r="J696">
        <v>23.52</v>
      </c>
      <c r="K696">
        <v>3.36</v>
      </c>
      <c r="L696">
        <v>1.24</v>
      </c>
    </row>
    <row r="697" spans="1:12" x14ac:dyDescent="0.3">
      <c r="A697" s="1">
        <v>45222</v>
      </c>
      <c r="B697">
        <v>65419.02</v>
      </c>
      <c r="C697">
        <v>65453.919999999998</v>
      </c>
      <c r="D697">
        <v>64502.68</v>
      </c>
      <c r="E697">
        <v>64571.88</v>
      </c>
      <c r="F697">
        <v>-825.74</v>
      </c>
      <c r="G697">
        <v>-1.26</v>
      </c>
      <c r="H697">
        <v>0.68</v>
      </c>
      <c r="I697">
        <v>457.6</v>
      </c>
      <c r="J697">
        <v>22.78</v>
      </c>
      <c r="K697">
        <v>3.29</v>
      </c>
      <c r="L697">
        <v>1.26</v>
      </c>
    </row>
    <row r="698" spans="1:12" x14ac:dyDescent="0.3">
      <c r="A698" s="1">
        <v>45224</v>
      </c>
      <c r="B698">
        <v>64619.27</v>
      </c>
      <c r="C698">
        <v>64787.08</v>
      </c>
      <c r="D698">
        <v>63912.160000000003</v>
      </c>
      <c r="E698">
        <v>64049.06</v>
      </c>
      <c r="F698">
        <v>-522.82000000000005</v>
      </c>
      <c r="G698">
        <v>-0.81</v>
      </c>
      <c r="H698">
        <v>0.71</v>
      </c>
      <c r="I698">
        <v>492.77</v>
      </c>
      <c r="J698">
        <v>22.55</v>
      </c>
      <c r="K698">
        <v>3.25</v>
      </c>
      <c r="L698">
        <v>1.27</v>
      </c>
    </row>
    <row r="699" spans="1:12" x14ac:dyDescent="0.3">
      <c r="A699" s="1">
        <v>45225</v>
      </c>
      <c r="B699">
        <v>63774.16</v>
      </c>
      <c r="C699">
        <v>63774.16</v>
      </c>
      <c r="D699">
        <v>63092.98</v>
      </c>
      <c r="E699">
        <v>63148.15</v>
      </c>
      <c r="F699">
        <v>-900.91</v>
      </c>
      <c r="G699">
        <v>-1.41</v>
      </c>
      <c r="H699">
        <v>1.29</v>
      </c>
      <c r="I699">
        <v>1281.17</v>
      </c>
      <c r="J699">
        <v>22.22</v>
      </c>
      <c r="K699">
        <v>3.21</v>
      </c>
      <c r="L699">
        <v>1.29</v>
      </c>
    </row>
    <row r="700" spans="1:12" x14ac:dyDescent="0.3">
      <c r="A700" s="1">
        <v>45226</v>
      </c>
      <c r="B700">
        <v>63559.32</v>
      </c>
      <c r="C700">
        <v>63913.13</v>
      </c>
      <c r="D700">
        <v>63393.37</v>
      </c>
      <c r="E700">
        <v>63782.8</v>
      </c>
      <c r="F700">
        <v>634.65</v>
      </c>
      <c r="G700">
        <v>1.01</v>
      </c>
      <c r="H700">
        <v>1.26</v>
      </c>
      <c r="I700">
        <v>1252.4100000000001</v>
      </c>
      <c r="J700">
        <v>22.47</v>
      </c>
      <c r="K700">
        <v>3.24</v>
      </c>
      <c r="L700">
        <v>1.28</v>
      </c>
    </row>
    <row r="701" spans="1:12" x14ac:dyDescent="0.3">
      <c r="A701" s="1">
        <v>45229</v>
      </c>
      <c r="B701">
        <v>63885.56</v>
      </c>
      <c r="C701">
        <v>64184.58</v>
      </c>
      <c r="D701">
        <v>63431.45</v>
      </c>
      <c r="E701">
        <v>64112.65</v>
      </c>
      <c r="F701">
        <v>329.85</v>
      </c>
      <c r="G701">
        <v>0.52</v>
      </c>
      <c r="H701">
        <v>0.56000000000000005</v>
      </c>
      <c r="I701">
        <v>439.9</v>
      </c>
      <c r="J701">
        <v>22.48</v>
      </c>
      <c r="K701">
        <v>3.31</v>
      </c>
      <c r="L701">
        <v>1.27</v>
      </c>
    </row>
    <row r="702" spans="1:12" x14ac:dyDescent="0.3">
      <c r="A702" s="1">
        <v>45230</v>
      </c>
      <c r="B702">
        <v>64449.65</v>
      </c>
      <c r="C702">
        <v>64452.32</v>
      </c>
      <c r="D702">
        <v>63812.53</v>
      </c>
      <c r="E702">
        <v>63874.93</v>
      </c>
      <c r="F702">
        <v>-237.72</v>
      </c>
      <c r="G702">
        <v>-0.37</v>
      </c>
      <c r="H702">
        <v>1.5</v>
      </c>
      <c r="I702">
        <v>535.16999999999996</v>
      </c>
      <c r="J702">
        <v>22.35</v>
      </c>
      <c r="K702">
        <v>3.29</v>
      </c>
      <c r="L702">
        <v>1.25</v>
      </c>
    </row>
    <row r="703" spans="1:12" x14ac:dyDescent="0.3">
      <c r="A703" s="1">
        <v>45231</v>
      </c>
      <c r="B703">
        <v>63829.87</v>
      </c>
      <c r="C703">
        <v>63896.05</v>
      </c>
      <c r="D703">
        <v>63550.46</v>
      </c>
      <c r="E703">
        <v>63591.33</v>
      </c>
      <c r="F703">
        <v>-283.60000000000002</v>
      </c>
      <c r="G703">
        <v>-0.44</v>
      </c>
      <c r="H703">
        <v>0.61</v>
      </c>
      <c r="I703">
        <v>457.72</v>
      </c>
      <c r="J703">
        <v>22.22</v>
      </c>
      <c r="K703">
        <v>3.27</v>
      </c>
      <c r="L703">
        <v>1.26</v>
      </c>
    </row>
    <row r="704" spans="1:12" x14ac:dyDescent="0.3">
      <c r="A704" s="1">
        <v>45232</v>
      </c>
      <c r="B704">
        <v>64033.4</v>
      </c>
      <c r="C704">
        <v>64202.64</v>
      </c>
      <c r="D704">
        <v>63815.35</v>
      </c>
      <c r="E704">
        <v>64080.9</v>
      </c>
      <c r="F704">
        <v>489.57</v>
      </c>
      <c r="G704">
        <v>0.77</v>
      </c>
      <c r="H704">
        <v>0.64</v>
      </c>
      <c r="I704">
        <v>344.15</v>
      </c>
      <c r="J704">
        <v>22.43</v>
      </c>
      <c r="K704">
        <v>3.3</v>
      </c>
      <c r="L704">
        <v>1.26</v>
      </c>
    </row>
    <row r="705" spans="1:12" x14ac:dyDescent="0.3">
      <c r="A705" s="1">
        <v>45233</v>
      </c>
      <c r="B705">
        <v>64444.9</v>
      </c>
      <c r="C705">
        <v>64535.19</v>
      </c>
      <c r="D705">
        <v>64275.39</v>
      </c>
      <c r="E705">
        <v>64363.78</v>
      </c>
      <c r="F705">
        <v>282.88</v>
      </c>
      <c r="G705">
        <v>0.44</v>
      </c>
      <c r="H705">
        <v>1.61</v>
      </c>
      <c r="I705">
        <v>1403.08</v>
      </c>
      <c r="J705">
        <v>22.45</v>
      </c>
      <c r="K705">
        <v>3.32</v>
      </c>
      <c r="L705">
        <v>1.26</v>
      </c>
    </row>
    <row r="706" spans="1:12" x14ac:dyDescent="0.3">
      <c r="A706" s="1">
        <v>45236</v>
      </c>
      <c r="B706">
        <v>64835.23</v>
      </c>
      <c r="C706">
        <v>64992.54</v>
      </c>
      <c r="D706">
        <v>64617.48</v>
      </c>
      <c r="E706">
        <v>64958.69</v>
      </c>
      <c r="F706">
        <v>594.91</v>
      </c>
      <c r="G706">
        <v>0.92</v>
      </c>
      <c r="H706">
        <v>0.81</v>
      </c>
      <c r="I706">
        <v>584.55999999999995</v>
      </c>
      <c r="J706">
        <v>23</v>
      </c>
      <c r="K706">
        <v>3.36</v>
      </c>
      <c r="L706">
        <v>1.24</v>
      </c>
    </row>
    <row r="707" spans="1:12" x14ac:dyDescent="0.3">
      <c r="A707" s="1">
        <v>45237</v>
      </c>
      <c r="B707">
        <v>65021.29</v>
      </c>
      <c r="C707">
        <v>65021.29</v>
      </c>
      <c r="D707">
        <v>64638.1</v>
      </c>
      <c r="E707">
        <v>64942.400000000001</v>
      </c>
      <c r="F707">
        <v>-16.29</v>
      </c>
      <c r="G707">
        <v>-0.03</v>
      </c>
      <c r="H707">
        <v>0.77</v>
      </c>
      <c r="I707">
        <v>530.20000000000005</v>
      </c>
      <c r="J707">
        <v>22.94</v>
      </c>
      <c r="K707">
        <v>3.35</v>
      </c>
      <c r="L707">
        <v>1.24</v>
      </c>
    </row>
    <row r="708" spans="1:12" x14ac:dyDescent="0.3">
      <c r="A708" s="1">
        <v>45238</v>
      </c>
      <c r="B708">
        <v>65101.95</v>
      </c>
      <c r="C708">
        <v>65124</v>
      </c>
      <c r="D708">
        <v>64851.06</v>
      </c>
      <c r="E708">
        <v>64975.61</v>
      </c>
      <c r="F708">
        <v>33.21</v>
      </c>
      <c r="G708">
        <v>0.05</v>
      </c>
      <c r="H708">
        <v>0.64</v>
      </c>
      <c r="I708">
        <v>523.35</v>
      </c>
      <c r="J708">
        <v>22.98</v>
      </c>
      <c r="K708">
        <v>3.35</v>
      </c>
      <c r="L708">
        <v>1.24</v>
      </c>
    </row>
    <row r="709" spans="1:12" x14ac:dyDescent="0.3">
      <c r="A709" s="1">
        <v>45239</v>
      </c>
      <c r="B709">
        <v>65025.32</v>
      </c>
      <c r="C709">
        <v>65046.559999999998</v>
      </c>
      <c r="D709">
        <v>64768.76</v>
      </c>
      <c r="E709">
        <v>64832.2</v>
      </c>
      <c r="F709">
        <v>-143.41</v>
      </c>
      <c r="G709">
        <v>-0.22</v>
      </c>
      <c r="H709">
        <v>1.1599999999999999</v>
      </c>
      <c r="I709">
        <v>594.28</v>
      </c>
      <c r="J709">
        <v>22.92</v>
      </c>
      <c r="K709">
        <v>3.34</v>
      </c>
      <c r="L709">
        <v>1.24</v>
      </c>
    </row>
    <row r="710" spans="1:12" x14ac:dyDescent="0.3">
      <c r="A710" s="1">
        <v>45240</v>
      </c>
      <c r="B710">
        <v>64756.11</v>
      </c>
      <c r="C710">
        <v>65014.06</v>
      </c>
      <c r="D710">
        <v>64580.95</v>
      </c>
      <c r="E710">
        <v>64904.68</v>
      </c>
      <c r="F710">
        <v>72.48</v>
      </c>
      <c r="G710">
        <v>0.11</v>
      </c>
      <c r="H710">
        <v>1.1100000000000001</v>
      </c>
      <c r="I710">
        <v>987.04</v>
      </c>
      <c r="J710">
        <v>22.91</v>
      </c>
      <c r="K710">
        <v>3.34</v>
      </c>
      <c r="L710">
        <v>1.24</v>
      </c>
    </row>
    <row r="711" spans="1:12" x14ac:dyDescent="0.3">
      <c r="A711" s="1">
        <v>45242</v>
      </c>
      <c r="B711">
        <v>65418.98</v>
      </c>
      <c r="C711">
        <v>65418.98</v>
      </c>
      <c r="D711">
        <v>65218.6</v>
      </c>
      <c r="E711">
        <v>65259.45</v>
      </c>
      <c r="F711">
        <v>354.77</v>
      </c>
      <c r="G711">
        <v>0.55000000000000004</v>
      </c>
      <c r="H711">
        <v>0.17</v>
      </c>
      <c r="I711">
        <v>99.66</v>
      </c>
      <c r="J711">
        <v>23.09</v>
      </c>
      <c r="K711">
        <v>3.36</v>
      </c>
      <c r="L711">
        <v>1.24</v>
      </c>
    </row>
    <row r="712" spans="1:12" x14ac:dyDescent="0.3">
      <c r="A712" s="1">
        <v>45243</v>
      </c>
      <c r="B712">
        <v>65158.31</v>
      </c>
      <c r="C712">
        <v>65176.959999999999</v>
      </c>
      <c r="D712">
        <v>64853.36</v>
      </c>
      <c r="E712">
        <v>64933.87</v>
      </c>
      <c r="F712">
        <v>-325.58</v>
      </c>
      <c r="G712">
        <v>-0.5</v>
      </c>
      <c r="H712">
        <v>0.77</v>
      </c>
      <c r="I712">
        <v>628.80999999999995</v>
      </c>
      <c r="J712">
        <v>23</v>
      </c>
      <c r="K712">
        <v>3.34</v>
      </c>
      <c r="L712">
        <v>1.24</v>
      </c>
    </row>
    <row r="713" spans="1:12" x14ac:dyDescent="0.3">
      <c r="A713" s="1">
        <v>45245</v>
      </c>
      <c r="B713">
        <v>65461.54</v>
      </c>
      <c r="C713">
        <v>65747.649999999994</v>
      </c>
      <c r="D713">
        <v>65373.5</v>
      </c>
      <c r="E713">
        <v>65675.929999999993</v>
      </c>
      <c r="F713">
        <v>742.06</v>
      </c>
      <c r="G713">
        <v>1.1399999999999999</v>
      </c>
      <c r="H713">
        <v>0.75</v>
      </c>
      <c r="I713">
        <v>625.45000000000005</v>
      </c>
      <c r="J713">
        <v>23.27</v>
      </c>
      <c r="K713">
        <v>3.38</v>
      </c>
      <c r="L713">
        <v>1.23</v>
      </c>
    </row>
    <row r="714" spans="1:12" x14ac:dyDescent="0.3">
      <c r="A714" s="1">
        <v>45246</v>
      </c>
      <c r="B714">
        <v>65665.87</v>
      </c>
      <c r="C714">
        <v>66358.37</v>
      </c>
      <c r="D714">
        <v>65507.02</v>
      </c>
      <c r="E714">
        <v>65982.48</v>
      </c>
      <c r="F714">
        <v>306.55</v>
      </c>
      <c r="G714">
        <v>0.47</v>
      </c>
      <c r="H714">
        <v>1.1599999999999999</v>
      </c>
      <c r="I714">
        <v>1200.78</v>
      </c>
      <c r="J714">
        <v>23.3</v>
      </c>
      <c r="K714">
        <v>3.39</v>
      </c>
      <c r="L714">
        <v>1.22</v>
      </c>
    </row>
    <row r="715" spans="1:12" x14ac:dyDescent="0.3">
      <c r="A715" s="1">
        <v>45247</v>
      </c>
      <c r="B715">
        <v>65788.789999999994</v>
      </c>
      <c r="C715">
        <v>66037.69</v>
      </c>
      <c r="D715">
        <v>65639.740000000005</v>
      </c>
      <c r="E715">
        <v>65794.73</v>
      </c>
      <c r="F715">
        <v>-187.75</v>
      </c>
      <c r="G715">
        <v>-0.28000000000000003</v>
      </c>
      <c r="H715">
        <v>1.0900000000000001</v>
      </c>
      <c r="I715">
        <v>1039.25</v>
      </c>
      <c r="J715">
        <v>23.29</v>
      </c>
      <c r="K715">
        <v>3.39</v>
      </c>
      <c r="L715">
        <v>1.21</v>
      </c>
    </row>
    <row r="716" spans="1:12" x14ac:dyDescent="0.3">
      <c r="A716" s="1">
        <v>45250</v>
      </c>
      <c r="B716">
        <v>65787.509999999995</v>
      </c>
      <c r="C716">
        <v>65844.009999999995</v>
      </c>
      <c r="D716">
        <v>65547.8</v>
      </c>
      <c r="E716">
        <v>65655.149999999994</v>
      </c>
      <c r="F716">
        <v>-139.58000000000001</v>
      </c>
      <c r="G716">
        <v>-0.21</v>
      </c>
      <c r="H716">
        <v>0.72</v>
      </c>
      <c r="I716">
        <v>564.54</v>
      </c>
      <c r="J716">
        <v>23.24</v>
      </c>
      <c r="K716">
        <v>3.38</v>
      </c>
      <c r="L716">
        <v>1.22</v>
      </c>
    </row>
    <row r="717" spans="1:12" x14ac:dyDescent="0.3">
      <c r="A717" s="1">
        <v>45251</v>
      </c>
      <c r="B717">
        <v>65860.460000000006</v>
      </c>
      <c r="C717">
        <v>66082.36</v>
      </c>
      <c r="D717">
        <v>65849.17</v>
      </c>
      <c r="E717">
        <v>65930.77</v>
      </c>
      <c r="F717">
        <v>275.62</v>
      </c>
      <c r="G717">
        <v>0.42</v>
      </c>
      <c r="H717">
        <v>0.54</v>
      </c>
      <c r="I717">
        <v>320</v>
      </c>
      <c r="J717">
        <v>23.33</v>
      </c>
      <c r="K717">
        <v>3.39</v>
      </c>
      <c r="L717">
        <v>1.21</v>
      </c>
    </row>
    <row r="718" spans="1:12" x14ac:dyDescent="0.3">
      <c r="A718" s="1">
        <v>45252</v>
      </c>
      <c r="B718">
        <v>65839.62</v>
      </c>
      <c r="C718">
        <v>66063.429999999993</v>
      </c>
      <c r="D718">
        <v>65664.850000000006</v>
      </c>
      <c r="E718">
        <v>66023.240000000005</v>
      </c>
      <c r="F718">
        <v>92.47</v>
      </c>
      <c r="G718">
        <v>0.14000000000000001</v>
      </c>
      <c r="H718">
        <v>0.43</v>
      </c>
      <c r="I718">
        <v>329.61</v>
      </c>
      <c r="J718">
        <v>23.39</v>
      </c>
      <c r="K718">
        <v>3.4</v>
      </c>
      <c r="L718">
        <v>1.21</v>
      </c>
    </row>
    <row r="719" spans="1:12" x14ac:dyDescent="0.3">
      <c r="A719" s="1">
        <v>45253</v>
      </c>
      <c r="B719">
        <v>66084.37</v>
      </c>
      <c r="C719">
        <v>66235.240000000005</v>
      </c>
      <c r="D719">
        <v>65980.5</v>
      </c>
      <c r="E719">
        <v>66017.81</v>
      </c>
      <c r="F719">
        <v>-5.43</v>
      </c>
      <c r="G719">
        <v>-0.01</v>
      </c>
      <c r="H719">
        <v>0.75</v>
      </c>
      <c r="I719">
        <v>520.62</v>
      </c>
      <c r="J719">
        <v>23.37</v>
      </c>
      <c r="K719">
        <v>3.4</v>
      </c>
      <c r="L719">
        <v>1.21</v>
      </c>
    </row>
    <row r="720" spans="1:12" x14ac:dyDescent="0.3">
      <c r="A720" s="1">
        <v>45254</v>
      </c>
      <c r="B720">
        <v>66000.289999999994</v>
      </c>
      <c r="C720">
        <v>66101.64</v>
      </c>
      <c r="D720">
        <v>65894.05</v>
      </c>
      <c r="E720">
        <v>65970.039999999994</v>
      </c>
      <c r="F720">
        <v>-47.77</v>
      </c>
      <c r="G720">
        <v>-7.0000000000000007E-2</v>
      </c>
      <c r="H720">
        <v>1.08</v>
      </c>
      <c r="I720">
        <v>1229.76</v>
      </c>
      <c r="J720">
        <v>23.36</v>
      </c>
      <c r="K720">
        <v>3.4</v>
      </c>
      <c r="L720">
        <v>1.21</v>
      </c>
    </row>
    <row r="721" spans="1:12" x14ac:dyDescent="0.3">
      <c r="A721" s="1">
        <v>45258</v>
      </c>
      <c r="B721">
        <v>66063.72</v>
      </c>
      <c r="C721">
        <v>66256.2</v>
      </c>
      <c r="D721">
        <v>65906.649999999994</v>
      </c>
      <c r="E721">
        <v>66174.2</v>
      </c>
      <c r="F721">
        <v>204.16</v>
      </c>
      <c r="G721">
        <v>0.31</v>
      </c>
      <c r="H721">
        <v>0.51</v>
      </c>
      <c r="I721">
        <v>435.26</v>
      </c>
      <c r="J721">
        <v>23.44</v>
      </c>
      <c r="K721">
        <v>3.41</v>
      </c>
      <c r="L721">
        <v>1.21</v>
      </c>
    </row>
    <row r="722" spans="1:12" x14ac:dyDescent="0.3">
      <c r="A722" s="1">
        <v>45259</v>
      </c>
      <c r="B722">
        <v>66381.259999999995</v>
      </c>
      <c r="C722">
        <v>66946.28</v>
      </c>
      <c r="D722">
        <v>66374.52</v>
      </c>
      <c r="E722">
        <v>66901.91</v>
      </c>
      <c r="F722">
        <v>727.71</v>
      </c>
      <c r="G722">
        <v>1.1000000000000001</v>
      </c>
      <c r="H722">
        <v>0.83</v>
      </c>
      <c r="I722">
        <v>664.73</v>
      </c>
      <c r="J722">
        <v>23.71</v>
      </c>
      <c r="K722">
        <v>3.45</v>
      </c>
      <c r="L722">
        <v>1.19</v>
      </c>
    </row>
    <row r="723" spans="1:12" x14ac:dyDescent="0.3">
      <c r="A723" s="1">
        <v>45260</v>
      </c>
      <c r="B723">
        <v>66963.199999999997</v>
      </c>
      <c r="C723">
        <v>67069.89</v>
      </c>
      <c r="D723">
        <v>66610.350000000006</v>
      </c>
      <c r="E723">
        <v>66988.44</v>
      </c>
      <c r="F723">
        <v>86.53</v>
      </c>
      <c r="G723">
        <v>0.13</v>
      </c>
      <c r="H723">
        <v>1.1100000000000001</v>
      </c>
      <c r="I723">
        <v>1593.68</v>
      </c>
      <c r="J723">
        <v>23.72</v>
      </c>
      <c r="K723">
        <v>3.45</v>
      </c>
      <c r="L723">
        <v>1.19</v>
      </c>
    </row>
    <row r="724" spans="1:12" x14ac:dyDescent="0.3">
      <c r="A724" s="1">
        <v>45261</v>
      </c>
      <c r="B724">
        <v>67181.149999999994</v>
      </c>
      <c r="C724">
        <v>67564.33</v>
      </c>
      <c r="D724">
        <v>67149.070000000007</v>
      </c>
      <c r="E724">
        <v>67481.19</v>
      </c>
      <c r="F724">
        <v>492.75</v>
      </c>
      <c r="G724">
        <v>0.74</v>
      </c>
      <c r="H724">
        <v>2.17</v>
      </c>
      <c r="I724">
        <v>2337.36</v>
      </c>
      <c r="J724">
        <v>23.91</v>
      </c>
      <c r="K724">
        <v>3.48</v>
      </c>
      <c r="L724">
        <v>1.18</v>
      </c>
    </row>
    <row r="725" spans="1:12" x14ac:dyDescent="0.3">
      <c r="A725" s="1">
        <v>45264</v>
      </c>
      <c r="B725">
        <v>68435.34</v>
      </c>
      <c r="C725">
        <v>68918.22</v>
      </c>
      <c r="D725">
        <v>68274.47</v>
      </c>
      <c r="E725">
        <v>68865.119999999995</v>
      </c>
      <c r="F725">
        <v>1383.93</v>
      </c>
      <c r="G725">
        <v>2.0499999999999998</v>
      </c>
      <c r="H725">
        <v>3.09</v>
      </c>
      <c r="I725">
        <v>3138.99</v>
      </c>
      <c r="J725">
        <v>24.34</v>
      </c>
      <c r="K725">
        <v>3.54</v>
      </c>
      <c r="L725">
        <v>1.1599999999999999</v>
      </c>
    </row>
    <row r="726" spans="1:12" x14ac:dyDescent="0.3">
      <c r="A726" s="1">
        <v>45265</v>
      </c>
      <c r="B726">
        <v>69168.53</v>
      </c>
      <c r="C726">
        <v>69381.31</v>
      </c>
      <c r="D726">
        <v>68954.880000000005</v>
      </c>
      <c r="E726">
        <v>69296.14</v>
      </c>
      <c r="F726">
        <v>431.02</v>
      </c>
      <c r="G726">
        <v>0.63</v>
      </c>
      <c r="H726">
        <v>0.96</v>
      </c>
      <c r="I726">
        <v>806.81</v>
      </c>
      <c r="J726">
        <v>24.49</v>
      </c>
      <c r="K726">
        <v>3.56</v>
      </c>
      <c r="L726">
        <v>1.1499999999999999</v>
      </c>
    </row>
    <row r="727" spans="1:12" x14ac:dyDescent="0.3">
      <c r="A727" s="1">
        <v>45266</v>
      </c>
      <c r="B727">
        <v>69534.929999999993</v>
      </c>
      <c r="C727">
        <v>69744.62</v>
      </c>
      <c r="D727">
        <v>69395.009999999995</v>
      </c>
      <c r="E727">
        <v>69653.73</v>
      </c>
      <c r="F727">
        <v>357.59</v>
      </c>
      <c r="G727">
        <v>0.52</v>
      </c>
      <c r="H727">
        <v>1.04</v>
      </c>
      <c r="I727">
        <v>591.14</v>
      </c>
      <c r="J727">
        <v>24.7</v>
      </c>
      <c r="K727">
        <v>3.59</v>
      </c>
      <c r="L727">
        <v>1.1499999999999999</v>
      </c>
    </row>
    <row r="728" spans="1:12" x14ac:dyDescent="0.3">
      <c r="A728" s="1">
        <v>45267</v>
      </c>
      <c r="B728">
        <v>69694.149999999994</v>
      </c>
      <c r="C728">
        <v>69695.33</v>
      </c>
      <c r="D728">
        <v>69320.53</v>
      </c>
      <c r="E728">
        <v>69521.69</v>
      </c>
      <c r="F728">
        <v>-132.04</v>
      </c>
      <c r="G728">
        <v>-0.19</v>
      </c>
      <c r="H728">
        <v>2.6</v>
      </c>
      <c r="I728">
        <v>2802.18</v>
      </c>
      <c r="J728">
        <v>24.61</v>
      </c>
      <c r="K728">
        <v>3.58</v>
      </c>
      <c r="L728">
        <v>1.1499999999999999</v>
      </c>
    </row>
    <row r="729" spans="1:12" x14ac:dyDescent="0.3">
      <c r="A729" s="1">
        <v>45268</v>
      </c>
      <c r="B729">
        <v>69666.38</v>
      </c>
      <c r="C729">
        <v>69893.8</v>
      </c>
      <c r="D729">
        <v>69506.12</v>
      </c>
      <c r="E729">
        <v>69825.600000000006</v>
      </c>
      <c r="F729">
        <v>303.91000000000003</v>
      </c>
      <c r="G729">
        <v>0.44</v>
      </c>
      <c r="H729">
        <v>1.82</v>
      </c>
      <c r="I729">
        <v>1875.43</v>
      </c>
      <c r="J729">
        <v>24.72</v>
      </c>
      <c r="K729">
        <v>3.6</v>
      </c>
      <c r="L729">
        <v>1.1399999999999999</v>
      </c>
    </row>
    <row r="730" spans="1:12" x14ac:dyDescent="0.3">
      <c r="A730" s="1">
        <v>45271</v>
      </c>
      <c r="B730">
        <v>69925.63</v>
      </c>
      <c r="C730">
        <v>70057.83</v>
      </c>
      <c r="D730">
        <v>69782.48</v>
      </c>
      <c r="E730">
        <v>69928.53</v>
      </c>
      <c r="F730">
        <v>102.93</v>
      </c>
      <c r="G730">
        <v>0.15</v>
      </c>
      <c r="H730">
        <v>1.24</v>
      </c>
      <c r="I730">
        <v>1231.42</v>
      </c>
      <c r="J730">
        <v>24.78</v>
      </c>
      <c r="K730">
        <v>3.61</v>
      </c>
      <c r="L730">
        <v>1.1399999999999999</v>
      </c>
    </row>
    <row r="731" spans="1:12" x14ac:dyDescent="0.3">
      <c r="A731" s="1">
        <v>45272</v>
      </c>
      <c r="B731">
        <v>70020.679999999993</v>
      </c>
      <c r="C731">
        <v>70033.64</v>
      </c>
      <c r="D731">
        <v>69443.850000000006</v>
      </c>
      <c r="E731">
        <v>69551.03</v>
      </c>
      <c r="F731">
        <v>-377.5</v>
      </c>
      <c r="G731">
        <v>-0.54</v>
      </c>
      <c r="H731">
        <v>0.7</v>
      </c>
      <c r="I731">
        <v>588.79</v>
      </c>
      <c r="J731">
        <v>24.65</v>
      </c>
      <c r="K731">
        <v>3.59</v>
      </c>
      <c r="L731">
        <v>1.1499999999999999</v>
      </c>
    </row>
    <row r="732" spans="1:12" x14ac:dyDescent="0.3">
      <c r="A732" s="1">
        <v>45273</v>
      </c>
      <c r="B732">
        <v>69648.56</v>
      </c>
      <c r="C732">
        <v>69657.929999999993</v>
      </c>
      <c r="D732">
        <v>69100.56</v>
      </c>
      <c r="E732">
        <v>69584.600000000006</v>
      </c>
      <c r="F732">
        <v>33.57</v>
      </c>
      <c r="G732">
        <v>0.05</v>
      </c>
      <c r="H732">
        <v>0.71</v>
      </c>
      <c r="I732">
        <v>471.24</v>
      </c>
      <c r="J732">
        <v>24.63</v>
      </c>
      <c r="K732">
        <v>3.58</v>
      </c>
      <c r="L732">
        <v>1.1499999999999999</v>
      </c>
    </row>
    <row r="733" spans="1:12" x14ac:dyDescent="0.3">
      <c r="A733" s="1">
        <v>45274</v>
      </c>
      <c r="B733">
        <v>70146.09</v>
      </c>
      <c r="C733">
        <v>70602.89</v>
      </c>
      <c r="D733">
        <v>70110.75</v>
      </c>
      <c r="E733">
        <v>70514.2</v>
      </c>
      <c r="F733">
        <v>929.6</v>
      </c>
      <c r="G733">
        <v>1.34</v>
      </c>
      <c r="H733">
        <v>1.22</v>
      </c>
      <c r="I733">
        <v>1736.08</v>
      </c>
      <c r="J733">
        <v>24.98</v>
      </c>
      <c r="K733">
        <v>3.63</v>
      </c>
      <c r="L733">
        <v>1.1299999999999999</v>
      </c>
    </row>
    <row r="734" spans="1:12" x14ac:dyDescent="0.3">
      <c r="A734" s="1">
        <v>45275</v>
      </c>
      <c r="B734">
        <v>70804.13</v>
      </c>
      <c r="C734">
        <v>71605.759999999995</v>
      </c>
      <c r="D734">
        <v>70655.97</v>
      </c>
      <c r="E734">
        <v>71483.75</v>
      </c>
      <c r="F734">
        <v>969.55</v>
      </c>
      <c r="G734">
        <v>1.37</v>
      </c>
      <c r="H734">
        <v>2.5099999999999998</v>
      </c>
      <c r="I734">
        <v>1597.48</v>
      </c>
      <c r="J734">
        <v>25.32</v>
      </c>
      <c r="K734">
        <v>3.69</v>
      </c>
      <c r="L734">
        <v>1.1100000000000001</v>
      </c>
    </row>
    <row r="735" spans="1:12" x14ac:dyDescent="0.3">
      <c r="A735" s="1">
        <v>45278</v>
      </c>
      <c r="B735">
        <v>71437.350000000006</v>
      </c>
      <c r="C735">
        <v>71552.240000000005</v>
      </c>
      <c r="D735">
        <v>71142.289999999994</v>
      </c>
      <c r="E735">
        <v>71315.09</v>
      </c>
      <c r="F735">
        <v>-168.66</v>
      </c>
      <c r="G735">
        <v>-0.24</v>
      </c>
      <c r="H735">
        <v>1.25</v>
      </c>
      <c r="I735">
        <v>1107.27</v>
      </c>
      <c r="J735">
        <v>25.25</v>
      </c>
      <c r="K735">
        <v>3.68</v>
      </c>
      <c r="L735">
        <v>1.1200000000000001</v>
      </c>
    </row>
    <row r="736" spans="1:12" x14ac:dyDescent="0.3">
      <c r="A736" s="1">
        <v>45279</v>
      </c>
      <c r="B736">
        <v>71479.28</v>
      </c>
      <c r="C736">
        <v>71623.710000000006</v>
      </c>
      <c r="D736">
        <v>71071.98</v>
      </c>
      <c r="E736">
        <v>71437.19</v>
      </c>
      <c r="F736">
        <v>122.1</v>
      </c>
      <c r="G736">
        <v>0.17</v>
      </c>
      <c r="H736">
        <v>0.86</v>
      </c>
      <c r="I736">
        <v>640.64</v>
      </c>
      <c r="J736">
        <v>25.24</v>
      </c>
      <c r="K736">
        <v>3.68</v>
      </c>
      <c r="L736">
        <v>1.1200000000000001</v>
      </c>
    </row>
    <row r="737" spans="1:12" x14ac:dyDescent="0.3">
      <c r="A737" s="1">
        <v>45280</v>
      </c>
      <c r="B737">
        <v>71647.66</v>
      </c>
      <c r="C737">
        <v>71913.070000000007</v>
      </c>
      <c r="D737">
        <v>70302.600000000006</v>
      </c>
      <c r="E737">
        <v>70506.31</v>
      </c>
      <c r="F737">
        <v>-930.88</v>
      </c>
      <c r="G737">
        <v>-1.3</v>
      </c>
      <c r="H737">
        <v>1.32</v>
      </c>
      <c r="I737">
        <v>987.6</v>
      </c>
      <c r="J737">
        <v>24.93</v>
      </c>
      <c r="K737">
        <v>3.63</v>
      </c>
      <c r="L737">
        <v>1.1299999999999999</v>
      </c>
    </row>
    <row r="738" spans="1:12" x14ac:dyDescent="0.3">
      <c r="A738" s="1">
        <v>45281</v>
      </c>
      <c r="B738">
        <v>69920.89</v>
      </c>
      <c r="C738">
        <v>70958.710000000006</v>
      </c>
      <c r="D738">
        <v>69920.39</v>
      </c>
      <c r="E738">
        <v>70865.100000000006</v>
      </c>
      <c r="F738">
        <v>358.79</v>
      </c>
      <c r="G738">
        <v>0.51</v>
      </c>
      <c r="H738">
        <v>0.88</v>
      </c>
      <c r="I738">
        <v>605.36</v>
      </c>
      <c r="J738">
        <v>25.02</v>
      </c>
      <c r="K738">
        <v>3.65</v>
      </c>
      <c r="L738">
        <v>1.1299999999999999</v>
      </c>
    </row>
    <row r="739" spans="1:12" x14ac:dyDescent="0.3">
      <c r="A739" s="1">
        <v>45282</v>
      </c>
      <c r="B739">
        <v>71045.649999999994</v>
      </c>
      <c r="C739">
        <v>71259.55</v>
      </c>
      <c r="D739">
        <v>70713.56</v>
      </c>
      <c r="E739">
        <v>71106.960000000006</v>
      </c>
      <c r="F739">
        <v>241.86</v>
      </c>
      <c r="G739">
        <v>0.34</v>
      </c>
      <c r="H739">
        <v>1.53</v>
      </c>
      <c r="I739">
        <v>1342.45</v>
      </c>
      <c r="J739">
        <v>25.18</v>
      </c>
      <c r="K739">
        <v>3.67</v>
      </c>
      <c r="L739">
        <v>1.1200000000000001</v>
      </c>
    </row>
    <row r="740" spans="1:12" x14ac:dyDescent="0.3">
      <c r="A740" s="1">
        <v>45286</v>
      </c>
      <c r="B740">
        <v>71097.78</v>
      </c>
      <c r="C740">
        <v>71471.289999999994</v>
      </c>
      <c r="D740">
        <v>71012.08</v>
      </c>
      <c r="E740">
        <v>71336.800000000003</v>
      </c>
      <c r="F740">
        <v>229.84</v>
      </c>
      <c r="G740">
        <v>0.32</v>
      </c>
      <c r="H740">
        <v>0.77</v>
      </c>
      <c r="I740">
        <v>544.78</v>
      </c>
      <c r="J740">
        <v>25.25</v>
      </c>
      <c r="K740">
        <v>3.68</v>
      </c>
      <c r="L740">
        <v>1.1200000000000001</v>
      </c>
    </row>
    <row r="741" spans="1:12" x14ac:dyDescent="0.3">
      <c r="A741" s="1">
        <v>45287</v>
      </c>
      <c r="B741">
        <v>71492.02</v>
      </c>
      <c r="C741">
        <v>72119.850000000006</v>
      </c>
      <c r="D741">
        <v>71473.649999999994</v>
      </c>
      <c r="E741">
        <v>72038.429999999993</v>
      </c>
      <c r="F741">
        <v>701.63</v>
      </c>
      <c r="G741">
        <v>0.98</v>
      </c>
      <c r="H741">
        <v>0.98</v>
      </c>
      <c r="I741">
        <v>674.55</v>
      </c>
      <c r="J741">
        <v>25.44</v>
      </c>
      <c r="K741">
        <v>3.71</v>
      </c>
      <c r="L741">
        <v>1.1100000000000001</v>
      </c>
    </row>
    <row r="742" spans="1:12" x14ac:dyDescent="0.3">
      <c r="A742" s="1">
        <v>45288</v>
      </c>
      <c r="B742">
        <v>72262.67</v>
      </c>
      <c r="C742">
        <v>72484.34</v>
      </c>
      <c r="D742">
        <v>72137.45</v>
      </c>
      <c r="E742">
        <v>72410.38</v>
      </c>
      <c r="F742">
        <v>371.95</v>
      </c>
      <c r="G742">
        <v>0.52</v>
      </c>
      <c r="H742">
        <v>0.78</v>
      </c>
      <c r="I742">
        <v>590.66999999999996</v>
      </c>
      <c r="J742">
        <v>25.62</v>
      </c>
      <c r="K742">
        <v>3.73</v>
      </c>
      <c r="L742">
        <v>1.1000000000000001</v>
      </c>
    </row>
    <row r="743" spans="1:12" x14ac:dyDescent="0.3">
      <c r="A743" s="1">
        <v>45289</v>
      </c>
      <c r="B743">
        <v>72351.59</v>
      </c>
      <c r="C743">
        <v>72417.009999999995</v>
      </c>
      <c r="D743">
        <v>72082.64</v>
      </c>
      <c r="E743">
        <v>72240.259999999995</v>
      </c>
      <c r="F743">
        <v>-170.12</v>
      </c>
      <c r="G743">
        <v>-0.23</v>
      </c>
      <c r="H743">
        <v>1.98</v>
      </c>
      <c r="I743">
        <v>1808.63</v>
      </c>
      <c r="J743">
        <v>25.57</v>
      </c>
      <c r="K743">
        <v>3.73</v>
      </c>
      <c r="L743">
        <v>1.1000000000000001</v>
      </c>
    </row>
    <row r="744" spans="1:12" x14ac:dyDescent="0.3">
      <c r="A744" s="1">
        <v>45292</v>
      </c>
      <c r="B744">
        <v>72218.39</v>
      </c>
      <c r="C744">
        <v>72561.91</v>
      </c>
      <c r="D744">
        <v>72031.23</v>
      </c>
      <c r="E744">
        <v>72271.94</v>
      </c>
      <c r="F744">
        <v>31.68</v>
      </c>
      <c r="G744">
        <v>0.04</v>
      </c>
      <c r="H744">
        <v>0.97</v>
      </c>
      <c r="I744">
        <v>819.55</v>
      </c>
      <c r="J744">
        <v>25.57</v>
      </c>
      <c r="K744">
        <v>3.73</v>
      </c>
      <c r="L744">
        <v>1.1000000000000001</v>
      </c>
    </row>
    <row r="745" spans="1:12" x14ac:dyDescent="0.3">
      <c r="A745" s="1">
        <v>45293</v>
      </c>
      <c r="B745">
        <v>72332.850000000006</v>
      </c>
      <c r="C745">
        <v>72332.850000000006</v>
      </c>
      <c r="D745">
        <v>71613.740000000005</v>
      </c>
      <c r="E745">
        <v>71892.479999999996</v>
      </c>
      <c r="F745">
        <v>-379.46</v>
      </c>
      <c r="G745">
        <v>-0.53</v>
      </c>
      <c r="H745">
        <v>0.95</v>
      </c>
      <c r="I745">
        <v>781.53</v>
      </c>
      <c r="J745">
        <v>25.41</v>
      </c>
      <c r="K745">
        <v>3.7</v>
      </c>
      <c r="L745">
        <v>1.1100000000000001</v>
      </c>
    </row>
    <row r="746" spans="1:12" x14ac:dyDescent="0.3">
      <c r="A746" s="1">
        <v>45294</v>
      </c>
      <c r="B746">
        <v>71832.62</v>
      </c>
      <c r="C746">
        <v>71862</v>
      </c>
      <c r="D746">
        <v>71303.97</v>
      </c>
      <c r="E746">
        <v>71356.600000000006</v>
      </c>
      <c r="F746">
        <v>-535.88</v>
      </c>
      <c r="G746">
        <v>-0.75</v>
      </c>
      <c r="H746">
        <v>1.36</v>
      </c>
      <c r="I746">
        <v>996.29</v>
      </c>
      <c r="J746">
        <v>25.22</v>
      </c>
      <c r="K746">
        <v>3.68</v>
      </c>
      <c r="L746">
        <v>1.1200000000000001</v>
      </c>
    </row>
    <row r="747" spans="1:12" x14ac:dyDescent="0.3">
      <c r="A747" s="1">
        <v>45295</v>
      </c>
      <c r="B747">
        <v>71678.929999999993</v>
      </c>
      <c r="C747">
        <v>71954.789999999994</v>
      </c>
      <c r="D747">
        <v>71546.600000000006</v>
      </c>
      <c r="E747">
        <v>71847.570000000007</v>
      </c>
      <c r="F747">
        <v>490.97</v>
      </c>
      <c r="G747">
        <v>0.69</v>
      </c>
      <c r="H747">
        <v>0.89</v>
      </c>
      <c r="I747">
        <v>697.65</v>
      </c>
      <c r="J747">
        <v>25.43</v>
      </c>
      <c r="K747">
        <v>3.71</v>
      </c>
      <c r="L747">
        <v>1.1100000000000001</v>
      </c>
    </row>
    <row r="748" spans="1:12" x14ac:dyDescent="0.3">
      <c r="A748" s="1">
        <v>45296</v>
      </c>
      <c r="B748">
        <v>72016.710000000006</v>
      </c>
      <c r="C748">
        <v>72156.479999999996</v>
      </c>
      <c r="D748">
        <v>71779.83</v>
      </c>
      <c r="E748">
        <v>72026.149999999994</v>
      </c>
      <c r="F748">
        <v>178.58</v>
      </c>
      <c r="G748">
        <v>0.25</v>
      </c>
      <c r="H748">
        <v>1.49</v>
      </c>
      <c r="I748">
        <v>1482.2</v>
      </c>
      <c r="J748">
        <v>25.52</v>
      </c>
      <c r="K748">
        <v>3.72</v>
      </c>
      <c r="L748">
        <v>1.1100000000000001</v>
      </c>
    </row>
    <row r="749" spans="1:12" x14ac:dyDescent="0.3">
      <c r="A749" s="1">
        <v>45299</v>
      </c>
      <c r="B749">
        <v>72113.25</v>
      </c>
      <c r="C749">
        <v>72181.77</v>
      </c>
      <c r="D749">
        <v>71301.039999999994</v>
      </c>
      <c r="E749">
        <v>71355.22</v>
      </c>
      <c r="F749">
        <v>-670.93</v>
      </c>
      <c r="G749">
        <v>-0.93</v>
      </c>
      <c r="H749">
        <v>1.0900000000000001</v>
      </c>
      <c r="I749">
        <v>847.8</v>
      </c>
      <c r="J749">
        <v>25.24</v>
      </c>
      <c r="K749">
        <v>3.68</v>
      </c>
      <c r="L749">
        <v>1.1200000000000001</v>
      </c>
    </row>
    <row r="750" spans="1:12" x14ac:dyDescent="0.3">
      <c r="A750" s="1">
        <v>45300</v>
      </c>
      <c r="B750">
        <v>71770.91</v>
      </c>
      <c r="C750">
        <v>72035.47</v>
      </c>
      <c r="D750">
        <v>71307.27</v>
      </c>
      <c r="E750">
        <v>71386.210000000006</v>
      </c>
      <c r="F750">
        <v>30.99</v>
      </c>
      <c r="G750">
        <v>0.04</v>
      </c>
      <c r="H750">
        <v>0.95</v>
      </c>
      <c r="I750">
        <v>872.23</v>
      </c>
      <c r="J750">
        <v>25.26</v>
      </c>
      <c r="K750">
        <v>3.68</v>
      </c>
      <c r="L750">
        <v>1.1200000000000001</v>
      </c>
    </row>
    <row r="751" spans="1:12" x14ac:dyDescent="0.3">
      <c r="A751" s="1">
        <v>45301</v>
      </c>
      <c r="B751">
        <v>71383.199999999997</v>
      </c>
      <c r="C751">
        <v>71733.84</v>
      </c>
      <c r="D751">
        <v>71110.98</v>
      </c>
      <c r="E751">
        <v>71657.710000000006</v>
      </c>
      <c r="F751">
        <v>271.5</v>
      </c>
      <c r="G751">
        <v>0.38</v>
      </c>
      <c r="H751">
        <v>0.94</v>
      </c>
      <c r="I751">
        <v>662.64</v>
      </c>
      <c r="J751">
        <v>25.37</v>
      </c>
      <c r="K751">
        <v>3.7</v>
      </c>
      <c r="L751">
        <v>1.1100000000000001</v>
      </c>
    </row>
    <row r="752" spans="1:12" x14ac:dyDescent="0.3">
      <c r="A752" s="1">
        <v>45302</v>
      </c>
      <c r="B752">
        <v>71907.75</v>
      </c>
      <c r="C752">
        <v>71999.47</v>
      </c>
      <c r="D752">
        <v>71543.19</v>
      </c>
      <c r="E752">
        <v>71721.179999999993</v>
      </c>
      <c r="F752">
        <v>63.47</v>
      </c>
      <c r="G752">
        <v>0.09</v>
      </c>
      <c r="H752">
        <v>0.78</v>
      </c>
      <c r="I752">
        <v>646.71</v>
      </c>
      <c r="J752">
        <v>25.39</v>
      </c>
      <c r="K752">
        <v>3.7</v>
      </c>
      <c r="L752">
        <v>1.1100000000000001</v>
      </c>
    </row>
    <row r="753" spans="1:12" x14ac:dyDescent="0.3">
      <c r="A753" s="1">
        <v>45303</v>
      </c>
      <c r="B753">
        <v>72148.070000000007</v>
      </c>
      <c r="C753">
        <v>72720.960000000006</v>
      </c>
      <c r="D753">
        <v>71982.289999999994</v>
      </c>
      <c r="E753">
        <v>72568.45</v>
      </c>
      <c r="F753">
        <v>847.27</v>
      </c>
      <c r="G753">
        <v>1.18</v>
      </c>
      <c r="H753">
        <v>2.04</v>
      </c>
      <c r="I753">
        <v>2474.2600000000002</v>
      </c>
      <c r="J753">
        <v>25.71</v>
      </c>
      <c r="K753">
        <v>3.75</v>
      </c>
      <c r="L753">
        <v>1.1000000000000001</v>
      </c>
    </row>
    <row r="754" spans="1:12" x14ac:dyDescent="0.3">
      <c r="A754" s="1">
        <v>45306</v>
      </c>
      <c r="B754">
        <v>73049.87</v>
      </c>
      <c r="C754">
        <v>73402.16</v>
      </c>
      <c r="D754">
        <v>72909</v>
      </c>
      <c r="E754">
        <v>73327.94</v>
      </c>
      <c r="F754">
        <v>759.49</v>
      </c>
      <c r="G754">
        <v>1.05</v>
      </c>
      <c r="H754">
        <v>1.6</v>
      </c>
      <c r="I754">
        <v>1202.27</v>
      </c>
      <c r="J754">
        <v>25.97</v>
      </c>
      <c r="K754">
        <v>3.78</v>
      </c>
      <c r="L754">
        <v>1.0900000000000001</v>
      </c>
    </row>
    <row r="755" spans="1:12" x14ac:dyDescent="0.3">
      <c r="A755" s="1">
        <v>45307</v>
      </c>
      <c r="B755">
        <v>73331.95</v>
      </c>
      <c r="C755">
        <v>73427.59</v>
      </c>
      <c r="D755">
        <v>72960.289999999994</v>
      </c>
      <c r="E755">
        <v>73128.77</v>
      </c>
      <c r="F755">
        <v>-199.17</v>
      </c>
      <c r="G755">
        <v>-0.27</v>
      </c>
      <c r="H755">
        <v>1.1200000000000001</v>
      </c>
      <c r="I755">
        <v>596.03</v>
      </c>
      <c r="J755">
        <v>25.86</v>
      </c>
      <c r="K755">
        <v>3.76</v>
      </c>
      <c r="L755">
        <v>1.1000000000000001</v>
      </c>
    </row>
    <row r="756" spans="1:12" x14ac:dyDescent="0.3">
      <c r="A756" s="1">
        <v>45308</v>
      </c>
      <c r="B756">
        <v>71998.929999999993</v>
      </c>
      <c r="C756">
        <v>72484.800000000003</v>
      </c>
      <c r="D756">
        <v>71429.3</v>
      </c>
      <c r="E756">
        <v>71500.759999999995</v>
      </c>
      <c r="F756">
        <v>-1628.01</v>
      </c>
      <c r="G756">
        <v>-2.23</v>
      </c>
      <c r="H756">
        <v>1.41</v>
      </c>
      <c r="I756">
        <v>1118.51</v>
      </c>
      <c r="J756">
        <v>25.24</v>
      </c>
      <c r="K756">
        <v>3.67</v>
      </c>
      <c r="L756">
        <v>1.1200000000000001</v>
      </c>
    </row>
    <row r="757" spans="1:12" x14ac:dyDescent="0.3">
      <c r="A757" s="1">
        <v>45309</v>
      </c>
      <c r="B757">
        <v>71018.86</v>
      </c>
      <c r="C757">
        <v>71451.289999999994</v>
      </c>
      <c r="D757">
        <v>70665.5</v>
      </c>
      <c r="E757">
        <v>71186.86</v>
      </c>
      <c r="F757">
        <v>-313.89999999999998</v>
      </c>
      <c r="G757">
        <v>-0.44</v>
      </c>
      <c r="H757">
        <v>1.3</v>
      </c>
      <c r="I757">
        <v>1168.21</v>
      </c>
      <c r="J757">
        <v>24.85</v>
      </c>
      <c r="K757">
        <v>3.64</v>
      </c>
      <c r="L757">
        <v>1.1200000000000001</v>
      </c>
    </row>
    <row r="758" spans="1:12" x14ac:dyDescent="0.3">
      <c r="A758" s="1">
        <v>45310</v>
      </c>
      <c r="B758">
        <v>71786.740000000005</v>
      </c>
      <c r="C758">
        <v>71895.64</v>
      </c>
      <c r="D758">
        <v>71542.740000000005</v>
      </c>
      <c r="E758">
        <v>71683.23</v>
      </c>
      <c r="F758">
        <v>496.37</v>
      </c>
      <c r="G758">
        <v>0.7</v>
      </c>
      <c r="H758">
        <v>2.5499999999999998</v>
      </c>
      <c r="I758">
        <v>3024.01</v>
      </c>
      <c r="J758">
        <v>25.04</v>
      </c>
      <c r="K758">
        <v>3.67</v>
      </c>
      <c r="L758">
        <v>1.1200000000000001</v>
      </c>
    </row>
    <row r="759" spans="1:12" x14ac:dyDescent="0.3">
      <c r="A759" s="1">
        <v>45311</v>
      </c>
      <c r="B759">
        <v>72008.3</v>
      </c>
      <c r="C759">
        <v>72026.259999999995</v>
      </c>
      <c r="D759">
        <v>71312.710000000006</v>
      </c>
      <c r="E759">
        <v>71423.649999999994</v>
      </c>
      <c r="F759">
        <v>-259.58</v>
      </c>
      <c r="G759">
        <v>-0.36</v>
      </c>
      <c r="H759">
        <v>0.86</v>
      </c>
      <c r="I759">
        <v>893.91</v>
      </c>
      <c r="J759">
        <v>24.93</v>
      </c>
      <c r="K759">
        <v>3.65</v>
      </c>
      <c r="L759">
        <v>1.1200000000000001</v>
      </c>
    </row>
    <row r="760" spans="1:12" x14ac:dyDescent="0.3">
      <c r="A760" s="1">
        <v>45314</v>
      </c>
      <c r="B760">
        <v>71868.2</v>
      </c>
      <c r="C760">
        <v>72039.199999999997</v>
      </c>
      <c r="D760">
        <v>70234.55</v>
      </c>
      <c r="E760">
        <v>70370.55</v>
      </c>
      <c r="F760">
        <v>-1053.0999999999999</v>
      </c>
      <c r="G760">
        <v>-1.47</v>
      </c>
      <c r="H760">
        <v>1.1399999999999999</v>
      </c>
      <c r="I760">
        <v>978.08</v>
      </c>
      <c r="J760">
        <v>24.27</v>
      </c>
      <c r="K760">
        <v>3.58</v>
      </c>
      <c r="L760">
        <v>1.1399999999999999</v>
      </c>
    </row>
    <row r="761" spans="1:12" x14ac:dyDescent="0.3">
      <c r="A761" s="1">
        <v>45315</v>
      </c>
      <c r="B761">
        <v>70165.490000000005</v>
      </c>
      <c r="C761">
        <v>71149.61</v>
      </c>
      <c r="D761">
        <v>70001.600000000006</v>
      </c>
      <c r="E761">
        <v>71060.31</v>
      </c>
      <c r="F761">
        <v>689.76</v>
      </c>
      <c r="G761">
        <v>0.98</v>
      </c>
      <c r="H761">
        <v>1.56</v>
      </c>
      <c r="I761">
        <v>1624.05</v>
      </c>
      <c r="J761">
        <v>24.51</v>
      </c>
      <c r="K761">
        <v>3.61</v>
      </c>
      <c r="L761">
        <v>1.1299999999999999</v>
      </c>
    </row>
    <row r="762" spans="1:12" x14ac:dyDescent="0.3">
      <c r="A762" s="1">
        <v>45316</v>
      </c>
      <c r="B762">
        <v>71022.100000000006</v>
      </c>
      <c r="C762">
        <v>71049.460000000006</v>
      </c>
      <c r="D762">
        <v>70319.039999999994</v>
      </c>
      <c r="E762">
        <v>70700.67</v>
      </c>
      <c r="F762">
        <v>-359.64</v>
      </c>
      <c r="G762">
        <v>-0.51</v>
      </c>
      <c r="H762">
        <v>3.67</v>
      </c>
      <c r="I762">
        <v>3751.53</v>
      </c>
      <c r="J762">
        <v>24.39</v>
      </c>
      <c r="K762">
        <v>3.59</v>
      </c>
      <c r="L762">
        <v>1.1299999999999999</v>
      </c>
    </row>
    <row r="763" spans="1:12" x14ac:dyDescent="0.3">
      <c r="A763" s="1">
        <v>45320</v>
      </c>
      <c r="B763">
        <v>70968.100000000006</v>
      </c>
      <c r="C763">
        <v>72010.22</v>
      </c>
      <c r="D763">
        <v>70880.539999999994</v>
      </c>
      <c r="E763">
        <v>71941.570000000007</v>
      </c>
      <c r="F763">
        <v>1240.9000000000001</v>
      </c>
      <c r="G763">
        <v>1.76</v>
      </c>
      <c r="H763">
        <v>1.39</v>
      </c>
      <c r="I763">
        <v>1422.96</v>
      </c>
      <c r="J763">
        <v>24.64</v>
      </c>
      <c r="K763">
        <v>3.65</v>
      </c>
      <c r="L763">
        <v>1.1100000000000001</v>
      </c>
    </row>
    <row r="764" spans="1:12" x14ac:dyDescent="0.3">
      <c r="A764" s="1">
        <v>45321</v>
      </c>
      <c r="B764">
        <v>72000.2</v>
      </c>
      <c r="C764">
        <v>72142.23</v>
      </c>
      <c r="D764">
        <v>71075.72</v>
      </c>
      <c r="E764">
        <v>71139.899999999994</v>
      </c>
      <c r="F764">
        <v>-801.67</v>
      </c>
      <c r="G764">
        <v>-1.1100000000000001</v>
      </c>
      <c r="H764">
        <v>1.29</v>
      </c>
      <c r="I764">
        <v>1093.8499999999999</v>
      </c>
      <c r="J764">
        <v>24.37</v>
      </c>
      <c r="K764">
        <v>3.61</v>
      </c>
      <c r="L764">
        <v>1.1299999999999999</v>
      </c>
    </row>
    <row r="765" spans="1:12" x14ac:dyDescent="0.3">
      <c r="A765" s="1">
        <v>45322</v>
      </c>
      <c r="B765">
        <v>71073.039999999994</v>
      </c>
      <c r="C765">
        <v>71851.39</v>
      </c>
      <c r="D765">
        <v>70846.039999999994</v>
      </c>
      <c r="E765">
        <v>71752.11</v>
      </c>
      <c r="F765">
        <v>612.21</v>
      </c>
      <c r="G765">
        <v>0.86</v>
      </c>
      <c r="H765">
        <v>1.1000000000000001</v>
      </c>
      <c r="I765">
        <v>986.39</v>
      </c>
      <c r="J765">
        <v>24.56</v>
      </c>
      <c r="K765">
        <v>3.65</v>
      </c>
      <c r="L765">
        <v>1.1200000000000001</v>
      </c>
    </row>
    <row r="766" spans="1:12" x14ac:dyDescent="0.3">
      <c r="A766" s="1">
        <v>45323</v>
      </c>
      <c r="B766">
        <v>71998.78</v>
      </c>
      <c r="C766">
        <v>72151.02</v>
      </c>
      <c r="D766">
        <v>71574.89</v>
      </c>
      <c r="E766">
        <v>71645.3</v>
      </c>
      <c r="F766">
        <v>-106.81</v>
      </c>
      <c r="G766">
        <v>-0.15</v>
      </c>
      <c r="H766">
        <v>1.1499999999999999</v>
      </c>
      <c r="I766">
        <v>1206.25</v>
      </c>
      <c r="J766">
        <v>24.49</v>
      </c>
      <c r="K766">
        <v>3.64</v>
      </c>
      <c r="L766">
        <v>1.1200000000000001</v>
      </c>
    </row>
    <row r="767" spans="1:12" x14ac:dyDescent="0.3">
      <c r="A767" s="1">
        <v>45324</v>
      </c>
      <c r="B767">
        <v>71977.56</v>
      </c>
      <c r="C767">
        <v>73089.399999999994</v>
      </c>
      <c r="D767">
        <v>71948.77</v>
      </c>
      <c r="E767">
        <v>72085.63</v>
      </c>
      <c r="F767">
        <v>440.33</v>
      </c>
      <c r="G767">
        <v>0.61</v>
      </c>
      <c r="H767">
        <v>1.94</v>
      </c>
      <c r="I767">
        <v>1729.99</v>
      </c>
      <c r="J767">
        <v>24.61</v>
      </c>
      <c r="K767">
        <v>3.67</v>
      </c>
      <c r="L767">
        <v>1.1100000000000001</v>
      </c>
    </row>
    <row r="768" spans="1:12" x14ac:dyDescent="0.3">
      <c r="A768" s="1">
        <v>45327</v>
      </c>
      <c r="B768">
        <v>72269.119999999995</v>
      </c>
      <c r="C768">
        <v>72385.929999999993</v>
      </c>
      <c r="D768">
        <v>71602.14</v>
      </c>
      <c r="E768">
        <v>71731.42</v>
      </c>
      <c r="F768">
        <v>-354.21</v>
      </c>
      <c r="G768">
        <v>-0.49</v>
      </c>
      <c r="H768">
        <v>1.99</v>
      </c>
      <c r="I768">
        <v>1357.55</v>
      </c>
      <c r="J768">
        <v>24.42</v>
      </c>
      <c r="K768">
        <v>3.64</v>
      </c>
      <c r="L768">
        <v>1.1200000000000001</v>
      </c>
    </row>
    <row r="769" spans="1:12" x14ac:dyDescent="0.3">
      <c r="A769" s="1">
        <v>45328</v>
      </c>
      <c r="B769">
        <v>71970.820000000007</v>
      </c>
      <c r="C769">
        <v>72261.399999999994</v>
      </c>
      <c r="D769">
        <v>71625.179999999993</v>
      </c>
      <c r="E769">
        <v>72186.09</v>
      </c>
      <c r="F769">
        <v>454.67</v>
      </c>
      <c r="G769">
        <v>0.63</v>
      </c>
      <c r="H769">
        <v>1.05</v>
      </c>
      <c r="I769">
        <v>988.12</v>
      </c>
      <c r="J769">
        <v>24.71</v>
      </c>
      <c r="K769">
        <v>3.66</v>
      </c>
      <c r="L769">
        <v>1.1299999999999999</v>
      </c>
    </row>
    <row r="770" spans="1:12" x14ac:dyDescent="0.3">
      <c r="A770" s="1">
        <v>45329</v>
      </c>
      <c r="B770">
        <v>72548.5</v>
      </c>
      <c r="C770">
        <v>72559.210000000006</v>
      </c>
      <c r="D770">
        <v>71938.22</v>
      </c>
      <c r="E770">
        <v>72152</v>
      </c>
      <c r="F770">
        <v>-34.090000000000003</v>
      </c>
      <c r="G770">
        <v>-0.05</v>
      </c>
      <c r="H770">
        <v>1.28</v>
      </c>
      <c r="I770">
        <v>999.91</v>
      </c>
      <c r="J770">
        <v>24.71</v>
      </c>
      <c r="K770">
        <v>3.66</v>
      </c>
      <c r="L770">
        <v>1.1299999999999999</v>
      </c>
    </row>
    <row r="771" spans="1:12" x14ac:dyDescent="0.3">
      <c r="A771" s="1">
        <v>45330</v>
      </c>
      <c r="B771">
        <v>72473.42</v>
      </c>
      <c r="C771">
        <v>72473.42</v>
      </c>
      <c r="D771">
        <v>71230.62</v>
      </c>
      <c r="E771">
        <v>71428.429999999993</v>
      </c>
      <c r="F771">
        <v>-723.57</v>
      </c>
      <c r="G771">
        <v>-1</v>
      </c>
      <c r="H771">
        <v>1.45</v>
      </c>
      <c r="I771">
        <v>1052.55</v>
      </c>
      <c r="J771">
        <v>24.47</v>
      </c>
      <c r="K771">
        <v>3.63</v>
      </c>
      <c r="L771">
        <v>1.1399999999999999</v>
      </c>
    </row>
    <row r="772" spans="1:12" x14ac:dyDescent="0.3">
      <c r="A772" s="1">
        <v>45331</v>
      </c>
      <c r="B772">
        <v>71410.289999999994</v>
      </c>
      <c r="C772">
        <v>71676.490000000005</v>
      </c>
      <c r="D772">
        <v>71200.31</v>
      </c>
      <c r="E772">
        <v>71595.490000000005</v>
      </c>
      <c r="F772">
        <v>167.06</v>
      </c>
      <c r="G772">
        <v>0.23</v>
      </c>
      <c r="H772">
        <v>1.9</v>
      </c>
      <c r="I772">
        <v>1754.95</v>
      </c>
      <c r="J772">
        <v>24.46</v>
      </c>
      <c r="K772">
        <v>3.63</v>
      </c>
      <c r="L772">
        <v>1.1399999999999999</v>
      </c>
    </row>
    <row r="773" spans="1:12" x14ac:dyDescent="0.3">
      <c r="A773" s="1">
        <v>45334</v>
      </c>
      <c r="B773">
        <v>71722.31</v>
      </c>
      <c r="C773">
        <v>71756.58</v>
      </c>
      <c r="D773">
        <v>70922.570000000007</v>
      </c>
      <c r="E773">
        <v>71072.490000000005</v>
      </c>
      <c r="F773">
        <v>-523</v>
      </c>
      <c r="G773">
        <v>-0.73</v>
      </c>
      <c r="H773">
        <v>1.07</v>
      </c>
      <c r="I773">
        <v>818.43</v>
      </c>
      <c r="J773">
        <v>24.31</v>
      </c>
      <c r="K773">
        <v>3.61</v>
      </c>
      <c r="L773">
        <v>1.1499999999999999</v>
      </c>
    </row>
    <row r="774" spans="1:12" x14ac:dyDescent="0.3">
      <c r="A774" s="1">
        <v>45335</v>
      </c>
      <c r="B774">
        <v>71292.08</v>
      </c>
      <c r="C774">
        <v>71662.740000000005</v>
      </c>
      <c r="D774">
        <v>70924.3</v>
      </c>
      <c r="E774">
        <v>71555.19</v>
      </c>
      <c r="F774">
        <v>482.7</v>
      </c>
      <c r="G774">
        <v>0.68</v>
      </c>
      <c r="H774">
        <v>0.81</v>
      </c>
      <c r="I774">
        <v>618.91</v>
      </c>
      <c r="J774">
        <v>24.47</v>
      </c>
      <c r="K774">
        <v>3.63</v>
      </c>
      <c r="L774">
        <v>1.1399999999999999</v>
      </c>
    </row>
    <row r="775" spans="1:12" x14ac:dyDescent="0.3">
      <c r="A775" s="1">
        <v>45336</v>
      </c>
      <c r="B775">
        <v>71035.25</v>
      </c>
      <c r="C775">
        <v>71938.59</v>
      </c>
      <c r="D775">
        <v>70809.84</v>
      </c>
      <c r="E775">
        <v>71822.83</v>
      </c>
      <c r="F775">
        <v>267.64</v>
      </c>
      <c r="G775">
        <v>0.37</v>
      </c>
      <c r="H775">
        <v>1.07</v>
      </c>
      <c r="I775">
        <v>812.74</v>
      </c>
      <c r="J775">
        <v>24.54</v>
      </c>
      <c r="K775">
        <v>3.64</v>
      </c>
      <c r="L775">
        <v>1.1399999999999999</v>
      </c>
    </row>
    <row r="776" spans="1:12" x14ac:dyDescent="0.3">
      <c r="A776" s="1">
        <v>45337</v>
      </c>
      <c r="B776">
        <v>72061.47</v>
      </c>
      <c r="C776">
        <v>72164.97</v>
      </c>
      <c r="D776">
        <v>71644.44</v>
      </c>
      <c r="E776">
        <v>72050.38</v>
      </c>
      <c r="F776">
        <v>227.55</v>
      </c>
      <c r="G776">
        <v>0.32</v>
      </c>
      <c r="H776">
        <v>0.82</v>
      </c>
      <c r="I776">
        <v>732.95</v>
      </c>
      <c r="J776">
        <v>24.66</v>
      </c>
      <c r="K776">
        <v>3.66</v>
      </c>
      <c r="L776">
        <v>1.1299999999999999</v>
      </c>
    </row>
    <row r="777" spans="1:12" x14ac:dyDescent="0.3">
      <c r="A777" s="1">
        <v>45338</v>
      </c>
      <c r="B777">
        <v>72406.02</v>
      </c>
      <c r="C777">
        <v>72545.33</v>
      </c>
      <c r="D777">
        <v>72218.100000000006</v>
      </c>
      <c r="E777">
        <v>72426.64</v>
      </c>
      <c r="F777">
        <v>376.26</v>
      </c>
      <c r="G777">
        <v>0.52</v>
      </c>
      <c r="H777">
        <v>1.52</v>
      </c>
      <c r="I777">
        <v>1460.46</v>
      </c>
      <c r="J777">
        <v>24.77</v>
      </c>
      <c r="K777">
        <v>3.67</v>
      </c>
      <c r="L777">
        <v>1.1299999999999999</v>
      </c>
    </row>
    <row r="778" spans="1:12" x14ac:dyDescent="0.3">
      <c r="A778" s="1">
        <v>45341</v>
      </c>
      <c r="B778">
        <v>72627.600000000006</v>
      </c>
      <c r="C778">
        <v>72881.929999999993</v>
      </c>
      <c r="D778">
        <v>72308.679999999993</v>
      </c>
      <c r="E778">
        <v>72708.160000000003</v>
      </c>
      <c r="F778">
        <v>281.52</v>
      </c>
      <c r="G778">
        <v>0.39</v>
      </c>
      <c r="H778">
        <v>0.84</v>
      </c>
      <c r="I778">
        <v>714.93</v>
      </c>
      <c r="J778">
        <v>24.87</v>
      </c>
      <c r="K778">
        <v>3.69</v>
      </c>
      <c r="L778">
        <v>1.1200000000000001</v>
      </c>
    </row>
    <row r="779" spans="1:12" x14ac:dyDescent="0.3">
      <c r="A779" s="1">
        <v>45342</v>
      </c>
      <c r="B779">
        <v>72727.87</v>
      </c>
      <c r="C779">
        <v>73130.69</v>
      </c>
      <c r="D779">
        <v>72510.240000000005</v>
      </c>
      <c r="E779">
        <v>73057.399999999994</v>
      </c>
      <c r="F779">
        <v>349.24</v>
      </c>
      <c r="G779">
        <v>0.48</v>
      </c>
      <c r="H779">
        <v>0.77</v>
      </c>
      <c r="I779">
        <v>691.3</v>
      </c>
      <c r="J779">
        <v>25.01</v>
      </c>
      <c r="K779">
        <v>3.71</v>
      </c>
      <c r="L779">
        <v>1.1200000000000001</v>
      </c>
    </row>
    <row r="780" spans="1:12" x14ac:dyDescent="0.3">
      <c r="A780" s="1">
        <v>45343</v>
      </c>
      <c r="B780">
        <v>73267.48</v>
      </c>
      <c r="C780">
        <v>73267.8</v>
      </c>
      <c r="D780">
        <v>72450.559999999998</v>
      </c>
      <c r="E780">
        <v>72623.09</v>
      </c>
      <c r="F780">
        <v>-434.31</v>
      </c>
      <c r="G780">
        <v>-0.59</v>
      </c>
      <c r="H780">
        <v>1.39</v>
      </c>
      <c r="I780">
        <v>990.69</v>
      </c>
      <c r="J780">
        <v>24.86</v>
      </c>
      <c r="K780">
        <v>3.69</v>
      </c>
      <c r="L780">
        <v>1.1200000000000001</v>
      </c>
    </row>
    <row r="781" spans="1:12" x14ac:dyDescent="0.3">
      <c r="A781" s="1">
        <v>45344</v>
      </c>
      <c r="B781">
        <v>72677.509999999995</v>
      </c>
      <c r="C781">
        <v>73256.39</v>
      </c>
      <c r="D781">
        <v>72081.36</v>
      </c>
      <c r="E781">
        <v>73158.240000000005</v>
      </c>
      <c r="F781">
        <v>535.15</v>
      </c>
      <c r="G781">
        <v>0.74</v>
      </c>
      <c r="H781">
        <v>0.91</v>
      </c>
      <c r="I781">
        <v>862.39</v>
      </c>
      <c r="J781">
        <v>25.01</v>
      </c>
      <c r="K781">
        <v>3.71</v>
      </c>
      <c r="L781">
        <v>1.1100000000000001</v>
      </c>
    </row>
    <row r="782" spans="1:12" x14ac:dyDescent="0.3">
      <c r="A782" s="1">
        <v>45345</v>
      </c>
      <c r="B782">
        <v>73394.44</v>
      </c>
      <c r="C782">
        <v>73413.929999999993</v>
      </c>
      <c r="D782">
        <v>73022</v>
      </c>
      <c r="E782">
        <v>73142.8</v>
      </c>
      <c r="F782">
        <v>-15.44</v>
      </c>
      <c r="G782">
        <v>-0.02</v>
      </c>
      <c r="H782">
        <v>1.19</v>
      </c>
      <c r="I782">
        <v>1299.1500000000001</v>
      </c>
      <c r="J782">
        <v>25.02</v>
      </c>
      <c r="K782">
        <v>3.71</v>
      </c>
      <c r="L782">
        <v>1.1100000000000001</v>
      </c>
    </row>
    <row r="783" spans="1:12" x14ac:dyDescent="0.3">
      <c r="A783" s="1">
        <v>45348</v>
      </c>
      <c r="B783">
        <v>73044.81</v>
      </c>
      <c r="C783">
        <v>73092.259999999995</v>
      </c>
      <c r="D783">
        <v>72666.820000000007</v>
      </c>
      <c r="E783">
        <v>72790.13</v>
      </c>
      <c r="F783">
        <v>-352.67</v>
      </c>
      <c r="G783">
        <v>-0.48</v>
      </c>
      <c r="H783">
        <v>0.79</v>
      </c>
      <c r="I783">
        <v>688.56</v>
      </c>
      <c r="J783">
        <v>24.89</v>
      </c>
      <c r="K783">
        <v>3.69</v>
      </c>
      <c r="L783">
        <v>1.1200000000000001</v>
      </c>
    </row>
    <row r="784" spans="1:12" x14ac:dyDescent="0.3">
      <c r="A784" s="1">
        <v>45349</v>
      </c>
      <c r="B784">
        <v>72723.53</v>
      </c>
      <c r="C784">
        <v>73161.3</v>
      </c>
      <c r="D784">
        <v>72660.13</v>
      </c>
      <c r="E784">
        <v>73095.22</v>
      </c>
      <c r="F784">
        <v>305.08999999999997</v>
      </c>
      <c r="G784">
        <v>0.42</v>
      </c>
      <c r="H784">
        <v>0.83</v>
      </c>
      <c r="I784">
        <v>802.42</v>
      </c>
      <c r="J784">
        <v>24.99</v>
      </c>
      <c r="K784">
        <v>3.71</v>
      </c>
      <c r="L784">
        <v>1.1200000000000001</v>
      </c>
    </row>
    <row r="785" spans="1:12" x14ac:dyDescent="0.3">
      <c r="A785" s="1">
        <v>45350</v>
      </c>
      <c r="B785">
        <v>73162.820000000007</v>
      </c>
      <c r="C785">
        <v>73223.11</v>
      </c>
      <c r="D785">
        <v>72222.289999999994</v>
      </c>
      <c r="E785">
        <v>72304.88</v>
      </c>
      <c r="F785">
        <v>-790.34</v>
      </c>
      <c r="G785">
        <v>-1.08</v>
      </c>
      <c r="H785">
        <v>0.62</v>
      </c>
      <c r="I785">
        <v>570.55999999999995</v>
      </c>
      <c r="J785">
        <v>24.71</v>
      </c>
      <c r="K785">
        <v>3.67</v>
      </c>
      <c r="L785">
        <v>1.1299999999999999</v>
      </c>
    </row>
    <row r="786" spans="1:12" x14ac:dyDescent="0.3">
      <c r="A786" s="1">
        <v>45351</v>
      </c>
      <c r="B786">
        <v>72220.570000000007</v>
      </c>
      <c r="C786">
        <v>72730</v>
      </c>
      <c r="D786">
        <v>72099.320000000007</v>
      </c>
      <c r="E786">
        <v>72500.3</v>
      </c>
      <c r="F786">
        <v>195.42</v>
      </c>
      <c r="G786">
        <v>0.27</v>
      </c>
      <c r="H786">
        <v>1.86</v>
      </c>
      <c r="I786">
        <v>2301.3000000000002</v>
      </c>
      <c r="J786">
        <v>24.8</v>
      </c>
      <c r="K786">
        <v>3.68</v>
      </c>
      <c r="L786">
        <v>1.1299999999999999</v>
      </c>
    </row>
    <row r="787" spans="1:12" x14ac:dyDescent="0.3">
      <c r="A787" s="1">
        <v>45352</v>
      </c>
      <c r="B787">
        <v>72606.31</v>
      </c>
      <c r="C787">
        <v>73819.210000000006</v>
      </c>
      <c r="D787">
        <v>72591.14</v>
      </c>
      <c r="E787">
        <v>73745.350000000006</v>
      </c>
      <c r="F787">
        <v>1245.05</v>
      </c>
      <c r="G787">
        <v>1.72</v>
      </c>
      <c r="H787">
        <v>2.0699999999999998</v>
      </c>
      <c r="I787">
        <v>1492.6</v>
      </c>
      <c r="J787">
        <v>25.22</v>
      </c>
      <c r="K787">
        <v>3.74</v>
      </c>
      <c r="L787">
        <v>1.1100000000000001</v>
      </c>
    </row>
    <row r="788" spans="1:12" x14ac:dyDescent="0.3">
      <c r="A788" s="1">
        <v>45353</v>
      </c>
      <c r="B788">
        <v>73848.19</v>
      </c>
      <c r="C788">
        <v>73994.7</v>
      </c>
      <c r="D788">
        <v>73778.14</v>
      </c>
      <c r="E788">
        <v>73806.149999999994</v>
      </c>
      <c r="F788">
        <v>60.8</v>
      </c>
      <c r="G788">
        <v>0.08</v>
      </c>
      <c r="H788">
        <v>0.3</v>
      </c>
      <c r="I788">
        <v>136.25</v>
      </c>
      <c r="J788">
        <v>25.24</v>
      </c>
      <c r="K788">
        <v>3.75</v>
      </c>
      <c r="L788">
        <v>1.1100000000000001</v>
      </c>
    </row>
    <row r="789" spans="1:12" x14ac:dyDescent="0.3">
      <c r="A789" s="1">
        <v>45355</v>
      </c>
      <c r="B789">
        <v>73903.09</v>
      </c>
      <c r="C789">
        <v>73990.13</v>
      </c>
      <c r="D789">
        <v>73747.009999999995</v>
      </c>
      <c r="E789">
        <v>73872.289999999994</v>
      </c>
      <c r="F789">
        <v>66.14</v>
      </c>
      <c r="G789">
        <v>0.09</v>
      </c>
      <c r="H789">
        <v>1.42</v>
      </c>
      <c r="I789">
        <v>1452.56</v>
      </c>
      <c r="J789">
        <v>25.25</v>
      </c>
      <c r="K789">
        <v>3.75</v>
      </c>
      <c r="L789">
        <v>1.1000000000000001</v>
      </c>
    </row>
    <row r="790" spans="1:12" x14ac:dyDescent="0.3">
      <c r="A790" s="1">
        <v>45356</v>
      </c>
      <c r="B790">
        <v>73767.42</v>
      </c>
      <c r="C790">
        <v>73915.539999999994</v>
      </c>
      <c r="D790">
        <v>73412.25</v>
      </c>
      <c r="E790">
        <v>73677.13</v>
      </c>
      <c r="F790">
        <v>-195.16</v>
      </c>
      <c r="G790">
        <v>-0.26</v>
      </c>
      <c r="H790">
        <v>2.12</v>
      </c>
      <c r="I790">
        <v>2309.27</v>
      </c>
      <c r="J790">
        <v>25.18</v>
      </c>
      <c r="K790">
        <v>3.74</v>
      </c>
      <c r="L790">
        <v>1.1100000000000001</v>
      </c>
    </row>
    <row r="791" spans="1:12" x14ac:dyDescent="0.3">
      <c r="A791" s="1">
        <v>45357</v>
      </c>
      <c r="B791">
        <v>73587.7</v>
      </c>
      <c r="C791">
        <v>74151.27</v>
      </c>
      <c r="D791">
        <v>73321.48</v>
      </c>
      <c r="E791">
        <v>74085.990000000005</v>
      </c>
      <c r="F791">
        <v>408.86</v>
      </c>
      <c r="G791">
        <v>0.55000000000000004</v>
      </c>
      <c r="H791">
        <v>1.33</v>
      </c>
      <c r="I791">
        <v>1250.92</v>
      </c>
      <c r="J791">
        <v>25.35</v>
      </c>
      <c r="K791">
        <v>3.76</v>
      </c>
      <c r="L791">
        <v>1.1000000000000001</v>
      </c>
    </row>
    <row r="792" spans="1:12" x14ac:dyDescent="0.3">
      <c r="A792" s="1">
        <v>45358</v>
      </c>
      <c r="B792">
        <v>74242.740000000005</v>
      </c>
      <c r="C792">
        <v>74245.17</v>
      </c>
      <c r="D792">
        <v>73921.48</v>
      </c>
      <c r="E792">
        <v>74119.39</v>
      </c>
      <c r="F792">
        <v>33.4</v>
      </c>
      <c r="G792">
        <v>0.05</v>
      </c>
      <c r="H792">
        <v>1.6</v>
      </c>
      <c r="I792">
        <v>1503.41</v>
      </c>
      <c r="J792">
        <v>25.39</v>
      </c>
      <c r="K792">
        <v>3.77</v>
      </c>
      <c r="L792">
        <v>1.1000000000000001</v>
      </c>
    </row>
    <row r="793" spans="1:12" x14ac:dyDescent="0.3">
      <c r="A793" s="1">
        <v>45362</v>
      </c>
      <c r="B793">
        <v>74175.929999999993</v>
      </c>
      <c r="C793">
        <v>74187.350000000006</v>
      </c>
      <c r="D793">
        <v>73433.91</v>
      </c>
      <c r="E793">
        <v>73502.64</v>
      </c>
      <c r="F793">
        <v>-616.75</v>
      </c>
      <c r="G793">
        <v>-0.83</v>
      </c>
      <c r="H793">
        <v>0.98</v>
      </c>
      <c r="I793">
        <v>737.54</v>
      </c>
      <c r="J793">
        <v>25.14</v>
      </c>
      <c r="K793">
        <v>3.73</v>
      </c>
      <c r="L793">
        <v>1.1100000000000001</v>
      </c>
    </row>
    <row r="794" spans="1:12" x14ac:dyDescent="0.3">
      <c r="A794" s="1">
        <v>45363</v>
      </c>
      <c r="B794">
        <v>73516.42</v>
      </c>
      <c r="C794">
        <v>74004.160000000003</v>
      </c>
      <c r="D794">
        <v>73342.12</v>
      </c>
      <c r="E794">
        <v>73667.960000000006</v>
      </c>
      <c r="F794">
        <v>165.32</v>
      </c>
      <c r="G794">
        <v>0.22</v>
      </c>
      <c r="H794">
        <v>0.96</v>
      </c>
      <c r="I794">
        <v>705.7</v>
      </c>
      <c r="J794">
        <v>25.2</v>
      </c>
      <c r="K794">
        <v>3.74</v>
      </c>
      <c r="L794">
        <v>1.1100000000000001</v>
      </c>
    </row>
    <row r="795" spans="1:12" x14ac:dyDescent="0.3">
      <c r="A795" s="1">
        <v>45364</v>
      </c>
      <c r="B795">
        <v>73993.399999999994</v>
      </c>
      <c r="C795">
        <v>74052.75</v>
      </c>
      <c r="D795">
        <v>72515.710000000006</v>
      </c>
      <c r="E795">
        <v>72761.89</v>
      </c>
      <c r="F795">
        <v>-906.07</v>
      </c>
      <c r="G795">
        <v>-1.23</v>
      </c>
      <c r="H795">
        <v>45.2</v>
      </c>
      <c r="I795">
        <v>18643.439999999999</v>
      </c>
      <c r="J795">
        <v>24.86</v>
      </c>
      <c r="K795">
        <v>3.69</v>
      </c>
      <c r="L795">
        <v>1.1200000000000001</v>
      </c>
    </row>
    <row r="796" spans="1:12" x14ac:dyDescent="0.3">
      <c r="A796" s="1">
        <v>45365</v>
      </c>
      <c r="B796">
        <v>72570.100000000006</v>
      </c>
      <c r="C796">
        <v>73364.3</v>
      </c>
      <c r="D796">
        <v>72497.19</v>
      </c>
      <c r="E796">
        <v>73097.279999999999</v>
      </c>
      <c r="F796">
        <v>335.39</v>
      </c>
      <c r="G796">
        <v>0.46</v>
      </c>
      <c r="H796">
        <v>1</v>
      </c>
      <c r="I796">
        <v>774.54</v>
      </c>
      <c r="J796">
        <v>24.99</v>
      </c>
      <c r="K796">
        <v>3.71</v>
      </c>
      <c r="L796">
        <v>1.1200000000000001</v>
      </c>
    </row>
    <row r="797" spans="1:12" x14ac:dyDescent="0.3">
      <c r="A797" s="1">
        <v>45366</v>
      </c>
      <c r="B797">
        <v>72886.77</v>
      </c>
      <c r="C797">
        <v>72998.070000000007</v>
      </c>
      <c r="D797">
        <v>72484.820000000007</v>
      </c>
      <c r="E797">
        <v>72643.429999999993</v>
      </c>
      <c r="F797">
        <v>-453.85</v>
      </c>
      <c r="G797">
        <v>-0.62</v>
      </c>
      <c r="H797">
        <v>2.23</v>
      </c>
      <c r="I797">
        <v>1703.93</v>
      </c>
      <c r="J797">
        <v>24.84</v>
      </c>
      <c r="K797">
        <v>3.69</v>
      </c>
      <c r="L797">
        <v>1.1200000000000001</v>
      </c>
    </row>
    <row r="798" spans="1:12" x14ac:dyDescent="0.3">
      <c r="A798" s="1">
        <v>45369</v>
      </c>
      <c r="B798">
        <v>72587.3</v>
      </c>
      <c r="C798">
        <v>72985.89</v>
      </c>
      <c r="D798">
        <v>72314.16</v>
      </c>
      <c r="E798">
        <v>72748.42</v>
      </c>
      <c r="F798">
        <v>104.99</v>
      </c>
      <c r="G798">
        <v>0.14000000000000001</v>
      </c>
      <c r="H798">
        <v>1.1000000000000001</v>
      </c>
      <c r="I798">
        <v>770.98</v>
      </c>
      <c r="J798">
        <v>24.88</v>
      </c>
      <c r="K798">
        <v>3.69</v>
      </c>
      <c r="L798">
        <v>1.1200000000000001</v>
      </c>
    </row>
    <row r="799" spans="1:12" x14ac:dyDescent="0.3">
      <c r="A799" s="1">
        <v>45370</v>
      </c>
      <c r="B799">
        <v>72462.94</v>
      </c>
      <c r="C799">
        <v>72490.09</v>
      </c>
      <c r="D799">
        <v>71933.350000000006</v>
      </c>
      <c r="E799">
        <v>72012.05</v>
      </c>
      <c r="F799">
        <v>-736.37</v>
      </c>
      <c r="G799">
        <v>-1.01</v>
      </c>
      <c r="H799">
        <v>3.84</v>
      </c>
      <c r="I799">
        <v>11232.93</v>
      </c>
      <c r="J799">
        <v>24.6</v>
      </c>
      <c r="K799">
        <v>3.65</v>
      </c>
      <c r="L799">
        <v>1.1299999999999999</v>
      </c>
    </row>
    <row r="800" spans="1:12" x14ac:dyDescent="0.3">
      <c r="A800" s="1">
        <v>45371</v>
      </c>
      <c r="B800">
        <v>72036.86</v>
      </c>
      <c r="C800">
        <v>72402.67</v>
      </c>
      <c r="D800">
        <v>71674.42</v>
      </c>
      <c r="E800">
        <v>72101.69</v>
      </c>
      <c r="F800">
        <v>89.64</v>
      </c>
      <c r="G800">
        <v>0.12</v>
      </c>
      <c r="H800">
        <v>0.83</v>
      </c>
      <c r="I800">
        <v>630.69000000000005</v>
      </c>
      <c r="J800">
        <v>24.6</v>
      </c>
      <c r="K800">
        <v>3.65</v>
      </c>
      <c r="L800">
        <v>1.1399999999999999</v>
      </c>
    </row>
    <row r="801" spans="1:12" x14ac:dyDescent="0.3">
      <c r="A801" s="1">
        <v>45372</v>
      </c>
      <c r="B801">
        <v>72507.360000000001</v>
      </c>
      <c r="C801">
        <v>72882.460000000006</v>
      </c>
      <c r="D801">
        <v>72416.03</v>
      </c>
      <c r="E801">
        <v>72641.19</v>
      </c>
      <c r="F801">
        <v>539.5</v>
      </c>
      <c r="G801">
        <v>0.75</v>
      </c>
      <c r="H801">
        <v>1.29</v>
      </c>
      <c r="I801">
        <v>768.86</v>
      </c>
      <c r="J801">
        <v>24.81</v>
      </c>
      <c r="K801">
        <v>3.68</v>
      </c>
      <c r="L801">
        <v>1.1299999999999999</v>
      </c>
    </row>
    <row r="802" spans="1:12" x14ac:dyDescent="0.3">
      <c r="A802" s="1">
        <v>45373</v>
      </c>
      <c r="B802">
        <v>72231.66</v>
      </c>
      <c r="C802">
        <v>73115.62</v>
      </c>
      <c r="D802">
        <v>72172.09</v>
      </c>
      <c r="E802">
        <v>72831.94</v>
      </c>
      <c r="F802">
        <v>190.75</v>
      </c>
      <c r="G802">
        <v>0.26</v>
      </c>
      <c r="H802">
        <v>2.61</v>
      </c>
      <c r="I802">
        <v>2760.9</v>
      </c>
      <c r="J802">
        <v>24.83</v>
      </c>
      <c r="K802">
        <v>3.68</v>
      </c>
      <c r="L802">
        <v>1.1200000000000001</v>
      </c>
    </row>
    <row r="803" spans="1:12" x14ac:dyDescent="0.3">
      <c r="A803" s="1">
        <v>45377</v>
      </c>
      <c r="B803">
        <v>72396.97</v>
      </c>
      <c r="C803">
        <v>72705.289999999994</v>
      </c>
      <c r="D803">
        <v>72363.03</v>
      </c>
      <c r="E803">
        <v>72470.3</v>
      </c>
      <c r="F803">
        <v>-361.64</v>
      </c>
      <c r="G803">
        <v>-0.5</v>
      </c>
      <c r="H803">
        <v>3.06</v>
      </c>
      <c r="I803">
        <v>2843.81</v>
      </c>
      <c r="J803">
        <v>24.85</v>
      </c>
      <c r="K803">
        <v>3.69</v>
      </c>
      <c r="L803">
        <v>1.1299999999999999</v>
      </c>
    </row>
    <row r="804" spans="1:12" x14ac:dyDescent="0.3">
      <c r="A804" s="1">
        <v>45378</v>
      </c>
      <c r="B804">
        <v>72692.160000000003</v>
      </c>
      <c r="C804">
        <v>73138.73</v>
      </c>
      <c r="D804">
        <v>72600.73</v>
      </c>
      <c r="E804">
        <v>72996.31</v>
      </c>
      <c r="F804">
        <v>526.01</v>
      </c>
      <c r="G804">
        <v>0.73</v>
      </c>
      <c r="H804">
        <v>0.94</v>
      </c>
      <c r="I804">
        <v>1079.5999999999999</v>
      </c>
      <c r="J804">
        <v>24.97</v>
      </c>
      <c r="K804">
        <v>3.71</v>
      </c>
      <c r="L804">
        <v>1.1200000000000001</v>
      </c>
    </row>
    <row r="805" spans="1:12" x14ac:dyDescent="0.3">
      <c r="A805" s="1">
        <v>45379</v>
      </c>
      <c r="B805">
        <v>73149.34</v>
      </c>
      <c r="C805">
        <v>74190.31</v>
      </c>
      <c r="D805">
        <v>73120.33</v>
      </c>
      <c r="E805">
        <v>73651.350000000006</v>
      </c>
      <c r="F805">
        <v>655.04</v>
      </c>
      <c r="G805">
        <v>0.9</v>
      </c>
      <c r="H805">
        <v>1.49</v>
      </c>
      <c r="I805">
        <v>1422.58</v>
      </c>
      <c r="J805">
        <v>25.15</v>
      </c>
      <c r="K805">
        <v>3.74</v>
      </c>
      <c r="L805">
        <v>1.1200000000000001</v>
      </c>
    </row>
    <row r="806" spans="1:12" x14ac:dyDescent="0.3">
      <c r="A806" s="1">
        <v>45383</v>
      </c>
      <c r="B806">
        <v>73968.62</v>
      </c>
      <c r="C806">
        <v>74254.62</v>
      </c>
      <c r="D806">
        <v>73909.39</v>
      </c>
      <c r="E806">
        <v>74014.55</v>
      </c>
      <c r="F806">
        <v>363.2</v>
      </c>
      <c r="G806">
        <v>0.49</v>
      </c>
      <c r="H806">
        <v>1.31</v>
      </c>
      <c r="I806">
        <v>865.23</v>
      </c>
      <c r="J806">
        <v>25.28</v>
      </c>
      <c r="K806">
        <v>3.76</v>
      </c>
      <c r="L806">
        <v>1.1100000000000001</v>
      </c>
    </row>
    <row r="807" spans="1:12" x14ac:dyDescent="0.3">
      <c r="A807" s="1">
        <v>45384</v>
      </c>
      <c r="B807">
        <v>74022.3</v>
      </c>
      <c r="C807">
        <v>74099.78</v>
      </c>
      <c r="D807">
        <v>73743.77</v>
      </c>
      <c r="E807">
        <v>73903.91</v>
      </c>
      <c r="F807">
        <v>-110.64</v>
      </c>
      <c r="G807">
        <v>-0.15</v>
      </c>
      <c r="H807">
        <v>0.63</v>
      </c>
      <c r="I807">
        <v>498.58</v>
      </c>
      <c r="J807">
        <v>25.25</v>
      </c>
      <c r="K807">
        <v>3.75</v>
      </c>
      <c r="L807">
        <v>1.1100000000000001</v>
      </c>
    </row>
    <row r="808" spans="1:12" x14ac:dyDescent="0.3">
      <c r="A808" s="1">
        <v>45385</v>
      </c>
      <c r="B808">
        <v>73757.23</v>
      </c>
      <c r="C808">
        <v>74151.210000000006</v>
      </c>
      <c r="D808">
        <v>73540.27</v>
      </c>
      <c r="E808">
        <v>73876.820000000007</v>
      </c>
      <c r="F808">
        <v>-27.09</v>
      </c>
      <c r="G808">
        <v>-0.04</v>
      </c>
      <c r="H808">
        <v>0.79</v>
      </c>
      <c r="I808">
        <v>609.49</v>
      </c>
      <c r="J808">
        <v>25.23</v>
      </c>
      <c r="K808">
        <v>3.75</v>
      </c>
      <c r="L808">
        <v>1.1100000000000001</v>
      </c>
    </row>
    <row r="809" spans="1:12" x14ac:dyDescent="0.3">
      <c r="A809" s="1">
        <v>45386</v>
      </c>
      <c r="B809">
        <v>74413.820000000007</v>
      </c>
      <c r="C809">
        <v>74501.73</v>
      </c>
      <c r="D809">
        <v>73485.119999999995</v>
      </c>
      <c r="E809">
        <v>74227.63</v>
      </c>
      <c r="F809">
        <v>350.81</v>
      </c>
      <c r="G809">
        <v>0.47</v>
      </c>
      <c r="H809">
        <v>1.07</v>
      </c>
      <c r="I809">
        <v>887.78</v>
      </c>
      <c r="J809">
        <v>25.34</v>
      </c>
      <c r="K809">
        <v>3.77</v>
      </c>
      <c r="L809">
        <v>1.1100000000000001</v>
      </c>
    </row>
    <row r="810" spans="1:12" x14ac:dyDescent="0.3">
      <c r="A810" s="1">
        <v>45387</v>
      </c>
      <c r="B810">
        <v>74287.02</v>
      </c>
      <c r="C810">
        <v>74361.11</v>
      </c>
      <c r="D810">
        <v>73946.92</v>
      </c>
      <c r="E810">
        <v>74248.22</v>
      </c>
      <c r="F810">
        <v>20.59</v>
      </c>
      <c r="G810">
        <v>0.03</v>
      </c>
      <c r="H810">
        <v>1.1299999999999999</v>
      </c>
      <c r="I810">
        <v>1193.4000000000001</v>
      </c>
      <c r="J810">
        <v>25.44</v>
      </c>
      <c r="K810">
        <v>3.78</v>
      </c>
      <c r="L810">
        <v>1.1000000000000001</v>
      </c>
    </row>
    <row r="811" spans="1:12" x14ac:dyDescent="0.3">
      <c r="A811" s="1">
        <v>45390</v>
      </c>
      <c r="B811">
        <v>74555.44</v>
      </c>
      <c r="C811">
        <v>74869.3</v>
      </c>
      <c r="D811">
        <v>74410.070000000007</v>
      </c>
      <c r="E811">
        <v>74742.5</v>
      </c>
      <c r="F811">
        <v>494.28</v>
      </c>
      <c r="G811">
        <v>0.67</v>
      </c>
      <c r="H811">
        <v>0.83</v>
      </c>
      <c r="I811">
        <v>696.09</v>
      </c>
      <c r="J811">
        <v>25.54</v>
      </c>
      <c r="K811">
        <v>3.8</v>
      </c>
      <c r="L811">
        <v>1.1000000000000001</v>
      </c>
    </row>
    <row r="812" spans="1:12" x14ac:dyDescent="0.3">
      <c r="A812" s="1">
        <v>45391</v>
      </c>
      <c r="B812">
        <v>75124.28</v>
      </c>
      <c r="C812">
        <v>75124.28</v>
      </c>
      <c r="D812">
        <v>74603.37</v>
      </c>
      <c r="E812">
        <v>74683.7</v>
      </c>
      <c r="F812">
        <v>-58.8</v>
      </c>
      <c r="G812">
        <v>-0.08</v>
      </c>
      <c r="H812">
        <v>4.0999999999999996</v>
      </c>
      <c r="I812">
        <v>4146.4799999999996</v>
      </c>
      <c r="J812">
        <v>25.55</v>
      </c>
      <c r="K812">
        <v>3.8</v>
      </c>
      <c r="L812">
        <v>1.1000000000000001</v>
      </c>
    </row>
    <row r="813" spans="1:12" x14ac:dyDescent="0.3">
      <c r="A813" s="1">
        <v>45392</v>
      </c>
      <c r="B813">
        <v>74953.960000000006</v>
      </c>
      <c r="C813">
        <v>75105.14</v>
      </c>
      <c r="D813">
        <v>74807.55</v>
      </c>
      <c r="E813">
        <v>75038.149999999994</v>
      </c>
      <c r="F813">
        <v>354.45</v>
      </c>
      <c r="G813">
        <v>0.47</v>
      </c>
      <c r="H813">
        <v>0.71</v>
      </c>
      <c r="I813">
        <v>616.41</v>
      </c>
      <c r="J813">
        <v>25.68</v>
      </c>
      <c r="K813">
        <v>3.82</v>
      </c>
      <c r="L813">
        <v>1.0900000000000001</v>
      </c>
    </row>
    <row r="814" spans="1:12" x14ac:dyDescent="0.3">
      <c r="A814" s="1">
        <v>45394</v>
      </c>
      <c r="B814">
        <v>74889.64</v>
      </c>
      <c r="C814">
        <v>74951.88</v>
      </c>
      <c r="D814">
        <v>74189.31</v>
      </c>
      <c r="E814">
        <v>74244.899999999994</v>
      </c>
      <c r="F814">
        <v>-793.25</v>
      </c>
      <c r="G814">
        <v>-1.06</v>
      </c>
      <c r="H814">
        <v>1.56</v>
      </c>
      <c r="I814">
        <v>1506.53</v>
      </c>
      <c r="J814">
        <v>25.37</v>
      </c>
      <c r="K814">
        <v>3.77</v>
      </c>
      <c r="L814">
        <v>1.1100000000000001</v>
      </c>
    </row>
    <row r="815" spans="1:12" x14ac:dyDescent="0.3">
      <c r="A815" s="1">
        <v>45397</v>
      </c>
      <c r="B815">
        <v>73315.16</v>
      </c>
      <c r="C815">
        <v>73905.8</v>
      </c>
      <c r="D815">
        <v>73315.16</v>
      </c>
      <c r="E815">
        <v>73399.78</v>
      </c>
      <c r="F815">
        <v>-845.12</v>
      </c>
      <c r="G815">
        <v>-1.1399999999999999</v>
      </c>
      <c r="H815">
        <v>1.28</v>
      </c>
      <c r="I815">
        <v>1022.74</v>
      </c>
      <c r="J815">
        <v>25.1</v>
      </c>
      <c r="K815">
        <v>3.74</v>
      </c>
      <c r="L815">
        <v>1.1200000000000001</v>
      </c>
    </row>
    <row r="816" spans="1:12" x14ac:dyDescent="0.3">
      <c r="A816" s="1">
        <v>45398</v>
      </c>
      <c r="B816">
        <v>72892.14</v>
      </c>
      <c r="C816">
        <v>73135.429999999993</v>
      </c>
      <c r="D816">
        <v>72685.03</v>
      </c>
      <c r="E816">
        <v>72943.679999999993</v>
      </c>
      <c r="F816">
        <v>-456.1</v>
      </c>
      <c r="G816">
        <v>-0.62</v>
      </c>
      <c r="H816">
        <v>0.92</v>
      </c>
      <c r="I816">
        <v>868.69</v>
      </c>
      <c r="J816">
        <v>24.91</v>
      </c>
      <c r="K816">
        <v>3.71</v>
      </c>
      <c r="L816">
        <v>1.1299999999999999</v>
      </c>
    </row>
    <row r="817" spans="1:12" x14ac:dyDescent="0.3">
      <c r="A817" s="1">
        <v>45400</v>
      </c>
      <c r="B817">
        <v>73183.100000000006</v>
      </c>
      <c r="C817">
        <v>73473.05</v>
      </c>
      <c r="D817">
        <v>72365.67</v>
      </c>
      <c r="E817">
        <v>72488.990000000005</v>
      </c>
      <c r="F817">
        <v>-454.69</v>
      </c>
      <c r="G817">
        <v>-0.62</v>
      </c>
      <c r="H817">
        <v>1.24</v>
      </c>
      <c r="I817">
        <v>981</v>
      </c>
      <c r="J817">
        <v>24.79</v>
      </c>
      <c r="K817">
        <v>3.69</v>
      </c>
      <c r="L817">
        <v>1.1299999999999999</v>
      </c>
    </row>
    <row r="818" spans="1:12" x14ac:dyDescent="0.3">
      <c r="A818" s="1">
        <v>45401</v>
      </c>
      <c r="B818">
        <v>71999.649999999994</v>
      </c>
      <c r="C818">
        <v>73210.17</v>
      </c>
      <c r="D818">
        <v>71816.460000000006</v>
      </c>
      <c r="E818">
        <v>73088.33</v>
      </c>
      <c r="F818">
        <v>599.34</v>
      </c>
      <c r="G818">
        <v>0.83</v>
      </c>
      <c r="H818">
        <v>1.62</v>
      </c>
      <c r="I818">
        <v>1555.28</v>
      </c>
      <c r="J818">
        <v>24.98</v>
      </c>
      <c r="K818">
        <v>3.72</v>
      </c>
      <c r="L818">
        <v>1.1200000000000001</v>
      </c>
    </row>
    <row r="819" spans="1:12" x14ac:dyDescent="0.3">
      <c r="A819" s="1">
        <v>45404</v>
      </c>
      <c r="B819">
        <v>73666.509999999995</v>
      </c>
      <c r="C819">
        <v>73767.8</v>
      </c>
      <c r="D819">
        <v>73227.320000000007</v>
      </c>
      <c r="E819">
        <v>73648.62</v>
      </c>
      <c r="F819">
        <v>560.29</v>
      </c>
      <c r="G819">
        <v>0.77</v>
      </c>
      <c r="H819">
        <v>1.1100000000000001</v>
      </c>
      <c r="I819">
        <v>1003.74</v>
      </c>
      <c r="J819">
        <v>24.68</v>
      </c>
      <c r="K819">
        <v>3.7</v>
      </c>
      <c r="L819">
        <v>1.1299999999999999</v>
      </c>
    </row>
    <row r="820" spans="1:12" x14ac:dyDescent="0.3">
      <c r="A820" s="1">
        <v>45405</v>
      </c>
      <c r="B820">
        <v>74048.94</v>
      </c>
      <c r="C820">
        <v>74059.89</v>
      </c>
      <c r="D820">
        <v>73688.31</v>
      </c>
      <c r="E820">
        <v>73738.45</v>
      </c>
      <c r="F820">
        <v>89.83</v>
      </c>
      <c r="G820">
        <v>0.12</v>
      </c>
      <c r="H820">
        <v>0.64</v>
      </c>
      <c r="I820">
        <v>638.67999999999995</v>
      </c>
      <c r="J820">
        <v>24.71</v>
      </c>
      <c r="K820">
        <v>3.7</v>
      </c>
      <c r="L820">
        <v>1.1299999999999999</v>
      </c>
    </row>
    <row r="821" spans="1:12" x14ac:dyDescent="0.3">
      <c r="A821" s="1">
        <v>45406</v>
      </c>
      <c r="B821">
        <v>73957.570000000007</v>
      </c>
      <c r="C821">
        <v>74121.61</v>
      </c>
      <c r="D821">
        <v>73788.61</v>
      </c>
      <c r="E821">
        <v>73852.94</v>
      </c>
      <c r="F821">
        <v>114.49</v>
      </c>
      <c r="G821">
        <v>0.16</v>
      </c>
      <c r="H821">
        <v>0.66</v>
      </c>
      <c r="I821">
        <v>454.95</v>
      </c>
      <c r="J821">
        <v>24.75</v>
      </c>
      <c r="K821">
        <v>3.68</v>
      </c>
      <c r="L821">
        <v>1.1299999999999999</v>
      </c>
    </row>
    <row r="822" spans="1:12" x14ac:dyDescent="0.3">
      <c r="A822" s="1">
        <v>45407</v>
      </c>
      <c r="B822">
        <v>73572.34</v>
      </c>
      <c r="C822">
        <v>74571.25</v>
      </c>
      <c r="D822">
        <v>73556.149999999994</v>
      </c>
      <c r="E822">
        <v>74339.44</v>
      </c>
      <c r="F822">
        <v>486.5</v>
      </c>
      <c r="G822">
        <v>0.66</v>
      </c>
      <c r="H822">
        <v>1.18</v>
      </c>
      <c r="I822">
        <v>1283.47</v>
      </c>
      <c r="J822">
        <v>24.89</v>
      </c>
      <c r="K822">
        <v>3.7</v>
      </c>
      <c r="L822">
        <v>1.1299999999999999</v>
      </c>
    </row>
    <row r="823" spans="1:12" x14ac:dyDescent="0.3">
      <c r="A823" s="1">
        <v>45408</v>
      </c>
      <c r="B823">
        <v>74509.31</v>
      </c>
      <c r="C823">
        <v>74515.91</v>
      </c>
      <c r="D823">
        <v>73616.649999999994</v>
      </c>
      <c r="E823">
        <v>73730.16</v>
      </c>
      <c r="F823">
        <v>-609.28</v>
      </c>
      <c r="G823">
        <v>-0.82</v>
      </c>
      <c r="H823">
        <v>1.37</v>
      </c>
      <c r="I823">
        <v>1569.15</v>
      </c>
      <c r="J823">
        <v>23.87</v>
      </c>
      <c r="K823">
        <v>3.66</v>
      </c>
      <c r="L823">
        <v>1.1499999999999999</v>
      </c>
    </row>
    <row r="824" spans="1:12" x14ac:dyDescent="0.3">
      <c r="A824" s="1">
        <v>45411</v>
      </c>
      <c r="B824">
        <v>73982.75</v>
      </c>
      <c r="C824">
        <v>74721.149999999994</v>
      </c>
      <c r="D824">
        <v>73922.34</v>
      </c>
      <c r="E824">
        <v>74671.28</v>
      </c>
      <c r="F824">
        <v>941.12</v>
      </c>
      <c r="G824">
        <v>1.28</v>
      </c>
      <c r="H824">
        <v>0.99</v>
      </c>
      <c r="I824">
        <v>832.43</v>
      </c>
      <c r="J824">
        <v>23.96</v>
      </c>
      <c r="K824">
        <v>3.64</v>
      </c>
      <c r="L824">
        <v>1.1499999999999999</v>
      </c>
    </row>
    <row r="825" spans="1:12" x14ac:dyDescent="0.3">
      <c r="A825" s="1">
        <v>45412</v>
      </c>
      <c r="B825">
        <v>74800.89</v>
      </c>
      <c r="C825">
        <v>75111.39</v>
      </c>
      <c r="D825">
        <v>74346.399999999994</v>
      </c>
      <c r="E825">
        <v>74482.78</v>
      </c>
      <c r="F825">
        <v>-188.5</v>
      </c>
      <c r="G825">
        <v>-0.25</v>
      </c>
      <c r="H825">
        <v>0.84</v>
      </c>
      <c r="I825">
        <v>806.57</v>
      </c>
      <c r="J825">
        <v>23.91</v>
      </c>
      <c r="K825">
        <v>3.63</v>
      </c>
      <c r="L825">
        <v>1.1499999999999999</v>
      </c>
    </row>
    <row r="826" spans="1:12" x14ac:dyDescent="0.3">
      <c r="A826" s="1">
        <v>45414</v>
      </c>
      <c r="B826">
        <v>74391.73</v>
      </c>
      <c r="C826">
        <v>74812.429999999993</v>
      </c>
      <c r="D826">
        <v>74360.69</v>
      </c>
      <c r="E826">
        <v>74611.11</v>
      </c>
      <c r="F826">
        <v>128.33000000000001</v>
      </c>
      <c r="G826">
        <v>0.17</v>
      </c>
      <c r="H826">
        <v>1.84</v>
      </c>
      <c r="I826">
        <v>2300.15</v>
      </c>
      <c r="J826">
        <v>23.94</v>
      </c>
      <c r="K826">
        <v>3.64</v>
      </c>
      <c r="L826">
        <v>1.17</v>
      </c>
    </row>
    <row r="827" spans="1:12" x14ac:dyDescent="0.3">
      <c r="A827" s="1">
        <v>45415</v>
      </c>
      <c r="B827">
        <v>75017.820000000007</v>
      </c>
      <c r="C827">
        <v>75095.179999999993</v>
      </c>
      <c r="D827">
        <v>73467.73</v>
      </c>
      <c r="E827">
        <v>73878.149999999994</v>
      </c>
      <c r="F827">
        <v>-732.96</v>
      </c>
      <c r="G827">
        <v>-0.98</v>
      </c>
      <c r="H827">
        <v>1.56</v>
      </c>
      <c r="I827">
        <v>1555.35</v>
      </c>
      <c r="J827">
        <v>23.71</v>
      </c>
      <c r="K827">
        <v>3.6</v>
      </c>
      <c r="L827">
        <v>1.2</v>
      </c>
    </row>
    <row r="828" spans="1:12" x14ac:dyDescent="0.3">
      <c r="A828" s="1">
        <v>45418</v>
      </c>
      <c r="B828">
        <v>74196.679999999993</v>
      </c>
      <c r="C828">
        <v>74359.69</v>
      </c>
      <c r="D828">
        <v>73786.289999999994</v>
      </c>
      <c r="E828">
        <v>73895.539999999994</v>
      </c>
      <c r="F828">
        <v>17.39</v>
      </c>
      <c r="G828">
        <v>0.02</v>
      </c>
      <c r="H828">
        <v>1.1200000000000001</v>
      </c>
      <c r="I828">
        <v>1562.72</v>
      </c>
      <c r="J828">
        <v>23.65</v>
      </c>
      <c r="K828">
        <v>3.59</v>
      </c>
      <c r="L828">
        <v>1.2</v>
      </c>
    </row>
    <row r="829" spans="1:12" x14ac:dyDescent="0.3">
      <c r="A829" s="1">
        <v>45419</v>
      </c>
      <c r="B829">
        <v>73973.3</v>
      </c>
      <c r="C829">
        <v>74026.8</v>
      </c>
      <c r="D829">
        <v>73259.259999999995</v>
      </c>
      <c r="E829">
        <v>73511.850000000006</v>
      </c>
      <c r="F829">
        <v>-383.69</v>
      </c>
      <c r="G829">
        <v>-0.52</v>
      </c>
      <c r="H829">
        <v>0.79</v>
      </c>
      <c r="I829">
        <v>794.71</v>
      </c>
      <c r="J829">
        <v>23.52</v>
      </c>
      <c r="K829">
        <v>3.57</v>
      </c>
      <c r="L829">
        <v>1.21</v>
      </c>
    </row>
    <row r="830" spans="1:12" x14ac:dyDescent="0.3">
      <c r="A830" s="1">
        <v>45420</v>
      </c>
      <c r="B830">
        <v>73225</v>
      </c>
      <c r="C830">
        <v>73684.929999999993</v>
      </c>
      <c r="D830">
        <v>73073.919999999998</v>
      </c>
      <c r="E830">
        <v>73466.39</v>
      </c>
      <c r="F830">
        <v>-45.46</v>
      </c>
      <c r="G830">
        <v>-0.06</v>
      </c>
      <c r="H830">
        <v>0.65</v>
      </c>
      <c r="I830">
        <v>640.03</v>
      </c>
      <c r="J830">
        <v>23.53</v>
      </c>
      <c r="K830">
        <v>3.57</v>
      </c>
      <c r="L830">
        <v>1.21</v>
      </c>
    </row>
    <row r="831" spans="1:12" x14ac:dyDescent="0.3">
      <c r="A831" s="1">
        <v>45421</v>
      </c>
      <c r="B831">
        <v>73499.490000000005</v>
      </c>
      <c r="C831">
        <v>73499.490000000005</v>
      </c>
      <c r="D831">
        <v>72334.179999999993</v>
      </c>
      <c r="E831">
        <v>72404.17</v>
      </c>
      <c r="F831">
        <v>-1062.22</v>
      </c>
      <c r="G831">
        <v>-1.45</v>
      </c>
      <c r="H831">
        <v>0.92</v>
      </c>
      <c r="I831">
        <v>968.24</v>
      </c>
      <c r="J831">
        <v>23.19</v>
      </c>
      <c r="K831">
        <v>3.52</v>
      </c>
      <c r="L831">
        <v>1.23</v>
      </c>
    </row>
    <row r="832" spans="1:12" x14ac:dyDescent="0.3">
      <c r="A832" s="1">
        <v>45422</v>
      </c>
      <c r="B832">
        <v>72475.45</v>
      </c>
      <c r="C832">
        <v>72946.539999999994</v>
      </c>
      <c r="D832">
        <v>72366.289999999994</v>
      </c>
      <c r="E832">
        <v>72664.47</v>
      </c>
      <c r="F832">
        <v>260.3</v>
      </c>
      <c r="G832">
        <v>0.36</v>
      </c>
      <c r="H832">
        <v>1.1000000000000001</v>
      </c>
      <c r="I832">
        <v>1139.8699999999999</v>
      </c>
      <c r="J832">
        <v>23.25</v>
      </c>
      <c r="K832">
        <v>3.52</v>
      </c>
      <c r="L832">
        <v>1.22</v>
      </c>
    </row>
    <row r="833" spans="1:12" x14ac:dyDescent="0.3">
      <c r="A833" s="1">
        <v>45425</v>
      </c>
      <c r="B833">
        <v>72476.649999999994</v>
      </c>
      <c r="C833">
        <v>72863.56</v>
      </c>
      <c r="D833">
        <v>71866.009999999995</v>
      </c>
      <c r="E833">
        <v>72776.13</v>
      </c>
      <c r="F833">
        <v>111.66</v>
      </c>
      <c r="G833">
        <v>0.15</v>
      </c>
      <c r="H833">
        <v>1.39</v>
      </c>
      <c r="I833">
        <v>1259.17</v>
      </c>
      <c r="J833">
        <v>23.22</v>
      </c>
      <c r="K833">
        <v>3.5</v>
      </c>
      <c r="L833">
        <v>1.27</v>
      </c>
    </row>
    <row r="834" spans="1:12" x14ac:dyDescent="0.3">
      <c r="A834" s="1">
        <v>45426</v>
      </c>
      <c r="B834">
        <v>72696.72</v>
      </c>
      <c r="C834">
        <v>73286.259999999995</v>
      </c>
      <c r="D834">
        <v>72683.990000000005</v>
      </c>
      <c r="E834">
        <v>73104.61</v>
      </c>
      <c r="F834">
        <v>328.48</v>
      </c>
      <c r="G834">
        <v>0.45</v>
      </c>
      <c r="H834">
        <v>0.71</v>
      </c>
      <c r="I834">
        <v>600.53</v>
      </c>
      <c r="J834">
        <v>23.32</v>
      </c>
      <c r="K834">
        <v>3.51</v>
      </c>
      <c r="L834">
        <v>1.26</v>
      </c>
    </row>
    <row r="835" spans="1:12" x14ac:dyDescent="0.3">
      <c r="A835" s="1">
        <v>45427</v>
      </c>
      <c r="B835">
        <v>73200.23</v>
      </c>
      <c r="C835">
        <v>73301.47</v>
      </c>
      <c r="D835">
        <v>72822.66</v>
      </c>
      <c r="E835">
        <v>72987.03</v>
      </c>
      <c r="F835">
        <v>-117.58</v>
      </c>
      <c r="G835">
        <v>-0.16</v>
      </c>
      <c r="H835">
        <v>0.77</v>
      </c>
      <c r="I835">
        <v>668.88</v>
      </c>
      <c r="J835">
        <v>23.28</v>
      </c>
      <c r="K835">
        <v>3.51</v>
      </c>
      <c r="L835">
        <v>1.25</v>
      </c>
    </row>
    <row r="836" spans="1:12" x14ac:dyDescent="0.3">
      <c r="A836" s="1">
        <v>45428</v>
      </c>
      <c r="B836">
        <v>73338.240000000005</v>
      </c>
      <c r="C836">
        <v>73749.47</v>
      </c>
      <c r="D836">
        <v>72529.97</v>
      </c>
      <c r="E836">
        <v>73663.72</v>
      </c>
      <c r="F836">
        <v>676.69</v>
      </c>
      <c r="G836">
        <v>0.93</v>
      </c>
      <c r="H836">
        <v>0.97</v>
      </c>
      <c r="I836">
        <v>863.74</v>
      </c>
      <c r="J836">
        <v>23.51</v>
      </c>
      <c r="K836">
        <v>3.54</v>
      </c>
      <c r="L836">
        <v>1.25</v>
      </c>
    </row>
    <row r="837" spans="1:12" x14ac:dyDescent="0.3">
      <c r="A837" s="1">
        <v>45429</v>
      </c>
      <c r="B837">
        <v>73711.31</v>
      </c>
      <c r="C837">
        <v>74070.84</v>
      </c>
      <c r="D837">
        <v>73459.8</v>
      </c>
      <c r="E837">
        <v>73917.03</v>
      </c>
      <c r="F837">
        <v>253.31</v>
      </c>
      <c r="G837">
        <v>0.34</v>
      </c>
      <c r="H837">
        <v>1.19</v>
      </c>
      <c r="I837">
        <v>1204.74</v>
      </c>
      <c r="J837">
        <v>23.61</v>
      </c>
      <c r="K837">
        <v>3.55</v>
      </c>
      <c r="L837">
        <v>1.25</v>
      </c>
    </row>
    <row r="838" spans="1:12" x14ac:dyDescent="0.3">
      <c r="A838" s="1">
        <v>45430</v>
      </c>
      <c r="B838">
        <v>73921.460000000006</v>
      </c>
      <c r="C838">
        <v>74162.759999999995</v>
      </c>
      <c r="D838">
        <v>73920.63</v>
      </c>
      <c r="E838">
        <v>74005.94</v>
      </c>
      <c r="F838">
        <v>88.91</v>
      </c>
      <c r="G838">
        <v>0.12</v>
      </c>
      <c r="H838">
        <v>0.11</v>
      </c>
      <c r="I838">
        <v>96.42</v>
      </c>
      <c r="J838">
        <v>23.64</v>
      </c>
      <c r="K838">
        <v>3.55</v>
      </c>
      <c r="L838">
        <v>1.25</v>
      </c>
    </row>
    <row r="839" spans="1:12" x14ac:dyDescent="0.3">
      <c r="A839" s="1">
        <v>45433</v>
      </c>
      <c r="B839">
        <v>73842.960000000006</v>
      </c>
      <c r="C839">
        <v>74189.19</v>
      </c>
      <c r="D839">
        <v>73762.37</v>
      </c>
      <c r="E839">
        <v>73953.31</v>
      </c>
      <c r="F839">
        <v>-52.63</v>
      </c>
      <c r="G839">
        <v>-7.0000000000000007E-2</v>
      </c>
      <c r="H839">
        <v>1.1000000000000001</v>
      </c>
      <c r="I839">
        <v>667.72</v>
      </c>
      <c r="J839">
        <v>23.66</v>
      </c>
      <c r="K839">
        <v>3.54</v>
      </c>
      <c r="L839">
        <v>1.25</v>
      </c>
    </row>
    <row r="840" spans="1:12" x14ac:dyDescent="0.3">
      <c r="A840" s="1">
        <v>45434</v>
      </c>
      <c r="B840">
        <v>74165.52</v>
      </c>
      <c r="C840">
        <v>74307.789999999994</v>
      </c>
      <c r="D840">
        <v>73860.33</v>
      </c>
      <c r="E840">
        <v>74221.06</v>
      </c>
      <c r="F840">
        <v>267.75</v>
      </c>
      <c r="G840">
        <v>0.36</v>
      </c>
      <c r="H840">
        <v>0.62</v>
      </c>
      <c r="I840">
        <v>576.66</v>
      </c>
      <c r="J840">
        <v>23.76</v>
      </c>
      <c r="K840">
        <v>3.56</v>
      </c>
      <c r="L840">
        <v>1.25</v>
      </c>
    </row>
    <row r="841" spans="1:12" x14ac:dyDescent="0.3">
      <c r="A841" s="1">
        <v>45435</v>
      </c>
      <c r="B841">
        <v>74253.53</v>
      </c>
      <c r="C841">
        <v>75499.91</v>
      </c>
      <c r="D841">
        <v>74158.350000000006</v>
      </c>
      <c r="E841">
        <v>75418.039999999994</v>
      </c>
      <c r="F841">
        <v>1196.98</v>
      </c>
      <c r="G841">
        <v>1.61</v>
      </c>
      <c r="H841">
        <v>1.19</v>
      </c>
      <c r="I841">
        <v>1034.27</v>
      </c>
      <c r="J841">
        <v>24.15</v>
      </c>
      <c r="K841">
        <v>3.61</v>
      </c>
      <c r="L841">
        <v>1.23</v>
      </c>
    </row>
    <row r="842" spans="1:12" x14ac:dyDescent="0.3">
      <c r="A842" s="1">
        <v>45436</v>
      </c>
      <c r="B842">
        <v>75335.45</v>
      </c>
      <c r="C842">
        <v>75636.5</v>
      </c>
      <c r="D842">
        <v>75244.22</v>
      </c>
      <c r="E842">
        <v>75410.39</v>
      </c>
      <c r="F842">
        <v>-7.65</v>
      </c>
      <c r="G842">
        <v>-0.01</v>
      </c>
      <c r="H842">
        <v>1.03</v>
      </c>
      <c r="I842">
        <v>1083.98</v>
      </c>
      <c r="J842">
        <v>24.18</v>
      </c>
      <c r="K842">
        <v>3.62</v>
      </c>
      <c r="L842">
        <v>1.23</v>
      </c>
    </row>
    <row r="843" spans="1:12" x14ac:dyDescent="0.3">
      <c r="A843" s="1">
        <v>45439</v>
      </c>
      <c r="B843">
        <v>75655.460000000006</v>
      </c>
      <c r="C843">
        <v>76009.679999999993</v>
      </c>
      <c r="D843">
        <v>75175.27</v>
      </c>
      <c r="E843">
        <v>75390.5</v>
      </c>
      <c r="F843">
        <v>-19.89</v>
      </c>
      <c r="G843">
        <v>-0.03</v>
      </c>
      <c r="H843">
        <v>1.02</v>
      </c>
      <c r="I843">
        <v>1068.45</v>
      </c>
      <c r="J843">
        <v>24.07</v>
      </c>
      <c r="K843">
        <v>3.6</v>
      </c>
      <c r="L843">
        <v>1.24</v>
      </c>
    </row>
    <row r="844" spans="1:12" x14ac:dyDescent="0.3">
      <c r="A844" s="1">
        <v>45440</v>
      </c>
      <c r="B844">
        <v>75585.399999999994</v>
      </c>
      <c r="C844">
        <v>75585.399999999994</v>
      </c>
      <c r="D844">
        <v>75083.22</v>
      </c>
      <c r="E844">
        <v>75170.45</v>
      </c>
      <c r="F844">
        <v>-220.05</v>
      </c>
      <c r="G844">
        <v>-0.28999999999999998</v>
      </c>
      <c r="H844">
        <v>0.69</v>
      </c>
      <c r="I844">
        <v>569.5</v>
      </c>
      <c r="J844">
        <v>23.97</v>
      </c>
      <c r="K844">
        <v>3.58</v>
      </c>
      <c r="L844">
        <v>1.25</v>
      </c>
    </row>
    <row r="845" spans="1:12" x14ac:dyDescent="0.3">
      <c r="A845" s="1">
        <v>45441</v>
      </c>
      <c r="B845">
        <v>74826.94</v>
      </c>
      <c r="C845">
        <v>74986.22</v>
      </c>
      <c r="D845">
        <v>74454.55</v>
      </c>
      <c r="E845">
        <v>74502.899999999994</v>
      </c>
      <c r="F845">
        <v>-667.55</v>
      </c>
      <c r="G845">
        <v>-0.89</v>
      </c>
      <c r="H845">
        <v>0.82</v>
      </c>
      <c r="I845">
        <v>767.74</v>
      </c>
      <c r="J845">
        <v>23.74</v>
      </c>
      <c r="K845">
        <v>3.55</v>
      </c>
      <c r="L845">
        <v>1.26</v>
      </c>
    </row>
    <row r="846" spans="1:12" x14ac:dyDescent="0.3">
      <c r="A846" s="1">
        <v>45442</v>
      </c>
      <c r="B846">
        <v>74365.88</v>
      </c>
      <c r="C846">
        <v>74493.55</v>
      </c>
      <c r="D846">
        <v>73668.73</v>
      </c>
      <c r="E846">
        <v>73885.600000000006</v>
      </c>
      <c r="F846">
        <v>-617.29999999999995</v>
      </c>
      <c r="G846">
        <v>-0.83</v>
      </c>
      <c r="H846">
        <v>1.18</v>
      </c>
      <c r="I846">
        <v>809.06</v>
      </c>
      <c r="J846">
        <v>23.56</v>
      </c>
      <c r="K846">
        <v>3.52</v>
      </c>
      <c r="L846">
        <v>1.27</v>
      </c>
    </row>
    <row r="847" spans="1:12" x14ac:dyDescent="0.3">
      <c r="A847" s="1">
        <v>45443</v>
      </c>
      <c r="B847">
        <v>74208.53</v>
      </c>
      <c r="C847">
        <v>74478.89</v>
      </c>
      <c r="D847">
        <v>73765.149999999994</v>
      </c>
      <c r="E847">
        <v>73961.31</v>
      </c>
      <c r="F847">
        <v>75.709999999999994</v>
      </c>
      <c r="G847">
        <v>0.1</v>
      </c>
      <c r="H847">
        <v>1.92</v>
      </c>
      <c r="I847">
        <v>2077.16</v>
      </c>
      <c r="J847">
        <v>23.59</v>
      </c>
      <c r="K847">
        <v>3.52</v>
      </c>
      <c r="L847">
        <v>1.27</v>
      </c>
    </row>
    <row r="848" spans="1:12" x14ac:dyDescent="0.3">
      <c r="A848" s="1">
        <v>45446</v>
      </c>
      <c r="B848">
        <v>76583.289999999994</v>
      </c>
      <c r="C848">
        <v>76738.89</v>
      </c>
      <c r="D848">
        <v>75678.429999999993</v>
      </c>
      <c r="E848">
        <v>76468.78</v>
      </c>
      <c r="F848">
        <v>2507.4699999999998</v>
      </c>
      <c r="G848">
        <v>3.39</v>
      </c>
      <c r="H848">
        <v>1.93</v>
      </c>
      <c r="I848">
        <v>1964.47</v>
      </c>
      <c r="J848">
        <v>23.1</v>
      </c>
      <c r="K848">
        <v>3.77</v>
      </c>
      <c r="L848">
        <v>1.06</v>
      </c>
    </row>
    <row r="849" spans="1:12" x14ac:dyDescent="0.3">
      <c r="A849" s="1">
        <v>45447</v>
      </c>
      <c r="B849">
        <v>76285.78</v>
      </c>
      <c r="C849">
        <v>76300.460000000006</v>
      </c>
      <c r="D849">
        <v>70234.429999999993</v>
      </c>
      <c r="E849">
        <v>72079.05</v>
      </c>
      <c r="F849">
        <v>-4389.7299999999996</v>
      </c>
      <c r="G849">
        <v>-5.74</v>
      </c>
      <c r="H849">
        <v>3.91</v>
      </c>
      <c r="I849">
        <v>3590.21</v>
      </c>
      <c r="J849">
        <v>21.77</v>
      </c>
      <c r="K849">
        <v>3.55</v>
      </c>
      <c r="L849">
        <v>1.21</v>
      </c>
    </row>
    <row r="850" spans="1:12" x14ac:dyDescent="0.3">
      <c r="A850" s="1">
        <v>45448</v>
      </c>
      <c r="B850">
        <v>73027.88</v>
      </c>
      <c r="C850">
        <v>74534.820000000007</v>
      </c>
      <c r="D850">
        <v>71879.44</v>
      </c>
      <c r="E850">
        <v>74382.240000000005</v>
      </c>
      <c r="F850">
        <v>2303.19</v>
      </c>
      <c r="G850">
        <v>3.2</v>
      </c>
      <c r="H850">
        <v>5.13</v>
      </c>
      <c r="I850">
        <v>3645.22</v>
      </c>
      <c r="J850">
        <v>22.47</v>
      </c>
      <c r="K850">
        <v>3.66</v>
      </c>
      <c r="L850">
        <v>1.17</v>
      </c>
    </row>
    <row r="851" spans="1:12" x14ac:dyDescent="0.3">
      <c r="A851" s="1">
        <v>45449</v>
      </c>
      <c r="B851">
        <v>75078.7</v>
      </c>
      <c r="C851">
        <v>75297.73</v>
      </c>
      <c r="D851">
        <v>74474.94</v>
      </c>
      <c r="E851">
        <v>75074.509999999995</v>
      </c>
      <c r="F851">
        <v>692.27</v>
      </c>
      <c r="G851">
        <v>0.93</v>
      </c>
      <c r="H851">
        <v>1.33</v>
      </c>
      <c r="I851">
        <v>1106.19</v>
      </c>
      <c r="J851">
        <v>22.68</v>
      </c>
      <c r="K851">
        <v>3.7</v>
      </c>
      <c r="L851">
        <v>1.1599999999999999</v>
      </c>
    </row>
    <row r="852" spans="1:12" x14ac:dyDescent="0.3">
      <c r="A852" s="1">
        <v>45450</v>
      </c>
      <c r="B852">
        <v>75031.789999999994</v>
      </c>
      <c r="C852">
        <v>76795.31</v>
      </c>
      <c r="D852">
        <v>74941.88</v>
      </c>
      <c r="E852">
        <v>76693.36</v>
      </c>
      <c r="F852">
        <v>1618.85</v>
      </c>
      <c r="G852">
        <v>2.16</v>
      </c>
      <c r="H852">
        <v>2.9</v>
      </c>
      <c r="I852">
        <v>3059.16</v>
      </c>
      <c r="J852">
        <v>23.17</v>
      </c>
      <c r="K852">
        <v>3.78</v>
      </c>
      <c r="L852">
        <v>1.1399999999999999</v>
      </c>
    </row>
    <row r="853" spans="1:12" x14ac:dyDescent="0.3">
      <c r="A853" s="1">
        <v>45453</v>
      </c>
      <c r="B853">
        <v>76935.41</v>
      </c>
      <c r="C853">
        <v>77079.039999999994</v>
      </c>
      <c r="D853">
        <v>76379.73</v>
      </c>
      <c r="E853">
        <v>76490.080000000002</v>
      </c>
      <c r="F853">
        <v>-203.28</v>
      </c>
      <c r="G853">
        <v>-0.27</v>
      </c>
      <c r="H853">
        <v>1.73</v>
      </c>
      <c r="I853">
        <v>1558.71</v>
      </c>
      <c r="J853">
        <v>23.11</v>
      </c>
      <c r="K853">
        <v>3.77</v>
      </c>
      <c r="L853">
        <v>1.1299999999999999</v>
      </c>
    </row>
    <row r="854" spans="1:12" x14ac:dyDescent="0.3">
      <c r="A854" s="1">
        <v>45454</v>
      </c>
      <c r="B854">
        <v>76680.899999999994</v>
      </c>
      <c r="C854">
        <v>76860.53</v>
      </c>
      <c r="D854">
        <v>76296.44</v>
      </c>
      <c r="E854">
        <v>76456.59</v>
      </c>
      <c r="F854">
        <v>-33.49</v>
      </c>
      <c r="G854">
        <v>-0.04</v>
      </c>
      <c r="H854">
        <v>0.67</v>
      </c>
      <c r="I854">
        <v>601.61</v>
      </c>
      <c r="J854">
        <v>23.09</v>
      </c>
      <c r="K854">
        <v>3.77</v>
      </c>
      <c r="L854">
        <v>1.1499999999999999</v>
      </c>
    </row>
    <row r="855" spans="1:12" x14ac:dyDescent="0.3">
      <c r="A855" s="1">
        <v>45455</v>
      </c>
      <c r="B855">
        <v>76679.11</v>
      </c>
      <c r="C855">
        <v>77050.53</v>
      </c>
      <c r="D855">
        <v>76533.78</v>
      </c>
      <c r="E855">
        <v>76606.570000000007</v>
      </c>
      <c r="F855">
        <v>149.97999999999999</v>
      </c>
      <c r="G855">
        <v>0.2</v>
      </c>
      <c r="H855">
        <v>0.97</v>
      </c>
      <c r="I855">
        <v>755.44</v>
      </c>
      <c r="J855">
        <v>23.14</v>
      </c>
      <c r="K855">
        <v>3.77</v>
      </c>
      <c r="L855">
        <v>1.1499999999999999</v>
      </c>
    </row>
    <row r="856" spans="1:12" x14ac:dyDescent="0.3">
      <c r="A856" s="1">
        <v>45456</v>
      </c>
      <c r="B856">
        <v>77102.05</v>
      </c>
      <c r="C856">
        <v>77145.460000000006</v>
      </c>
      <c r="D856">
        <v>76719.7</v>
      </c>
      <c r="E856">
        <v>76810.899999999994</v>
      </c>
      <c r="F856">
        <v>204.33</v>
      </c>
      <c r="G856">
        <v>0.27</v>
      </c>
      <c r="H856">
        <v>0.75</v>
      </c>
      <c r="I856">
        <v>618.24</v>
      </c>
      <c r="J856">
        <v>23.2</v>
      </c>
      <c r="K856">
        <v>3.78</v>
      </c>
      <c r="L856">
        <v>1.1399999999999999</v>
      </c>
    </row>
    <row r="857" spans="1:12" x14ac:dyDescent="0.3">
      <c r="A857" s="1">
        <v>45457</v>
      </c>
      <c r="B857">
        <v>76912.38</v>
      </c>
      <c r="C857">
        <v>77081.3</v>
      </c>
      <c r="D857">
        <v>76549.05</v>
      </c>
      <c r="E857">
        <v>76992.77</v>
      </c>
      <c r="F857">
        <v>181.87</v>
      </c>
      <c r="G857">
        <v>0.24</v>
      </c>
      <c r="H857">
        <v>1.24</v>
      </c>
      <c r="I857">
        <v>1409.46</v>
      </c>
      <c r="J857">
        <v>23.26</v>
      </c>
      <c r="K857">
        <v>3.79</v>
      </c>
      <c r="L857">
        <v>1.17</v>
      </c>
    </row>
    <row r="858" spans="1:12" x14ac:dyDescent="0.3">
      <c r="A858" s="1">
        <v>45461</v>
      </c>
      <c r="B858">
        <v>77235.31</v>
      </c>
      <c r="C858">
        <v>77366.77</v>
      </c>
      <c r="D858">
        <v>77071.44</v>
      </c>
      <c r="E858">
        <v>77301.14</v>
      </c>
      <c r="F858">
        <v>308.37</v>
      </c>
      <c r="G858">
        <v>0.4</v>
      </c>
      <c r="H858">
        <v>0.74</v>
      </c>
      <c r="I858">
        <v>669.23</v>
      </c>
      <c r="J858">
        <v>23.35</v>
      </c>
      <c r="K858">
        <v>3.81</v>
      </c>
      <c r="L858">
        <v>1.1299999999999999</v>
      </c>
    </row>
    <row r="859" spans="1:12" x14ac:dyDescent="0.3">
      <c r="A859" s="1">
        <v>45462</v>
      </c>
      <c r="B859">
        <v>77543.22</v>
      </c>
      <c r="C859">
        <v>77851.63</v>
      </c>
      <c r="D859">
        <v>76954.87</v>
      </c>
      <c r="E859">
        <v>77337.59</v>
      </c>
      <c r="F859">
        <v>36.450000000000003</v>
      </c>
      <c r="G859">
        <v>0.05</v>
      </c>
      <c r="H859">
        <v>1.1100000000000001</v>
      </c>
      <c r="I859">
        <v>1147.31</v>
      </c>
      <c r="J859">
        <v>23.36</v>
      </c>
      <c r="K859">
        <v>3.81</v>
      </c>
      <c r="L859">
        <v>1.1299999999999999</v>
      </c>
    </row>
    <row r="860" spans="1:12" x14ac:dyDescent="0.3">
      <c r="A860" s="1">
        <v>45463</v>
      </c>
      <c r="B860">
        <v>77554.83</v>
      </c>
      <c r="C860">
        <v>77643.09</v>
      </c>
      <c r="D860">
        <v>77100.36</v>
      </c>
      <c r="E860">
        <v>77478.929999999993</v>
      </c>
      <c r="F860">
        <v>141.34</v>
      </c>
      <c r="G860">
        <v>0.18</v>
      </c>
      <c r="H860">
        <v>0.87</v>
      </c>
      <c r="I860">
        <v>860.2</v>
      </c>
      <c r="J860">
        <v>23.4</v>
      </c>
      <c r="K860">
        <v>3.82</v>
      </c>
      <c r="L860">
        <v>1.1499999999999999</v>
      </c>
    </row>
    <row r="861" spans="1:12" x14ac:dyDescent="0.3">
      <c r="A861" s="1">
        <v>45464</v>
      </c>
      <c r="B861">
        <v>77729.48</v>
      </c>
      <c r="C861">
        <v>77808.45</v>
      </c>
      <c r="D861">
        <v>76802</v>
      </c>
      <c r="E861">
        <v>77209.899999999994</v>
      </c>
      <c r="F861">
        <v>-269.02999999999997</v>
      </c>
      <c r="G861">
        <v>-0.35</v>
      </c>
      <c r="H861">
        <v>2.3199999999999998</v>
      </c>
      <c r="I861">
        <v>2585.5500000000002</v>
      </c>
      <c r="J861">
        <v>23.32</v>
      </c>
      <c r="K861">
        <v>3.8</v>
      </c>
      <c r="L861">
        <v>1.2</v>
      </c>
    </row>
    <row r="862" spans="1:12" x14ac:dyDescent="0.3">
      <c r="A862" s="1">
        <v>45467</v>
      </c>
      <c r="B862">
        <v>76885.649999999994</v>
      </c>
      <c r="C862">
        <v>77423.02</v>
      </c>
      <c r="D862">
        <v>76745.94</v>
      </c>
      <c r="E862">
        <v>77341.08</v>
      </c>
      <c r="F862">
        <v>131.18</v>
      </c>
      <c r="G862">
        <v>0.17</v>
      </c>
      <c r="H862">
        <v>1.39</v>
      </c>
      <c r="I862">
        <v>1520.8</v>
      </c>
      <c r="J862">
        <v>23.53</v>
      </c>
      <c r="K862">
        <v>3.84</v>
      </c>
      <c r="L862">
        <v>1.17</v>
      </c>
    </row>
    <row r="863" spans="1:12" x14ac:dyDescent="0.3">
      <c r="A863" s="1">
        <v>45468</v>
      </c>
      <c r="B863">
        <v>77529.19</v>
      </c>
      <c r="C863">
        <v>78164.710000000006</v>
      </c>
      <c r="D863">
        <v>77459.600000000006</v>
      </c>
      <c r="E863">
        <v>78053.52</v>
      </c>
      <c r="F863">
        <v>712.44</v>
      </c>
      <c r="G863">
        <v>0.92</v>
      </c>
      <c r="H863">
        <v>0.88</v>
      </c>
      <c r="I863">
        <v>1040.19</v>
      </c>
      <c r="J863">
        <v>23.75</v>
      </c>
      <c r="K863">
        <v>3.88</v>
      </c>
      <c r="L863">
        <v>1.1599999999999999</v>
      </c>
    </row>
    <row r="864" spans="1:12" x14ac:dyDescent="0.3">
      <c r="A864" s="1">
        <v>45469</v>
      </c>
      <c r="B864">
        <v>78094.02</v>
      </c>
      <c r="C864">
        <v>78759.399999999994</v>
      </c>
      <c r="D864">
        <v>77945.94</v>
      </c>
      <c r="E864">
        <v>78674.25</v>
      </c>
      <c r="F864">
        <v>620.73</v>
      </c>
      <c r="G864">
        <v>0.8</v>
      </c>
      <c r="H864">
        <v>0.86</v>
      </c>
      <c r="I864">
        <v>939.33</v>
      </c>
      <c r="J864">
        <v>23.94</v>
      </c>
      <c r="K864">
        <v>3.91</v>
      </c>
      <c r="L864">
        <v>1.1499999999999999</v>
      </c>
    </row>
    <row r="865" spans="1:12" x14ac:dyDescent="0.3">
      <c r="A865" s="1">
        <v>45470</v>
      </c>
      <c r="B865">
        <v>78758.67</v>
      </c>
      <c r="C865">
        <v>79396.03</v>
      </c>
      <c r="D865">
        <v>78467.34</v>
      </c>
      <c r="E865">
        <v>79243.179999999993</v>
      </c>
      <c r="F865">
        <v>568.92999999999995</v>
      </c>
      <c r="G865">
        <v>0.72</v>
      </c>
      <c r="H865">
        <v>0.96</v>
      </c>
      <c r="I865">
        <v>1274.67</v>
      </c>
      <c r="J865">
        <v>24.11</v>
      </c>
      <c r="K865">
        <v>3.93</v>
      </c>
      <c r="L865">
        <v>1.1499999999999999</v>
      </c>
    </row>
    <row r="866" spans="1:12" x14ac:dyDescent="0.3">
      <c r="A866" s="1">
        <v>45471</v>
      </c>
      <c r="B866">
        <v>79457.58</v>
      </c>
      <c r="C866">
        <v>79671.58</v>
      </c>
      <c r="D866">
        <v>78905.89</v>
      </c>
      <c r="E866">
        <v>79032.73</v>
      </c>
      <c r="F866">
        <v>-210.45</v>
      </c>
      <c r="G866">
        <v>-0.27</v>
      </c>
      <c r="H866">
        <v>1.72</v>
      </c>
      <c r="I866">
        <v>2315.52</v>
      </c>
      <c r="J866">
        <v>24.04</v>
      </c>
      <c r="K866">
        <v>3.92</v>
      </c>
      <c r="L866">
        <v>1.1599999999999999</v>
      </c>
    </row>
    <row r="867" spans="1:12" x14ac:dyDescent="0.3">
      <c r="A867" s="1">
        <v>45474</v>
      </c>
      <c r="B867">
        <v>79043.350000000006</v>
      </c>
      <c r="C867">
        <v>79561</v>
      </c>
      <c r="D867">
        <v>78971.789999999994</v>
      </c>
      <c r="E867">
        <v>79476.19</v>
      </c>
      <c r="F867">
        <v>443.46</v>
      </c>
      <c r="G867">
        <v>0.56000000000000005</v>
      </c>
      <c r="H867">
        <v>1.41</v>
      </c>
      <c r="I867">
        <v>1862.82</v>
      </c>
      <c r="J867">
        <v>24.18</v>
      </c>
      <c r="K867">
        <v>3.95</v>
      </c>
      <c r="L867">
        <v>1.1499999999999999</v>
      </c>
    </row>
    <row r="868" spans="1:12" x14ac:dyDescent="0.3">
      <c r="A868" s="1">
        <v>45475</v>
      </c>
      <c r="B868">
        <v>79840.37</v>
      </c>
      <c r="C868">
        <v>79855.87</v>
      </c>
      <c r="D868">
        <v>79231.11</v>
      </c>
      <c r="E868">
        <v>79441.45</v>
      </c>
      <c r="F868">
        <v>-34.74</v>
      </c>
      <c r="G868">
        <v>-0.04</v>
      </c>
      <c r="H868">
        <v>0.9</v>
      </c>
      <c r="I868">
        <v>941.95</v>
      </c>
      <c r="J868">
        <v>24.17</v>
      </c>
      <c r="K868">
        <v>3.94</v>
      </c>
      <c r="L868">
        <v>1.1499999999999999</v>
      </c>
    </row>
    <row r="869" spans="1:12" x14ac:dyDescent="0.3">
      <c r="A869" s="1">
        <v>45476</v>
      </c>
      <c r="B869">
        <v>80013.77</v>
      </c>
      <c r="C869">
        <v>80074.3</v>
      </c>
      <c r="D869">
        <v>79754.95</v>
      </c>
      <c r="E869">
        <v>79986.8</v>
      </c>
      <c r="F869">
        <v>545.35</v>
      </c>
      <c r="G869">
        <v>0.69</v>
      </c>
      <c r="H869">
        <v>0.76</v>
      </c>
      <c r="I869">
        <v>892.92</v>
      </c>
      <c r="J869">
        <v>24.34</v>
      </c>
      <c r="K869">
        <v>3.97</v>
      </c>
      <c r="L869">
        <v>1.1399999999999999</v>
      </c>
    </row>
    <row r="870" spans="1:12" x14ac:dyDescent="0.3">
      <c r="A870" s="1">
        <v>45477</v>
      </c>
      <c r="B870">
        <v>80321.789999999994</v>
      </c>
      <c r="C870">
        <v>80392.639999999999</v>
      </c>
      <c r="D870">
        <v>79986.41</v>
      </c>
      <c r="E870">
        <v>80049.67</v>
      </c>
      <c r="F870">
        <v>62.87</v>
      </c>
      <c r="G870">
        <v>0.08</v>
      </c>
      <c r="H870">
        <v>0.88</v>
      </c>
      <c r="I870">
        <v>1047.24</v>
      </c>
      <c r="J870">
        <v>24.35</v>
      </c>
      <c r="K870">
        <v>3.97</v>
      </c>
      <c r="L870">
        <v>1.1399999999999999</v>
      </c>
    </row>
    <row r="871" spans="1:12" x14ac:dyDescent="0.3">
      <c r="A871" s="1">
        <v>45478</v>
      </c>
      <c r="B871">
        <v>79778.98</v>
      </c>
      <c r="C871">
        <v>80149.87</v>
      </c>
      <c r="D871">
        <v>79478.960000000006</v>
      </c>
      <c r="E871">
        <v>79996.600000000006</v>
      </c>
      <c r="F871">
        <v>-53.07</v>
      </c>
      <c r="G871">
        <v>-7.0000000000000007E-2</v>
      </c>
      <c r="H871">
        <v>1.62</v>
      </c>
      <c r="I871">
        <v>2017.48</v>
      </c>
      <c r="J871">
        <v>24.34</v>
      </c>
      <c r="K871">
        <v>3.97</v>
      </c>
      <c r="L871">
        <v>1.1599999999999999</v>
      </c>
    </row>
    <row r="872" spans="1:12" x14ac:dyDescent="0.3">
      <c r="A872" s="1">
        <v>45481</v>
      </c>
      <c r="B872">
        <v>79915</v>
      </c>
      <c r="C872">
        <v>80067.460000000006</v>
      </c>
      <c r="D872">
        <v>79731.83</v>
      </c>
      <c r="E872">
        <v>79960.38</v>
      </c>
      <c r="F872">
        <v>-36.22</v>
      </c>
      <c r="G872">
        <v>-0.05</v>
      </c>
      <c r="H872">
        <v>2.81</v>
      </c>
      <c r="I872">
        <v>2664.06</v>
      </c>
      <c r="J872">
        <v>24.33</v>
      </c>
      <c r="K872">
        <v>3.97</v>
      </c>
      <c r="L872">
        <v>1.1599999999999999</v>
      </c>
    </row>
    <row r="873" spans="1:12" x14ac:dyDescent="0.3">
      <c r="A873" s="1">
        <v>45482</v>
      </c>
      <c r="B873">
        <v>80107.210000000006</v>
      </c>
      <c r="C873">
        <v>80397.17</v>
      </c>
      <c r="D873">
        <v>79998.559999999998</v>
      </c>
      <c r="E873">
        <v>80351.64</v>
      </c>
      <c r="F873">
        <v>391.26</v>
      </c>
      <c r="G873">
        <v>0.49</v>
      </c>
      <c r="H873">
        <v>0.62</v>
      </c>
      <c r="I873">
        <v>684.74</v>
      </c>
      <c r="J873">
        <v>24.45</v>
      </c>
      <c r="K873">
        <v>3.99</v>
      </c>
      <c r="L873">
        <v>1.1599999999999999</v>
      </c>
    </row>
    <row r="874" spans="1:12" x14ac:dyDescent="0.3">
      <c r="A874" s="1">
        <v>45483</v>
      </c>
      <c r="B874">
        <v>80481.36</v>
      </c>
      <c r="C874">
        <v>80481.36</v>
      </c>
      <c r="D874">
        <v>79435.759999999995</v>
      </c>
      <c r="E874">
        <v>79924.77</v>
      </c>
      <c r="F874">
        <v>-426.87</v>
      </c>
      <c r="G874">
        <v>-0.53</v>
      </c>
      <c r="H874">
        <v>0.93</v>
      </c>
      <c r="I874">
        <v>1011.39</v>
      </c>
      <c r="J874">
        <v>24.32</v>
      </c>
      <c r="K874">
        <v>3.97</v>
      </c>
      <c r="L874">
        <v>1.1599999999999999</v>
      </c>
    </row>
    <row r="875" spans="1:12" x14ac:dyDescent="0.3">
      <c r="A875" s="1">
        <v>45484</v>
      </c>
      <c r="B875">
        <v>80170.09</v>
      </c>
      <c r="C875">
        <v>80170.09</v>
      </c>
      <c r="D875">
        <v>79464.38</v>
      </c>
      <c r="E875">
        <v>79897.34</v>
      </c>
      <c r="F875">
        <v>-27.43</v>
      </c>
      <c r="G875">
        <v>-0.03</v>
      </c>
      <c r="H875">
        <v>0.82</v>
      </c>
      <c r="I875">
        <v>903.03</v>
      </c>
      <c r="J875">
        <v>24.31</v>
      </c>
      <c r="K875">
        <v>3.97</v>
      </c>
      <c r="L875">
        <v>1.1599999999999999</v>
      </c>
    </row>
    <row r="876" spans="1:12" x14ac:dyDescent="0.3">
      <c r="A876" s="1">
        <v>45485</v>
      </c>
      <c r="B876">
        <v>80093.62</v>
      </c>
      <c r="C876">
        <v>80893.509999999995</v>
      </c>
      <c r="D876">
        <v>79843.39</v>
      </c>
      <c r="E876">
        <v>80519.34</v>
      </c>
      <c r="F876">
        <v>622</v>
      </c>
      <c r="G876">
        <v>0.78</v>
      </c>
      <c r="H876">
        <v>1.84</v>
      </c>
      <c r="I876">
        <v>2474.6</v>
      </c>
      <c r="J876">
        <v>24.48</v>
      </c>
      <c r="K876">
        <v>4.05</v>
      </c>
      <c r="L876">
        <v>1.1599999999999999</v>
      </c>
    </row>
    <row r="877" spans="1:12" x14ac:dyDescent="0.3">
      <c r="A877" s="1">
        <v>45488</v>
      </c>
      <c r="B877">
        <v>80686.539999999994</v>
      </c>
      <c r="C877">
        <v>80862.539999999994</v>
      </c>
      <c r="D877">
        <v>80556.97</v>
      </c>
      <c r="E877">
        <v>80664.86</v>
      </c>
      <c r="F877">
        <v>145.52000000000001</v>
      </c>
      <c r="G877">
        <v>0.18</v>
      </c>
      <c r="H877">
        <v>1.62</v>
      </c>
      <c r="I877">
        <v>1651.7</v>
      </c>
      <c r="J877">
        <v>24.5</v>
      </c>
      <c r="K877">
        <v>4.0599999999999996</v>
      </c>
      <c r="L877">
        <v>1.1399999999999999</v>
      </c>
    </row>
    <row r="878" spans="1:12" x14ac:dyDescent="0.3">
      <c r="A878" s="1">
        <v>45489</v>
      </c>
      <c r="B878">
        <v>80731.490000000005</v>
      </c>
      <c r="C878">
        <v>80898.3</v>
      </c>
      <c r="D878">
        <v>80598.06</v>
      </c>
      <c r="E878">
        <v>80716.55</v>
      </c>
      <c r="F878">
        <v>51.69</v>
      </c>
      <c r="G878">
        <v>0.06</v>
      </c>
      <c r="H878">
        <v>0.87</v>
      </c>
      <c r="I878">
        <v>806.46</v>
      </c>
      <c r="J878">
        <v>24.52</v>
      </c>
      <c r="K878">
        <v>4.0599999999999996</v>
      </c>
      <c r="L878">
        <v>1.1399999999999999</v>
      </c>
    </row>
    <row r="879" spans="1:12" x14ac:dyDescent="0.3">
      <c r="A879" s="1">
        <v>45491</v>
      </c>
      <c r="B879">
        <v>80514.25</v>
      </c>
      <c r="C879">
        <v>81522.55</v>
      </c>
      <c r="D879">
        <v>80390.37</v>
      </c>
      <c r="E879">
        <v>81343.460000000006</v>
      </c>
      <c r="F879">
        <v>626.91</v>
      </c>
      <c r="G879">
        <v>0.78</v>
      </c>
      <c r="H879">
        <v>0.93</v>
      </c>
      <c r="I879">
        <v>1087.3</v>
      </c>
      <c r="J879">
        <v>24.72</v>
      </c>
      <c r="K879">
        <v>4.09</v>
      </c>
      <c r="L879">
        <v>1.1299999999999999</v>
      </c>
    </row>
    <row r="880" spans="1:12" x14ac:dyDescent="0.3">
      <c r="A880" s="1">
        <v>45492</v>
      </c>
      <c r="B880">
        <v>81585.06</v>
      </c>
      <c r="C880">
        <v>81587.759999999995</v>
      </c>
      <c r="D880">
        <v>80499.100000000006</v>
      </c>
      <c r="E880">
        <v>80604.649999999994</v>
      </c>
      <c r="F880">
        <v>-738.81</v>
      </c>
      <c r="G880">
        <v>-0.91</v>
      </c>
      <c r="H880">
        <v>1.61</v>
      </c>
      <c r="I880">
        <v>1854.45</v>
      </c>
      <c r="J880">
        <v>24.47</v>
      </c>
      <c r="K880">
        <v>4.05</v>
      </c>
      <c r="L880">
        <v>1.18</v>
      </c>
    </row>
    <row r="881" spans="1:12" x14ac:dyDescent="0.3">
      <c r="A881" s="1">
        <v>45495</v>
      </c>
      <c r="B881">
        <v>80408.899999999994</v>
      </c>
      <c r="C881">
        <v>80800.92</v>
      </c>
      <c r="D881">
        <v>80100.649999999994</v>
      </c>
      <c r="E881">
        <v>80502.080000000002</v>
      </c>
      <c r="F881">
        <v>-102.57</v>
      </c>
      <c r="G881">
        <v>-0.13</v>
      </c>
      <c r="H881">
        <v>1.1399999999999999</v>
      </c>
      <c r="I881">
        <v>1283.8399999999999</v>
      </c>
      <c r="J881">
        <v>24.05</v>
      </c>
      <c r="K881">
        <v>4.0599999999999996</v>
      </c>
      <c r="L881">
        <v>1.1299999999999999</v>
      </c>
    </row>
    <row r="882" spans="1:12" x14ac:dyDescent="0.3">
      <c r="A882" s="1">
        <v>45496</v>
      </c>
      <c r="B882">
        <v>80724.3</v>
      </c>
      <c r="C882">
        <v>80766.41</v>
      </c>
      <c r="D882">
        <v>79224.320000000007</v>
      </c>
      <c r="E882">
        <v>80429.039999999994</v>
      </c>
      <c r="F882">
        <v>-73.040000000000006</v>
      </c>
      <c r="G882">
        <v>-0.09</v>
      </c>
      <c r="H882">
        <v>1.31</v>
      </c>
      <c r="I882">
        <v>1230.03</v>
      </c>
      <c r="J882">
        <v>24.03</v>
      </c>
      <c r="K882">
        <v>4.05</v>
      </c>
      <c r="L882">
        <v>1.1499999999999999</v>
      </c>
    </row>
    <row r="883" spans="1:12" x14ac:dyDescent="0.3">
      <c r="A883" s="1">
        <v>45497</v>
      </c>
      <c r="B883">
        <v>80343.38</v>
      </c>
      <c r="C883">
        <v>80519.58</v>
      </c>
      <c r="D883">
        <v>79750.509999999995</v>
      </c>
      <c r="E883">
        <v>80148.88</v>
      </c>
      <c r="F883">
        <v>-280.16000000000003</v>
      </c>
      <c r="G883">
        <v>-0.35</v>
      </c>
      <c r="H883">
        <v>0.99</v>
      </c>
      <c r="I883">
        <v>1019.6</v>
      </c>
      <c r="J883">
        <v>23.93</v>
      </c>
      <c r="K883">
        <v>4.04</v>
      </c>
      <c r="L883">
        <v>1.1499999999999999</v>
      </c>
    </row>
    <row r="884" spans="1:12" x14ac:dyDescent="0.3">
      <c r="A884" s="1">
        <v>45498</v>
      </c>
      <c r="B884">
        <v>79542.11</v>
      </c>
      <c r="C884">
        <v>80143.100000000006</v>
      </c>
      <c r="D884">
        <v>79477.83</v>
      </c>
      <c r="E884">
        <v>80039.8</v>
      </c>
      <c r="F884">
        <v>-109.08</v>
      </c>
      <c r="G884">
        <v>-0.14000000000000001</v>
      </c>
      <c r="H884">
        <v>0.97</v>
      </c>
      <c r="I884">
        <v>903.32</v>
      </c>
      <c r="J884">
        <v>23.89</v>
      </c>
      <c r="K884">
        <v>4.03</v>
      </c>
      <c r="L884">
        <v>1.1499999999999999</v>
      </c>
    </row>
    <row r="885" spans="1:12" x14ac:dyDescent="0.3">
      <c r="A885" s="1">
        <v>45499</v>
      </c>
      <c r="B885">
        <v>80158.5</v>
      </c>
      <c r="C885">
        <v>81427.179999999993</v>
      </c>
      <c r="D885">
        <v>80013.600000000006</v>
      </c>
      <c r="E885">
        <v>81332.72</v>
      </c>
      <c r="F885">
        <v>1292.92</v>
      </c>
      <c r="G885">
        <v>1.62</v>
      </c>
      <c r="H885">
        <v>1.84</v>
      </c>
      <c r="I885">
        <v>2379.62</v>
      </c>
      <c r="J885">
        <v>24.28</v>
      </c>
      <c r="K885">
        <v>4.0999999999999996</v>
      </c>
      <c r="L885">
        <v>1.1399999999999999</v>
      </c>
    </row>
    <row r="886" spans="1:12" x14ac:dyDescent="0.3">
      <c r="A886" s="1">
        <v>45502</v>
      </c>
      <c r="B886">
        <v>81679.649999999994</v>
      </c>
      <c r="C886">
        <v>81908.429999999993</v>
      </c>
      <c r="D886">
        <v>81135.91</v>
      </c>
      <c r="E886">
        <v>81355.839999999997</v>
      </c>
      <c r="F886">
        <v>23.12</v>
      </c>
      <c r="G886">
        <v>0.03</v>
      </c>
      <c r="H886">
        <v>1.94</v>
      </c>
      <c r="I886">
        <v>2041.74</v>
      </c>
      <c r="J886">
        <v>24.23</v>
      </c>
      <c r="K886">
        <v>4.0999999999999996</v>
      </c>
      <c r="L886">
        <v>1.1200000000000001</v>
      </c>
    </row>
    <row r="887" spans="1:12" x14ac:dyDescent="0.3">
      <c r="A887" s="1">
        <v>45503</v>
      </c>
      <c r="B887">
        <v>81349.279999999999</v>
      </c>
      <c r="C887">
        <v>81815.27</v>
      </c>
      <c r="D887">
        <v>81230.44</v>
      </c>
      <c r="E887">
        <v>81455.399999999994</v>
      </c>
      <c r="F887">
        <v>99.56</v>
      </c>
      <c r="G887">
        <v>0.12</v>
      </c>
      <c r="H887">
        <v>1.08</v>
      </c>
      <c r="I887">
        <v>1044.68</v>
      </c>
      <c r="J887">
        <v>24.14</v>
      </c>
      <c r="K887">
        <v>4.1100000000000003</v>
      </c>
      <c r="L887">
        <v>1.1299999999999999</v>
      </c>
    </row>
    <row r="888" spans="1:12" x14ac:dyDescent="0.3">
      <c r="A888" s="1">
        <v>45504</v>
      </c>
      <c r="B888">
        <v>81655.899999999994</v>
      </c>
      <c r="C888">
        <v>81828.039999999994</v>
      </c>
      <c r="D888">
        <v>81434.320000000007</v>
      </c>
      <c r="E888">
        <v>81741.34</v>
      </c>
      <c r="F888">
        <v>285.94</v>
      </c>
      <c r="G888">
        <v>0.35</v>
      </c>
      <c r="H888">
        <v>0.69</v>
      </c>
      <c r="I888">
        <v>761.7</v>
      </c>
      <c r="J888">
        <v>24.23</v>
      </c>
      <c r="K888">
        <v>4.12</v>
      </c>
      <c r="L888">
        <v>1.1200000000000001</v>
      </c>
    </row>
    <row r="889" spans="1:12" x14ac:dyDescent="0.3">
      <c r="A889" s="1">
        <v>45505</v>
      </c>
      <c r="B889">
        <v>81949.679999999993</v>
      </c>
      <c r="C889">
        <v>82129.490000000005</v>
      </c>
      <c r="D889">
        <v>81700.210000000006</v>
      </c>
      <c r="E889">
        <v>81867.55</v>
      </c>
      <c r="F889">
        <v>126.21</v>
      </c>
      <c r="G889">
        <v>0.15</v>
      </c>
      <c r="H889">
        <v>1.45</v>
      </c>
      <c r="I889">
        <v>1042.8499999999999</v>
      </c>
      <c r="J889">
        <v>24.27</v>
      </c>
      <c r="K889">
        <v>4.13</v>
      </c>
      <c r="L889">
        <v>1.1200000000000001</v>
      </c>
    </row>
    <row r="890" spans="1:12" x14ac:dyDescent="0.3">
      <c r="A890" s="1">
        <v>45506</v>
      </c>
      <c r="B890">
        <v>81158.990000000005</v>
      </c>
      <c r="C890">
        <v>81345.600000000006</v>
      </c>
      <c r="D890">
        <v>80868.91</v>
      </c>
      <c r="E890">
        <v>80981.95</v>
      </c>
      <c r="F890">
        <v>-885.6</v>
      </c>
      <c r="G890">
        <v>-1.08</v>
      </c>
      <c r="H890">
        <v>1.95</v>
      </c>
      <c r="I890">
        <v>2296.27</v>
      </c>
      <c r="J890">
        <v>23.85</v>
      </c>
      <c r="K890">
        <v>4.08</v>
      </c>
      <c r="L890">
        <v>1.1499999999999999</v>
      </c>
    </row>
    <row r="891" spans="1:12" x14ac:dyDescent="0.3">
      <c r="A891" s="1">
        <v>45509</v>
      </c>
      <c r="B891">
        <v>78588.19</v>
      </c>
      <c r="C891">
        <v>79780.61</v>
      </c>
      <c r="D891">
        <v>78295.86</v>
      </c>
      <c r="E891">
        <v>78759.399999999994</v>
      </c>
      <c r="F891">
        <v>-2222.5500000000002</v>
      </c>
      <c r="G891">
        <v>-2.74</v>
      </c>
      <c r="H891">
        <v>2.5099999999999998</v>
      </c>
      <c r="I891">
        <v>2538.6799999999998</v>
      </c>
      <c r="J891">
        <v>23.17</v>
      </c>
      <c r="K891">
        <v>3.97</v>
      </c>
      <c r="L891">
        <v>1.1399999999999999</v>
      </c>
    </row>
    <row r="892" spans="1:12" x14ac:dyDescent="0.3">
      <c r="A892" s="1">
        <v>45510</v>
      </c>
      <c r="B892">
        <v>78981.97</v>
      </c>
      <c r="C892">
        <v>79852.08</v>
      </c>
      <c r="D892">
        <v>78496.570000000007</v>
      </c>
      <c r="E892">
        <v>78593.070000000007</v>
      </c>
      <c r="F892">
        <v>-166.33</v>
      </c>
      <c r="G892">
        <v>-0.21</v>
      </c>
      <c r="H892">
        <v>0.89</v>
      </c>
      <c r="I892">
        <v>880.28</v>
      </c>
      <c r="J892">
        <v>23.04</v>
      </c>
      <c r="K892">
        <v>3.96</v>
      </c>
      <c r="L892">
        <v>1.1399999999999999</v>
      </c>
    </row>
    <row r="893" spans="1:12" x14ac:dyDescent="0.3">
      <c r="A893" s="1">
        <v>45511</v>
      </c>
      <c r="B893">
        <v>79565.399999999994</v>
      </c>
      <c r="C893">
        <v>79639.199999999997</v>
      </c>
      <c r="D893">
        <v>79106.2</v>
      </c>
      <c r="E893">
        <v>79468.009999999995</v>
      </c>
      <c r="F893">
        <v>874.94</v>
      </c>
      <c r="G893">
        <v>1.1100000000000001</v>
      </c>
      <c r="H893">
        <v>0.86</v>
      </c>
      <c r="I893">
        <v>621.05999999999995</v>
      </c>
      <c r="J893">
        <v>23.3</v>
      </c>
      <c r="K893">
        <v>4.01</v>
      </c>
      <c r="L893">
        <v>1.17</v>
      </c>
    </row>
    <row r="894" spans="1:12" x14ac:dyDescent="0.3">
      <c r="A894" s="1">
        <v>45512</v>
      </c>
      <c r="B894">
        <v>79420.490000000005</v>
      </c>
      <c r="C894">
        <v>79626.92</v>
      </c>
      <c r="D894">
        <v>78798.94</v>
      </c>
      <c r="E894">
        <v>78886.22</v>
      </c>
      <c r="F894">
        <v>-581.79</v>
      </c>
      <c r="G894">
        <v>-0.73</v>
      </c>
      <c r="H894">
        <v>0.89</v>
      </c>
      <c r="I894">
        <v>823.43</v>
      </c>
      <c r="J894">
        <v>23.13</v>
      </c>
      <c r="K894">
        <v>3.98</v>
      </c>
      <c r="L894">
        <v>1.17</v>
      </c>
    </row>
    <row r="895" spans="1:12" x14ac:dyDescent="0.3">
      <c r="A895" s="1">
        <v>45513</v>
      </c>
      <c r="B895">
        <v>79984.240000000005</v>
      </c>
      <c r="C895">
        <v>79984.240000000005</v>
      </c>
      <c r="D895">
        <v>79549.09</v>
      </c>
      <c r="E895">
        <v>79705.91</v>
      </c>
      <c r="F895">
        <v>819.69</v>
      </c>
      <c r="G895">
        <v>1.04</v>
      </c>
      <c r="H895">
        <v>0.88</v>
      </c>
      <c r="I895">
        <v>1027.97</v>
      </c>
      <c r="J895">
        <v>23.37</v>
      </c>
      <c r="K895">
        <v>4.0199999999999996</v>
      </c>
      <c r="L895">
        <v>1.1399999999999999</v>
      </c>
    </row>
    <row r="896" spans="1:12" x14ac:dyDescent="0.3">
      <c r="A896" s="1">
        <v>45516</v>
      </c>
      <c r="B896">
        <v>79330.12</v>
      </c>
      <c r="C896">
        <v>80106.179999999993</v>
      </c>
      <c r="D896">
        <v>79226.13</v>
      </c>
      <c r="E896">
        <v>79648.92</v>
      </c>
      <c r="F896">
        <v>-56.99</v>
      </c>
      <c r="G896">
        <v>-7.0000000000000007E-2</v>
      </c>
      <c r="H896">
        <v>1.05</v>
      </c>
      <c r="I896">
        <v>1210.1099999999999</v>
      </c>
      <c r="J896">
        <v>23.35</v>
      </c>
      <c r="K896">
        <v>4.01</v>
      </c>
      <c r="L896">
        <v>1.1299999999999999</v>
      </c>
    </row>
    <row r="897" spans="1:12" x14ac:dyDescent="0.3">
      <c r="A897" s="1">
        <v>45517</v>
      </c>
      <c r="B897">
        <v>79552.509999999995</v>
      </c>
      <c r="C897">
        <v>79692.55</v>
      </c>
      <c r="D897">
        <v>78889.38</v>
      </c>
      <c r="E897">
        <v>78956.03</v>
      </c>
      <c r="F897">
        <v>-692.89</v>
      </c>
      <c r="G897">
        <v>-0.87</v>
      </c>
      <c r="H897">
        <v>0.74</v>
      </c>
      <c r="I897">
        <v>1123.8599999999999</v>
      </c>
      <c r="J897">
        <v>23.15</v>
      </c>
      <c r="K897">
        <v>3.98</v>
      </c>
      <c r="L897">
        <v>1.1399999999999999</v>
      </c>
    </row>
    <row r="898" spans="1:12" x14ac:dyDescent="0.3">
      <c r="A898" s="1">
        <v>45518</v>
      </c>
      <c r="B898">
        <v>79065.22</v>
      </c>
      <c r="C898">
        <v>79228.94</v>
      </c>
      <c r="D898">
        <v>78895.72</v>
      </c>
      <c r="E898">
        <v>79105.88</v>
      </c>
      <c r="F898">
        <v>149.85</v>
      </c>
      <c r="G898">
        <v>0.19</v>
      </c>
      <c r="H898">
        <v>1.07</v>
      </c>
      <c r="I898">
        <v>710.23</v>
      </c>
      <c r="J898">
        <v>23.19</v>
      </c>
      <c r="K898">
        <v>3.99</v>
      </c>
      <c r="L898">
        <v>1.1399999999999999</v>
      </c>
    </row>
    <row r="899" spans="1:12" x14ac:dyDescent="0.3">
      <c r="A899" s="1">
        <v>45520</v>
      </c>
      <c r="B899">
        <v>79754.850000000006</v>
      </c>
      <c r="C899">
        <v>80518.210000000006</v>
      </c>
      <c r="D899">
        <v>79306.69</v>
      </c>
      <c r="E899">
        <v>80436.84</v>
      </c>
      <c r="F899">
        <v>1330.96</v>
      </c>
      <c r="G899">
        <v>1.68</v>
      </c>
      <c r="H899">
        <v>1.31</v>
      </c>
      <c r="I899">
        <v>1462.24</v>
      </c>
      <c r="J899">
        <v>23.58</v>
      </c>
      <c r="K899">
        <v>4.05</v>
      </c>
      <c r="L899">
        <v>1.1399999999999999</v>
      </c>
    </row>
    <row r="900" spans="1:12" x14ac:dyDescent="0.3">
      <c r="A900" s="1">
        <v>45523</v>
      </c>
      <c r="B900">
        <v>80680.25</v>
      </c>
      <c r="C900">
        <v>80724.399999999994</v>
      </c>
      <c r="D900">
        <v>80332.649999999994</v>
      </c>
      <c r="E900">
        <v>80424.679999999993</v>
      </c>
      <c r="F900">
        <v>-12.16</v>
      </c>
      <c r="G900">
        <v>-0.02</v>
      </c>
      <c r="H900">
        <v>1.03</v>
      </c>
      <c r="I900">
        <v>807.04</v>
      </c>
      <c r="J900">
        <v>23.58</v>
      </c>
      <c r="K900">
        <v>4.05</v>
      </c>
      <c r="L900">
        <v>1.17</v>
      </c>
    </row>
    <row r="901" spans="1:12" x14ac:dyDescent="0.3">
      <c r="A901" s="1">
        <v>45524</v>
      </c>
      <c r="B901">
        <v>80722.539999999994</v>
      </c>
      <c r="C901">
        <v>80942.960000000006</v>
      </c>
      <c r="D901">
        <v>80517.95</v>
      </c>
      <c r="E901">
        <v>80802.86</v>
      </c>
      <c r="F901">
        <v>378.18</v>
      </c>
      <c r="G901">
        <v>0.47</v>
      </c>
      <c r="H901">
        <v>0.66</v>
      </c>
      <c r="I901">
        <v>610.44000000000005</v>
      </c>
      <c r="J901">
        <v>23.69</v>
      </c>
      <c r="K901">
        <v>4.07</v>
      </c>
      <c r="L901">
        <v>1.17</v>
      </c>
    </row>
    <row r="902" spans="1:12" x14ac:dyDescent="0.3">
      <c r="A902" s="1">
        <v>45525</v>
      </c>
      <c r="B902">
        <v>80667.25</v>
      </c>
      <c r="C902">
        <v>80952.83</v>
      </c>
      <c r="D902">
        <v>80626.38</v>
      </c>
      <c r="E902">
        <v>80905.3</v>
      </c>
      <c r="F902">
        <v>102.44</v>
      </c>
      <c r="G902">
        <v>0.13</v>
      </c>
      <c r="H902">
        <v>0.57999999999999996</v>
      </c>
      <c r="I902">
        <v>543.69000000000005</v>
      </c>
      <c r="J902">
        <v>23.72</v>
      </c>
      <c r="K902">
        <v>4.08</v>
      </c>
      <c r="L902">
        <v>1.17</v>
      </c>
    </row>
    <row r="903" spans="1:12" x14ac:dyDescent="0.3">
      <c r="A903" s="1">
        <v>45526</v>
      </c>
      <c r="B903">
        <v>81207.240000000005</v>
      </c>
      <c r="C903">
        <v>81236.45</v>
      </c>
      <c r="D903">
        <v>80954.02</v>
      </c>
      <c r="E903">
        <v>81053.19</v>
      </c>
      <c r="F903">
        <v>147.88999999999999</v>
      </c>
      <c r="G903">
        <v>0.18</v>
      </c>
      <c r="H903">
        <v>0.57999999999999996</v>
      </c>
      <c r="I903">
        <v>668.42</v>
      </c>
      <c r="J903">
        <v>23.77</v>
      </c>
      <c r="K903">
        <v>4.08</v>
      </c>
      <c r="L903">
        <v>1.1299999999999999</v>
      </c>
    </row>
    <row r="904" spans="1:12" x14ac:dyDescent="0.3">
      <c r="A904" s="1">
        <v>45527</v>
      </c>
      <c r="B904">
        <v>81165.649999999994</v>
      </c>
      <c r="C904">
        <v>81231.490000000005</v>
      </c>
      <c r="D904">
        <v>80883.259999999995</v>
      </c>
      <c r="E904">
        <v>81086.210000000006</v>
      </c>
      <c r="F904">
        <v>33.020000000000003</v>
      </c>
      <c r="G904">
        <v>0.04</v>
      </c>
      <c r="H904">
        <v>1.04</v>
      </c>
      <c r="I904">
        <v>1303.98</v>
      </c>
      <c r="J904">
        <v>23.78</v>
      </c>
      <c r="K904">
        <v>4.09</v>
      </c>
      <c r="L904">
        <v>1.1299999999999999</v>
      </c>
    </row>
    <row r="905" spans="1:12" x14ac:dyDescent="0.3">
      <c r="A905" s="1">
        <v>45530</v>
      </c>
      <c r="B905">
        <v>81388.259999999995</v>
      </c>
      <c r="C905">
        <v>81824.27</v>
      </c>
      <c r="D905">
        <v>81278.44</v>
      </c>
      <c r="E905">
        <v>81698.11</v>
      </c>
      <c r="F905">
        <v>611.9</v>
      </c>
      <c r="G905">
        <v>0.75</v>
      </c>
      <c r="H905">
        <v>1.62</v>
      </c>
      <c r="I905">
        <v>1135.54</v>
      </c>
      <c r="J905">
        <v>23.95</v>
      </c>
      <c r="K905">
        <v>4.12</v>
      </c>
      <c r="L905">
        <v>1.1200000000000001</v>
      </c>
    </row>
    <row r="906" spans="1:12" x14ac:dyDescent="0.3">
      <c r="A906" s="1">
        <v>45531</v>
      </c>
      <c r="B906">
        <v>81815.23</v>
      </c>
      <c r="C906">
        <v>81919.11</v>
      </c>
      <c r="D906">
        <v>81600.509999999995</v>
      </c>
      <c r="E906">
        <v>81711.759999999995</v>
      </c>
      <c r="F906">
        <v>13.65</v>
      </c>
      <c r="G906">
        <v>0.02</v>
      </c>
      <c r="H906">
        <v>0.56999999999999995</v>
      </c>
      <c r="I906">
        <v>693.83</v>
      </c>
      <c r="J906">
        <v>23.96</v>
      </c>
      <c r="K906">
        <v>4.12</v>
      </c>
      <c r="L906">
        <v>1.1200000000000001</v>
      </c>
    </row>
    <row r="907" spans="1:12" x14ac:dyDescent="0.3">
      <c r="A907" s="1">
        <v>45532</v>
      </c>
      <c r="B907">
        <v>81779.839999999997</v>
      </c>
      <c r="C907">
        <v>82039.259999999995</v>
      </c>
      <c r="D907">
        <v>81578.320000000007</v>
      </c>
      <c r="E907">
        <v>81785.56</v>
      </c>
      <c r="F907">
        <v>73.8</v>
      </c>
      <c r="G907">
        <v>0.09</v>
      </c>
      <c r="H907">
        <v>0.51</v>
      </c>
      <c r="I907">
        <v>515.66</v>
      </c>
      <c r="J907">
        <v>23.98</v>
      </c>
      <c r="K907">
        <v>4.12</v>
      </c>
      <c r="L907">
        <v>1.1200000000000001</v>
      </c>
    </row>
    <row r="908" spans="1:12" x14ac:dyDescent="0.3">
      <c r="A908" s="1">
        <v>45533</v>
      </c>
      <c r="B908">
        <v>81822.559999999998</v>
      </c>
      <c r="C908">
        <v>82285.83</v>
      </c>
      <c r="D908">
        <v>81682.78</v>
      </c>
      <c r="E908">
        <v>82134.61</v>
      </c>
      <c r="F908">
        <v>349.05</v>
      </c>
      <c r="G908">
        <v>0.43</v>
      </c>
      <c r="H908">
        <v>0.84</v>
      </c>
      <c r="I908">
        <v>1006.36</v>
      </c>
      <c r="J908">
        <v>24.08</v>
      </c>
      <c r="K908">
        <v>4.1399999999999997</v>
      </c>
      <c r="L908">
        <v>1.1200000000000001</v>
      </c>
    </row>
    <row r="909" spans="1:12" x14ac:dyDescent="0.3">
      <c r="A909" s="1">
        <v>45534</v>
      </c>
      <c r="B909">
        <v>82637.03</v>
      </c>
      <c r="C909">
        <v>82637.03</v>
      </c>
      <c r="D909">
        <v>82256.02</v>
      </c>
      <c r="E909">
        <v>82365.77</v>
      </c>
      <c r="F909">
        <v>231.16</v>
      </c>
      <c r="G909">
        <v>0.28000000000000003</v>
      </c>
      <c r="H909">
        <v>1.03</v>
      </c>
      <c r="I909">
        <v>1392.04</v>
      </c>
      <c r="J909">
        <v>24.16</v>
      </c>
      <c r="K909">
        <v>4.17</v>
      </c>
      <c r="L909">
        <v>1.1100000000000001</v>
      </c>
    </row>
    <row r="910" spans="1:12" x14ac:dyDescent="0.3">
      <c r="A910" s="1">
        <v>45537</v>
      </c>
      <c r="B910">
        <v>82725.279999999999</v>
      </c>
      <c r="C910">
        <v>82725.279999999999</v>
      </c>
      <c r="D910">
        <v>82440.929999999993</v>
      </c>
      <c r="E910">
        <v>82559.839999999997</v>
      </c>
      <c r="F910">
        <v>194.07</v>
      </c>
      <c r="G910">
        <v>0.24</v>
      </c>
      <c r="H910">
        <v>0.95</v>
      </c>
      <c r="I910">
        <v>1190.54</v>
      </c>
      <c r="J910">
        <v>24.22</v>
      </c>
      <c r="K910">
        <v>4.18</v>
      </c>
      <c r="L910">
        <v>1.1100000000000001</v>
      </c>
    </row>
    <row r="911" spans="1:12" x14ac:dyDescent="0.3">
      <c r="A911" s="1">
        <v>45538</v>
      </c>
      <c r="B911">
        <v>82652.69</v>
      </c>
      <c r="C911">
        <v>82675.06</v>
      </c>
      <c r="D911">
        <v>82400.759999999995</v>
      </c>
      <c r="E911">
        <v>82555.44</v>
      </c>
      <c r="F911">
        <v>-4.4000000000000004</v>
      </c>
      <c r="G911">
        <v>-0.01</v>
      </c>
      <c r="H911">
        <v>0.43</v>
      </c>
      <c r="I911">
        <v>616.80999999999995</v>
      </c>
      <c r="J911">
        <v>24.22</v>
      </c>
      <c r="K911">
        <v>4.18</v>
      </c>
      <c r="L911">
        <v>1.1100000000000001</v>
      </c>
    </row>
    <row r="912" spans="1:12" x14ac:dyDescent="0.3">
      <c r="A912" s="1">
        <v>45539</v>
      </c>
      <c r="B912">
        <v>81845.5</v>
      </c>
      <c r="C912">
        <v>82408.539999999994</v>
      </c>
      <c r="D912">
        <v>81833.69</v>
      </c>
      <c r="E912">
        <v>82352.639999999999</v>
      </c>
      <c r="F912">
        <v>-202.8</v>
      </c>
      <c r="G912">
        <v>-0.25</v>
      </c>
      <c r="H912">
        <v>0.91</v>
      </c>
      <c r="I912">
        <v>772.75</v>
      </c>
      <c r="J912">
        <v>24.16</v>
      </c>
      <c r="K912">
        <v>4.16</v>
      </c>
      <c r="L912">
        <v>1.1100000000000001</v>
      </c>
    </row>
    <row r="913" spans="1:12" x14ac:dyDescent="0.3">
      <c r="A913" s="1">
        <v>45540</v>
      </c>
      <c r="B913">
        <v>82469.789999999994</v>
      </c>
      <c r="C913">
        <v>82617.490000000005</v>
      </c>
      <c r="D913">
        <v>82130.44</v>
      </c>
      <c r="E913">
        <v>82201.16</v>
      </c>
      <c r="F913">
        <v>-151.47999999999999</v>
      </c>
      <c r="G913">
        <v>-0.18</v>
      </c>
      <c r="H913">
        <v>0.7</v>
      </c>
      <c r="I913">
        <v>660.51</v>
      </c>
      <c r="J913">
        <v>24.12</v>
      </c>
      <c r="K913">
        <v>4.16</v>
      </c>
      <c r="L913">
        <v>1.1100000000000001</v>
      </c>
    </row>
    <row r="914" spans="1:12" x14ac:dyDescent="0.3">
      <c r="A914" s="1">
        <v>45541</v>
      </c>
      <c r="B914">
        <v>82171.08</v>
      </c>
      <c r="C914">
        <v>82254.789999999994</v>
      </c>
      <c r="D914">
        <v>80981.929999999993</v>
      </c>
      <c r="E914">
        <v>81183.929999999993</v>
      </c>
      <c r="F914">
        <v>-1017.23</v>
      </c>
      <c r="G914">
        <v>-1.24</v>
      </c>
      <c r="H914">
        <v>1.45</v>
      </c>
      <c r="I914">
        <v>1752.9</v>
      </c>
      <c r="J914">
        <v>23.82</v>
      </c>
      <c r="K914">
        <v>4.1100000000000003</v>
      </c>
      <c r="L914">
        <v>1.1299999999999999</v>
      </c>
    </row>
    <row r="915" spans="1:12" x14ac:dyDescent="0.3">
      <c r="A915" s="1">
        <v>45544</v>
      </c>
      <c r="B915">
        <v>80973.75</v>
      </c>
      <c r="C915">
        <v>81653.36</v>
      </c>
      <c r="D915">
        <v>80895.05</v>
      </c>
      <c r="E915">
        <v>81559.539999999994</v>
      </c>
      <c r="F915">
        <v>375.61</v>
      </c>
      <c r="G915">
        <v>0.46</v>
      </c>
      <c r="H915">
        <v>0.78</v>
      </c>
      <c r="I915">
        <v>760.71</v>
      </c>
      <c r="J915">
        <v>23.93</v>
      </c>
      <c r="K915">
        <v>4.12</v>
      </c>
      <c r="L915">
        <v>1.1200000000000001</v>
      </c>
    </row>
    <row r="916" spans="1:12" x14ac:dyDescent="0.3">
      <c r="A916" s="1">
        <v>45545</v>
      </c>
      <c r="B916">
        <v>81768.72</v>
      </c>
      <c r="C916">
        <v>82196.55</v>
      </c>
      <c r="D916">
        <v>81445.3</v>
      </c>
      <c r="E916">
        <v>81921.289999999994</v>
      </c>
      <c r="F916">
        <v>361.75</v>
      </c>
      <c r="G916">
        <v>0.44</v>
      </c>
      <c r="H916">
        <v>0.56000000000000005</v>
      </c>
      <c r="I916">
        <v>587.76</v>
      </c>
      <c r="J916">
        <v>24.03</v>
      </c>
      <c r="K916">
        <v>4.1399999999999997</v>
      </c>
      <c r="L916">
        <v>1.1200000000000001</v>
      </c>
    </row>
    <row r="917" spans="1:12" x14ac:dyDescent="0.3">
      <c r="A917" s="1">
        <v>45546</v>
      </c>
      <c r="B917">
        <v>81928.12</v>
      </c>
      <c r="C917">
        <v>82134.95</v>
      </c>
      <c r="D917">
        <v>81423.14</v>
      </c>
      <c r="E917">
        <v>81523.16</v>
      </c>
      <c r="F917">
        <v>-398.13</v>
      </c>
      <c r="G917">
        <v>-0.49</v>
      </c>
      <c r="H917">
        <v>1.57</v>
      </c>
      <c r="I917">
        <v>1566.45</v>
      </c>
      <c r="J917">
        <v>23.92</v>
      </c>
      <c r="K917">
        <v>4.12</v>
      </c>
      <c r="L917">
        <v>1.1200000000000001</v>
      </c>
    </row>
    <row r="918" spans="1:12" x14ac:dyDescent="0.3">
      <c r="A918" s="1">
        <v>45547</v>
      </c>
      <c r="B918">
        <v>81930.179999999993</v>
      </c>
      <c r="C918">
        <v>83116.19</v>
      </c>
      <c r="D918">
        <v>81534.289999999994</v>
      </c>
      <c r="E918">
        <v>82962.710000000006</v>
      </c>
      <c r="F918">
        <v>1439.55</v>
      </c>
      <c r="G918">
        <v>1.77</v>
      </c>
      <c r="H918">
        <v>1.67</v>
      </c>
      <c r="I918">
        <v>1903.05</v>
      </c>
      <c r="J918">
        <v>24.34</v>
      </c>
      <c r="K918">
        <v>4.2</v>
      </c>
      <c r="L918">
        <v>1.1000000000000001</v>
      </c>
    </row>
    <row r="919" spans="1:12" x14ac:dyDescent="0.3">
      <c r="A919" s="1">
        <v>45548</v>
      </c>
      <c r="B919">
        <v>83091.55</v>
      </c>
      <c r="C919">
        <v>83092.929999999993</v>
      </c>
      <c r="D919">
        <v>82653.22</v>
      </c>
      <c r="E919">
        <v>82890.94</v>
      </c>
      <c r="F919">
        <v>-71.77</v>
      </c>
      <c r="G919">
        <v>-0.09</v>
      </c>
      <c r="H919">
        <v>1.27</v>
      </c>
      <c r="I919">
        <v>1205.99</v>
      </c>
      <c r="J919">
        <v>24.32</v>
      </c>
      <c r="K919">
        <v>4.1900000000000004</v>
      </c>
      <c r="L919">
        <v>1.1000000000000001</v>
      </c>
    </row>
    <row r="920" spans="1:12" x14ac:dyDescent="0.3">
      <c r="A920" s="1">
        <v>45551</v>
      </c>
      <c r="B920">
        <v>82985.33</v>
      </c>
      <c r="C920">
        <v>83184.34</v>
      </c>
      <c r="D920">
        <v>82832.820000000007</v>
      </c>
      <c r="E920">
        <v>82988.78</v>
      </c>
      <c r="F920">
        <v>97.84</v>
      </c>
      <c r="G920">
        <v>0.12</v>
      </c>
      <c r="H920">
        <v>0.69</v>
      </c>
      <c r="I920">
        <v>790.16</v>
      </c>
      <c r="J920">
        <v>24.35</v>
      </c>
      <c r="K920">
        <v>4.2</v>
      </c>
      <c r="L920">
        <v>1.1000000000000001</v>
      </c>
    </row>
    <row r="921" spans="1:12" x14ac:dyDescent="0.3">
      <c r="A921" s="1">
        <v>45552</v>
      </c>
      <c r="B921">
        <v>83084.63</v>
      </c>
      <c r="C921">
        <v>83152.41</v>
      </c>
      <c r="D921">
        <v>82866.679999999993</v>
      </c>
      <c r="E921">
        <v>83079.66</v>
      </c>
      <c r="F921">
        <v>90.88</v>
      </c>
      <c r="G921">
        <v>0.11</v>
      </c>
      <c r="H921">
        <v>0.98</v>
      </c>
      <c r="I921">
        <v>1068.3399999999999</v>
      </c>
      <c r="J921">
        <v>24.37</v>
      </c>
      <c r="K921">
        <v>4.2</v>
      </c>
      <c r="L921">
        <v>1.1000000000000001</v>
      </c>
    </row>
    <row r="922" spans="1:12" x14ac:dyDescent="0.3">
      <c r="A922" s="1">
        <v>45553</v>
      </c>
      <c r="B922">
        <v>83037.13</v>
      </c>
      <c r="C922">
        <v>83326.38</v>
      </c>
      <c r="D922">
        <v>82700.63</v>
      </c>
      <c r="E922">
        <v>82948.23</v>
      </c>
      <c r="F922">
        <v>-131.43</v>
      </c>
      <c r="G922">
        <v>-0.16</v>
      </c>
      <c r="H922">
        <v>0.51</v>
      </c>
      <c r="I922">
        <v>633.76</v>
      </c>
      <c r="J922">
        <v>24.33</v>
      </c>
      <c r="K922">
        <v>4.1900000000000004</v>
      </c>
      <c r="L922">
        <v>1.1000000000000001</v>
      </c>
    </row>
    <row r="923" spans="1:12" x14ac:dyDescent="0.3">
      <c r="A923" s="1">
        <v>45554</v>
      </c>
      <c r="B923">
        <v>83359.17</v>
      </c>
      <c r="C923">
        <v>83773.61</v>
      </c>
      <c r="D923">
        <v>83071.66</v>
      </c>
      <c r="E923">
        <v>83184.800000000003</v>
      </c>
      <c r="F923">
        <v>236.57</v>
      </c>
      <c r="G923">
        <v>0.28999999999999998</v>
      </c>
      <c r="H923">
        <v>0.66</v>
      </c>
      <c r="I923">
        <v>681.43</v>
      </c>
      <c r="J923">
        <v>24.4</v>
      </c>
      <c r="K923">
        <v>4.21</v>
      </c>
      <c r="L923">
        <v>1.1000000000000001</v>
      </c>
    </row>
    <row r="924" spans="1:12" x14ac:dyDescent="0.3">
      <c r="A924" s="1">
        <v>45555</v>
      </c>
      <c r="B924">
        <v>83603.039999999994</v>
      </c>
      <c r="C924">
        <v>84694.46</v>
      </c>
      <c r="D924">
        <v>83187.64</v>
      </c>
      <c r="E924">
        <v>84544.31</v>
      </c>
      <c r="F924">
        <v>1359.51</v>
      </c>
      <c r="G924">
        <v>1.63</v>
      </c>
      <c r="H924">
        <v>2.87</v>
      </c>
      <c r="I924">
        <v>3756.01</v>
      </c>
      <c r="J924">
        <v>24.8</v>
      </c>
      <c r="K924">
        <v>4.28</v>
      </c>
      <c r="L924">
        <v>1.08</v>
      </c>
    </row>
    <row r="925" spans="1:12" x14ac:dyDescent="0.3">
      <c r="A925" s="1">
        <v>45558</v>
      </c>
      <c r="B925">
        <v>84651.15</v>
      </c>
      <c r="C925">
        <v>84980.53</v>
      </c>
      <c r="D925">
        <v>84607.38</v>
      </c>
      <c r="E925">
        <v>84928.61</v>
      </c>
      <c r="F925">
        <v>384.3</v>
      </c>
      <c r="G925">
        <v>0.45</v>
      </c>
      <c r="H925">
        <v>1.1100000000000001</v>
      </c>
      <c r="I925">
        <v>1220.8900000000001</v>
      </c>
      <c r="J925">
        <v>24.93</v>
      </c>
      <c r="K925">
        <v>4.3</v>
      </c>
      <c r="L925">
        <v>1.07</v>
      </c>
    </row>
    <row r="926" spans="1:12" x14ac:dyDescent="0.3">
      <c r="A926" s="1">
        <v>45559</v>
      </c>
      <c r="B926">
        <v>84860.73</v>
      </c>
      <c r="C926">
        <v>85163.23</v>
      </c>
      <c r="D926">
        <v>84716.07</v>
      </c>
      <c r="E926">
        <v>84914.04</v>
      </c>
      <c r="F926">
        <v>-14.57</v>
      </c>
      <c r="G926">
        <v>-0.02</v>
      </c>
      <c r="H926">
        <v>0.87</v>
      </c>
      <c r="I926">
        <v>618.51</v>
      </c>
      <c r="J926">
        <v>24.93</v>
      </c>
      <c r="K926">
        <v>4.3</v>
      </c>
      <c r="L926">
        <v>1.07</v>
      </c>
    </row>
    <row r="927" spans="1:12" x14ac:dyDescent="0.3">
      <c r="A927" s="1">
        <v>45560</v>
      </c>
      <c r="B927">
        <v>84836.45</v>
      </c>
      <c r="C927">
        <v>85247.42</v>
      </c>
      <c r="D927">
        <v>84743.039999999994</v>
      </c>
      <c r="E927">
        <v>85169.87</v>
      </c>
      <c r="F927">
        <v>255.83</v>
      </c>
      <c r="G927">
        <v>0.3</v>
      </c>
      <c r="H927">
        <v>1.35</v>
      </c>
      <c r="I927">
        <v>1304.54</v>
      </c>
      <c r="J927">
        <v>25</v>
      </c>
      <c r="K927">
        <v>4.3099999999999996</v>
      </c>
      <c r="L927">
        <v>1.07</v>
      </c>
    </row>
    <row r="928" spans="1:12" x14ac:dyDescent="0.3">
      <c r="A928" s="1">
        <v>45561</v>
      </c>
      <c r="B928">
        <v>85167.56</v>
      </c>
      <c r="C928">
        <v>85930.43</v>
      </c>
      <c r="D928">
        <v>85106.74</v>
      </c>
      <c r="E928">
        <v>85836.12</v>
      </c>
      <c r="F928">
        <v>666.25</v>
      </c>
      <c r="G928">
        <v>0.78</v>
      </c>
      <c r="H928">
        <v>0.91</v>
      </c>
      <c r="I928">
        <v>856.22</v>
      </c>
      <c r="J928">
        <v>25.2</v>
      </c>
      <c r="K928">
        <v>4.3499999999999996</v>
      </c>
      <c r="L928">
        <v>1.06</v>
      </c>
    </row>
    <row r="929" spans="1:12" x14ac:dyDescent="0.3">
      <c r="A929" s="1">
        <v>45562</v>
      </c>
      <c r="B929">
        <v>85893.84</v>
      </c>
      <c r="C929">
        <v>85978.25</v>
      </c>
      <c r="D929">
        <v>85474.58</v>
      </c>
      <c r="E929">
        <v>85571.85</v>
      </c>
      <c r="F929">
        <v>-264.27</v>
      </c>
      <c r="G929">
        <v>-0.31</v>
      </c>
      <c r="H929">
        <v>0.94</v>
      </c>
      <c r="I929">
        <v>1025.94</v>
      </c>
      <c r="J929">
        <v>25.12</v>
      </c>
      <c r="K929">
        <v>4.33</v>
      </c>
      <c r="L929">
        <v>1.06</v>
      </c>
    </row>
    <row r="930" spans="1:12" x14ac:dyDescent="0.3">
      <c r="A930" s="1">
        <v>45565</v>
      </c>
      <c r="B930">
        <v>85208.76</v>
      </c>
      <c r="C930">
        <v>85359.65</v>
      </c>
      <c r="D930">
        <v>84257.14</v>
      </c>
      <c r="E930">
        <v>84299.78</v>
      </c>
      <c r="F930">
        <v>-1272.07</v>
      </c>
      <c r="G930">
        <v>-1.49</v>
      </c>
      <c r="H930">
        <v>1.1000000000000001</v>
      </c>
      <c r="I930">
        <v>1132.95</v>
      </c>
      <c r="J930">
        <v>24.75</v>
      </c>
      <c r="K930">
        <v>4.2699999999999996</v>
      </c>
      <c r="L930">
        <v>1.08</v>
      </c>
    </row>
    <row r="931" spans="1:12" x14ac:dyDescent="0.3">
      <c r="A931" s="1">
        <v>45566</v>
      </c>
      <c r="B931">
        <v>84257.17</v>
      </c>
      <c r="C931">
        <v>84648.4</v>
      </c>
      <c r="D931">
        <v>84098.94</v>
      </c>
      <c r="E931">
        <v>84266.29</v>
      </c>
      <c r="F931">
        <v>-33.49</v>
      </c>
      <c r="G931">
        <v>-0.04</v>
      </c>
      <c r="H931">
        <v>0.6</v>
      </c>
      <c r="I931">
        <v>755.24</v>
      </c>
      <c r="J931">
        <v>24.74</v>
      </c>
      <c r="K931">
        <v>4.2699999999999996</v>
      </c>
      <c r="L931">
        <v>1.08</v>
      </c>
    </row>
    <row r="932" spans="1:12" x14ac:dyDescent="0.3">
      <c r="A932" s="1">
        <v>45568</v>
      </c>
      <c r="B932">
        <v>83002.09</v>
      </c>
      <c r="C932">
        <v>83752.81</v>
      </c>
      <c r="D932">
        <v>82434.02</v>
      </c>
      <c r="E932">
        <v>82497.100000000006</v>
      </c>
      <c r="F932">
        <v>-1769.19</v>
      </c>
      <c r="G932">
        <v>-2.1</v>
      </c>
      <c r="H932">
        <v>1.97</v>
      </c>
      <c r="I932">
        <v>2825.86</v>
      </c>
      <c r="J932">
        <v>24.22</v>
      </c>
      <c r="K932">
        <v>4.18</v>
      </c>
      <c r="L932">
        <v>1.1000000000000001</v>
      </c>
    </row>
    <row r="933" spans="1:12" x14ac:dyDescent="0.3">
      <c r="A933" s="1">
        <v>45569</v>
      </c>
      <c r="B933">
        <v>82244.25</v>
      </c>
      <c r="C933">
        <v>83368.320000000007</v>
      </c>
      <c r="D933">
        <v>81532.679999999993</v>
      </c>
      <c r="E933">
        <v>81688.45</v>
      </c>
      <c r="F933">
        <v>-808.65</v>
      </c>
      <c r="G933">
        <v>-0.98</v>
      </c>
      <c r="H933">
        <v>1.92</v>
      </c>
      <c r="I933">
        <v>2402.67</v>
      </c>
      <c r="J933">
        <v>23.98</v>
      </c>
      <c r="K933">
        <v>4.1399999999999997</v>
      </c>
      <c r="L933">
        <v>1.1100000000000001</v>
      </c>
    </row>
    <row r="934" spans="1:12" x14ac:dyDescent="0.3">
      <c r="A934" s="1">
        <v>45572</v>
      </c>
      <c r="B934">
        <v>81926.990000000005</v>
      </c>
      <c r="C934">
        <v>82137.77</v>
      </c>
      <c r="D934">
        <v>80726.06</v>
      </c>
      <c r="E934">
        <v>81050</v>
      </c>
      <c r="F934">
        <v>-638.45000000000005</v>
      </c>
      <c r="G934">
        <v>-0.78</v>
      </c>
      <c r="H934">
        <v>1.77</v>
      </c>
      <c r="I934">
        <v>1970.26</v>
      </c>
      <c r="J934">
        <v>23.79</v>
      </c>
      <c r="K934">
        <v>4.0999999999999996</v>
      </c>
      <c r="L934">
        <v>1.1200000000000001</v>
      </c>
    </row>
    <row r="935" spans="1:12" x14ac:dyDescent="0.3">
      <c r="A935" s="1">
        <v>45573</v>
      </c>
      <c r="B935">
        <v>80826.559999999998</v>
      </c>
      <c r="C935">
        <v>81763.28</v>
      </c>
      <c r="D935">
        <v>80813.070000000007</v>
      </c>
      <c r="E935">
        <v>81634.81</v>
      </c>
      <c r="F935">
        <v>584.80999999999995</v>
      </c>
      <c r="G935">
        <v>0.72</v>
      </c>
      <c r="H935">
        <v>0.72</v>
      </c>
      <c r="I935">
        <v>653.76</v>
      </c>
      <c r="J935">
        <v>23.97</v>
      </c>
      <c r="K935">
        <v>4.13</v>
      </c>
      <c r="L935">
        <v>1.1100000000000001</v>
      </c>
    </row>
    <row r="936" spans="1:12" x14ac:dyDescent="0.3">
      <c r="A936" s="1">
        <v>45574</v>
      </c>
      <c r="B936">
        <v>81954.58</v>
      </c>
      <c r="C936">
        <v>82319.210000000006</v>
      </c>
      <c r="D936">
        <v>81342.89</v>
      </c>
      <c r="E936">
        <v>81467.100000000006</v>
      </c>
      <c r="F936">
        <v>-167.71</v>
      </c>
      <c r="G936">
        <v>-0.21</v>
      </c>
      <c r="H936">
        <v>1.5</v>
      </c>
      <c r="I936">
        <v>1613.32</v>
      </c>
      <c r="J936">
        <v>23.92</v>
      </c>
      <c r="K936">
        <v>4.13</v>
      </c>
      <c r="L936">
        <v>1.1200000000000001</v>
      </c>
    </row>
    <row r="937" spans="1:12" x14ac:dyDescent="0.3">
      <c r="A937" s="1">
        <v>45575</v>
      </c>
      <c r="B937">
        <v>81832.66</v>
      </c>
      <c r="C937">
        <v>82002.84</v>
      </c>
      <c r="D937">
        <v>81538.94</v>
      </c>
      <c r="E937">
        <v>81611.41</v>
      </c>
      <c r="F937">
        <v>144.31</v>
      </c>
      <c r="G937">
        <v>0.18</v>
      </c>
      <c r="H937">
        <v>0.76</v>
      </c>
      <c r="I937">
        <v>701.64</v>
      </c>
      <c r="J937">
        <v>23.96</v>
      </c>
      <c r="K937">
        <v>4.13</v>
      </c>
      <c r="L937">
        <v>1.1100000000000001</v>
      </c>
    </row>
    <row r="938" spans="1:12" x14ac:dyDescent="0.3">
      <c r="A938" s="1">
        <v>45576</v>
      </c>
      <c r="B938">
        <v>81478.490000000005</v>
      </c>
      <c r="C938">
        <v>81671.38</v>
      </c>
      <c r="D938">
        <v>81304.149999999994</v>
      </c>
      <c r="E938">
        <v>81381.36</v>
      </c>
      <c r="F938">
        <v>-230.05</v>
      </c>
      <c r="G938">
        <v>-0.28000000000000003</v>
      </c>
      <c r="H938">
        <v>0.87</v>
      </c>
      <c r="I938">
        <v>1139.6400000000001</v>
      </c>
      <c r="J938">
        <v>23.88</v>
      </c>
      <c r="K938">
        <v>4.12</v>
      </c>
      <c r="L938">
        <v>1.1200000000000001</v>
      </c>
    </row>
    <row r="939" spans="1:12" x14ac:dyDescent="0.3">
      <c r="A939" s="1">
        <v>45579</v>
      </c>
      <c r="B939">
        <v>81576.929999999993</v>
      </c>
      <c r="C939">
        <v>82072.17</v>
      </c>
      <c r="D939">
        <v>81541.2</v>
      </c>
      <c r="E939">
        <v>81973.05</v>
      </c>
      <c r="F939">
        <v>591.69000000000005</v>
      </c>
      <c r="G939">
        <v>0.73</v>
      </c>
      <c r="H939">
        <v>0.77</v>
      </c>
      <c r="I939">
        <v>855.33</v>
      </c>
      <c r="J939">
        <v>24.05</v>
      </c>
      <c r="K939">
        <v>4.1500000000000004</v>
      </c>
      <c r="L939">
        <v>1.1100000000000001</v>
      </c>
    </row>
    <row r="940" spans="1:12" x14ac:dyDescent="0.3">
      <c r="A940" s="1">
        <v>45580</v>
      </c>
      <c r="B940">
        <v>82101.86</v>
      </c>
      <c r="C940">
        <v>82300.44</v>
      </c>
      <c r="D940">
        <v>81635.570000000007</v>
      </c>
      <c r="E940">
        <v>81820.12</v>
      </c>
      <c r="F940">
        <v>-152.93</v>
      </c>
      <c r="G940">
        <v>-0.19</v>
      </c>
      <c r="H940">
        <v>0.55000000000000004</v>
      </c>
      <c r="I940">
        <v>771.25</v>
      </c>
      <c r="J940">
        <v>24.02</v>
      </c>
      <c r="K940">
        <v>4.1399999999999997</v>
      </c>
      <c r="L940">
        <v>1.1100000000000001</v>
      </c>
    </row>
    <row r="941" spans="1:12" x14ac:dyDescent="0.3">
      <c r="A941" s="1">
        <v>45581</v>
      </c>
      <c r="B941">
        <v>81646.600000000006</v>
      </c>
      <c r="C941">
        <v>81932.149999999994</v>
      </c>
      <c r="D941">
        <v>81358.259999999995</v>
      </c>
      <c r="E941">
        <v>81501.36</v>
      </c>
      <c r="F941">
        <v>-318.76</v>
      </c>
      <c r="G941">
        <v>-0.39</v>
      </c>
      <c r="H941">
        <v>0.56000000000000005</v>
      </c>
      <c r="I941">
        <v>663.34</v>
      </c>
      <c r="J941">
        <v>23.93</v>
      </c>
      <c r="K941">
        <v>4.13</v>
      </c>
      <c r="L941">
        <v>1.1200000000000001</v>
      </c>
    </row>
    <row r="942" spans="1:12" x14ac:dyDescent="0.3">
      <c r="A942" s="1">
        <v>45582</v>
      </c>
      <c r="B942">
        <v>81758.070000000007</v>
      </c>
      <c r="C942">
        <v>81781.399999999994</v>
      </c>
      <c r="D942">
        <v>80905.64</v>
      </c>
      <c r="E942">
        <v>81006.61</v>
      </c>
      <c r="F942">
        <v>-494.75</v>
      </c>
      <c r="G942">
        <v>-0.61</v>
      </c>
      <c r="H942">
        <v>0.68</v>
      </c>
      <c r="I942">
        <v>826.4</v>
      </c>
      <c r="J942">
        <v>23.78</v>
      </c>
      <c r="K942">
        <v>4.0999999999999996</v>
      </c>
      <c r="L942">
        <v>1.1200000000000001</v>
      </c>
    </row>
    <row r="943" spans="1:12" x14ac:dyDescent="0.3">
      <c r="A943" s="1">
        <v>45583</v>
      </c>
      <c r="B943">
        <v>80749.259999999995</v>
      </c>
      <c r="C943">
        <v>81391.149999999994</v>
      </c>
      <c r="D943">
        <v>80409.25</v>
      </c>
      <c r="E943">
        <v>81224.75</v>
      </c>
      <c r="F943">
        <v>218.14</v>
      </c>
      <c r="G943">
        <v>0.27</v>
      </c>
      <c r="H943">
        <v>0.93</v>
      </c>
      <c r="I943">
        <v>1253.56</v>
      </c>
      <c r="J943">
        <v>23.83</v>
      </c>
      <c r="K943">
        <v>4.1100000000000003</v>
      </c>
      <c r="L943">
        <v>1.1299999999999999</v>
      </c>
    </row>
    <row r="944" spans="1:12" x14ac:dyDescent="0.3">
      <c r="A944" s="1">
        <v>45586</v>
      </c>
      <c r="B944">
        <v>81770.02</v>
      </c>
      <c r="C944">
        <v>81770.02</v>
      </c>
      <c r="D944">
        <v>80811.23</v>
      </c>
      <c r="E944">
        <v>81151.27</v>
      </c>
      <c r="F944">
        <v>-73.48</v>
      </c>
      <c r="G944">
        <v>-0.09</v>
      </c>
      <c r="H944">
        <v>0.76</v>
      </c>
      <c r="I944">
        <v>1051.3699999999999</v>
      </c>
      <c r="J944">
        <v>23.69</v>
      </c>
      <c r="K944">
        <v>4.1100000000000003</v>
      </c>
      <c r="L944">
        <v>1.1100000000000001</v>
      </c>
    </row>
    <row r="945" spans="1:12" x14ac:dyDescent="0.3">
      <c r="A945" s="1">
        <v>45587</v>
      </c>
      <c r="B945">
        <v>81155.08</v>
      </c>
      <c r="C945">
        <v>81504.240000000005</v>
      </c>
      <c r="D945">
        <v>80149.53</v>
      </c>
      <c r="E945">
        <v>80220.72</v>
      </c>
      <c r="F945">
        <v>-930.55</v>
      </c>
      <c r="G945">
        <v>-1.1499999999999999</v>
      </c>
      <c r="H945">
        <v>0.56000000000000005</v>
      </c>
      <c r="I945">
        <v>668.5</v>
      </c>
      <c r="J945">
        <v>23.4</v>
      </c>
      <c r="K945">
        <v>4.0599999999999996</v>
      </c>
      <c r="L945">
        <v>1.1299999999999999</v>
      </c>
    </row>
    <row r="946" spans="1:12" x14ac:dyDescent="0.3">
      <c r="A946" s="1">
        <v>45588</v>
      </c>
      <c r="B946">
        <v>79921.13</v>
      </c>
      <c r="C946">
        <v>80646.31</v>
      </c>
      <c r="D946">
        <v>79891.679999999993</v>
      </c>
      <c r="E946">
        <v>80081.98</v>
      </c>
      <c r="F946">
        <v>-138.74</v>
      </c>
      <c r="G946">
        <v>-0.17</v>
      </c>
      <c r="H946">
        <v>0.62</v>
      </c>
      <c r="I946">
        <v>672.7</v>
      </c>
      <c r="J946">
        <v>23.34</v>
      </c>
      <c r="K946">
        <v>4.0599999999999996</v>
      </c>
      <c r="L946">
        <v>1.1399999999999999</v>
      </c>
    </row>
    <row r="947" spans="1:12" x14ac:dyDescent="0.3">
      <c r="A947" s="1">
        <v>45589</v>
      </c>
      <c r="B947">
        <v>80098.3</v>
      </c>
      <c r="C947">
        <v>80259.820000000007</v>
      </c>
      <c r="D947">
        <v>79813.02</v>
      </c>
      <c r="E947">
        <v>80065.16</v>
      </c>
      <c r="F947">
        <v>-16.82</v>
      </c>
      <c r="G947">
        <v>-0.02</v>
      </c>
      <c r="H947">
        <v>0.48</v>
      </c>
      <c r="I947">
        <v>575.20000000000005</v>
      </c>
      <c r="J947">
        <v>23.34</v>
      </c>
      <c r="K947">
        <v>4.05</v>
      </c>
      <c r="L947">
        <v>1.1399999999999999</v>
      </c>
    </row>
    <row r="948" spans="1:12" x14ac:dyDescent="0.3">
      <c r="A948" s="1">
        <v>45590</v>
      </c>
      <c r="B948">
        <v>80187.34</v>
      </c>
      <c r="C948">
        <v>80253.19</v>
      </c>
      <c r="D948">
        <v>79137.98</v>
      </c>
      <c r="E948">
        <v>79402.289999999994</v>
      </c>
      <c r="F948">
        <v>-662.87</v>
      </c>
      <c r="G948">
        <v>-0.83</v>
      </c>
      <c r="H948">
        <v>1.39</v>
      </c>
      <c r="I948">
        <v>1497.19</v>
      </c>
      <c r="J948">
        <v>23.14</v>
      </c>
      <c r="K948">
        <v>4.0199999999999996</v>
      </c>
      <c r="L948">
        <v>1.1499999999999999</v>
      </c>
    </row>
    <row r="949" spans="1:12" x14ac:dyDescent="0.3">
      <c r="A949" s="1">
        <v>45593</v>
      </c>
      <c r="B949">
        <v>79653.67</v>
      </c>
      <c r="C949">
        <v>80539.81</v>
      </c>
      <c r="D949">
        <v>79418.820000000007</v>
      </c>
      <c r="E949">
        <v>80005.039999999994</v>
      </c>
      <c r="F949">
        <v>602.75</v>
      </c>
      <c r="G949">
        <v>0.76</v>
      </c>
      <c r="H949">
        <v>1.08</v>
      </c>
      <c r="I949">
        <v>1322.9</v>
      </c>
      <c r="J949">
        <v>23.28</v>
      </c>
      <c r="K949">
        <v>4.05</v>
      </c>
      <c r="L949">
        <v>1.07</v>
      </c>
    </row>
    <row r="950" spans="1:12" x14ac:dyDescent="0.3">
      <c r="A950" s="1">
        <v>45594</v>
      </c>
      <c r="B950">
        <v>80037.2</v>
      </c>
      <c r="C950">
        <v>80450.48</v>
      </c>
      <c r="D950">
        <v>79421.350000000006</v>
      </c>
      <c r="E950">
        <v>80369.03</v>
      </c>
      <c r="F950">
        <v>363.99</v>
      </c>
      <c r="G950">
        <v>0.45</v>
      </c>
      <c r="H950">
        <v>0.96</v>
      </c>
      <c r="I950">
        <v>916.61</v>
      </c>
      <c r="J950">
        <v>23.4</v>
      </c>
      <c r="K950">
        <v>4.07</v>
      </c>
      <c r="L950">
        <v>1.1399999999999999</v>
      </c>
    </row>
    <row r="951" spans="1:12" x14ac:dyDescent="0.3">
      <c r="A951" s="1">
        <v>45595</v>
      </c>
      <c r="B951">
        <v>80237.850000000006</v>
      </c>
      <c r="C951">
        <v>80435.61</v>
      </c>
      <c r="D951">
        <v>79821.990000000005</v>
      </c>
      <c r="E951">
        <v>79942.179999999993</v>
      </c>
      <c r="F951">
        <v>-426.85</v>
      </c>
      <c r="G951">
        <v>-0.53</v>
      </c>
      <c r="H951">
        <v>0.59</v>
      </c>
      <c r="I951">
        <v>580.11</v>
      </c>
      <c r="J951">
        <v>23.24</v>
      </c>
      <c r="K951">
        <v>4.05</v>
      </c>
      <c r="L951">
        <v>1.1499999999999999</v>
      </c>
    </row>
    <row r="952" spans="1:12" x14ac:dyDescent="0.3">
      <c r="A952" s="1">
        <v>45596</v>
      </c>
      <c r="B952">
        <v>80044.95</v>
      </c>
      <c r="C952">
        <v>80044.95</v>
      </c>
      <c r="D952">
        <v>79287.929999999993</v>
      </c>
      <c r="E952">
        <v>79389.06</v>
      </c>
      <c r="F952">
        <v>-553.12</v>
      </c>
      <c r="G952">
        <v>-0.69</v>
      </c>
      <c r="H952">
        <v>0.93</v>
      </c>
      <c r="I952">
        <v>1260.0999999999999</v>
      </c>
      <c r="J952">
        <v>23.28</v>
      </c>
      <c r="K952">
        <v>4.0199999999999996</v>
      </c>
      <c r="L952">
        <v>1.18</v>
      </c>
    </row>
    <row r="953" spans="1:12" x14ac:dyDescent="0.3">
      <c r="A953" s="1">
        <v>45597</v>
      </c>
      <c r="B953">
        <v>80023.75</v>
      </c>
      <c r="C953">
        <v>80023.75</v>
      </c>
      <c r="D953">
        <v>79655.55</v>
      </c>
      <c r="E953">
        <v>79724.12</v>
      </c>
      <c r="F953">
        <v>335.06</v>
      </c>
      <c r="G953">
        <v>0.42</v>
      </c>
      <c r="H953">
        <v>0.23</v>
      </c>
      <c r="I953">
        <v>204.29</v>
      </c>
      <c r="J953">
        <v>23.13</v>
      </c>
      <c r="K953">
        <v>4.04</v>
      </c>
      <c r="L953">
        <v>1.18</v>
      </c>
    </row>
    <row r="954" spans="1:12" x14ac:dyDescent="0.3">
      <c r="A954" s="1">
        <v>45600</v>
      </c>
      <c r="B954">
        <v>79713.14</v>
      </c>
      <c r="C954">
        <v>79713.14</v>
      </c>
      <c r="D954">
        <v>78232.600000000006</v>
      </c>
      <c r="E954">
        <v>78782.240000000005</v>
      </c>
      <c r="F954">
        <v>-941.88</v>
      </c>
      <c r="G954">
        <v>-1.18</v>
      </c>
      <c r="H954">
        <v>0.95</v>
      </c>
      <c r="I954">
        <v>1059.8</v>
      </c>
      <c r="J954">
        <v>22.86</v>
      </c>
      <c r="K954">
        <v>3.99</v>
      </c>
      <c r="L954">
        <v>1.1499999999999999</v>
      </c>
    </row>
    <row r="955" spans="1:12" x14ac:dyDescent="0.3">
      <c r="A955" s="1">
        <v>45601</v>
      </c>
      <c r="B955">
        <v>78542.16</v>
      </c>
      <c r="C955">
        <v>79523.13</v>
      </c>
      <c r="D955">
        <v>78296.7</v>
      </c>
      <c r="E955">
        <v>79476.63</v>
      </c>
      <c r="F955">
        <v>694.39</v>
      </c>
      <c r="G955">
        <v>0.88</v>
      </c>
      <c r="H955">
        <v>0.86</v>
      </c>
      <c r="I955">
        <v>720.15</v>
      </c>
      <c r="J955">
        <v>23.06</v>
      </c>
      <c r="K955">
        <v>4.0199999999999996</v>
      </c>
      <c r="L955">
        <v>1.1399999999999999</v>
      </c>
    </row>
    <row r="956" spans="1:12" x14ac:dyDescent="0.3">
      <c r="A956" s="1">
        <v>45602</v>
      </c>
      <c r="B956">
        <v>79771.820000000007</v>
      </c>
      <c r="C956">
        <v>80569.73</v>
      </c>
      <c r="D956">
        <v>79459.12</v>
      </c>
      <c r="E956">
        <v>80378.13</v>
      </c>
      <c r="F956">
        <v>901.5</v>
      </c>
      <c r="G956">
        <v>1.1299999999999999</v>
      </c>
      <c r="H956">
        <v>2.02</v>
      </c>
      <c r="I956">
        <v>2556.4</v>
      </c>
      <c r="J956">
        <v>23.32</v>
      </c>
      <c r="K956">
        <v>4.07</v>
      </c>
      <c r="L956">
        <v>1.1399999999999999</v>
      </c>
    </row>
    <row r="957" spans="1:12" x14ac:dyDescent="0.3">
      <c r="A957" s="1">
        <v>45603</v>
      </c>
      <c r="B957">
        <v>80563.42</v>
      </c>
      <c r="C957">
        <v>80563.42</v>
      </c>
      <c r="D957">
        <v>79419.34</v>
      </c>
      <c r="E957">
        <v>79541.789999999994</v>
      </c>
      <c r="F957">
        <v>-836.34</v>
      </c>
      <c r="G957">
        <v>-1.04</v>
      </c>
      <c r="H957">
        <v>0.82</v>
      </c>
      <c r="I957">
        <v>585.42999999999995</v>
      </c>
      <c r="J957">
        <v>22.78</v>
      </c>
      <c r="K957">
        <v>4.03</v>
      </c>
      <c r="L957">
        <v>1.1499999999999999</v>
      </c>
    </row>
    <row r="958" spans="1:12" x14ac:dyDescent="0.3">
      <c r="A958" s="1">
        <v>45604</v>
      </c>
      <c r="B958">
        <v>79611.899999999994</v>
      </c>
      <c r="C958">
        <v>79807.259999999995</v>
      </c>
      <c r="D958">
        <v>79117.37</v>
      </c>
      <c r="E958">
        <v>79486.320000000007</v>
      </c>
      <c r="F958">
        <v>-55.47</v>
      </c>
      <c r="G958">
        <v>-7.0000000000000007E-2</v>
      </c>
      <c r="H958">
        <v>1.03</v>
      </c>
      <c r="I958">
        <v>1025.6300000000001</v>
      </c>
      <c r="J958">
        <v>22.77</v>
      </c>
      <c r="K958">
        <v>4.0199999999999996</v>
      </c>
      <c r="L958">
        <v>1.1499999999999999</v>
      </c>
    </row>
    <row r="959" spans="1:12" x14ac:dyDescent="0.3">
      <c r="A959" s="1">
        <v>45607</v>
      </c>
      <c r="B959">
        <v>79298.460000000006</v>
      </c>
      <c r="C959">
        <v>80102.14</v>
      </c>
      <c r="D959">
        <v>79001.34</v>
      </c>
      <c r="E959">
        <v>79496.149999999994</v>
      </c>
      <c r="F959">
        <v>9.83</v>
      </c>
      <c r="G959">
        <v>0.01</v>
      </c>
      <c r="H959">
        <v>1.69</v>
      </c>
      <c r="I959">
        <v>1737.89</v>
      </c>
      <c r="J959">
        <v>22.7</v>
      </c>
      <c r="K959">
        <v>4.03</v>
      </c>
      <c r="L959">
        <v>1.1499999999999999</v>
      </c>
    </row>
    <row r="960" spans="1:12" x14ac:dyDescent="0.3">
      <c r="A960" s="1">
        <v>45608</v>
      </c>
      <c r="B960">
        <v>79644.95</v>
      </c>
      <c r="C960">
        <v>79820.98</v>
      </c>
      <c r="D960">
        <v>78547.839999999997</v>
      </c>
      <c r="E960">
        <v>78675.179999999993</v>
      </c>
      <c r="F960">
        <v>-820.97</v>
      </c>
      <c r="G960">
        <v>-1.03</v>
      </c>
      <c r="H960">
        <v>0.64</v>
      </c>
      <c r="I960">
        <v>656.62</v>
      </c>
      <c r="J960">
        <v>22.47</v>
      </c>
      <c r="K960">
        <v>3.98</v>
      </c>
      <c r="L960">
        <v>1.17</v>
      </c>
    </row>
    <row r="961" spans="1:12" x14ac:dyDescent="0.3">
      <c r="A961" s="1">
        <v>45609</v>
      </c>
      <c r="B961">
        <v>78495.53</v>
      </c>
      <c r="C961">
        <v>78690.02</v>
      </c>
      <c r="D961">
        <v>77533.3</v>
      </c>
      <c r="E961">
        <v>77690.95</v>
      </c>
      <c r="F961">
        <v>-984.23</v>
      </c>
      <c r="G961">
        <v>-1.25</v>
      </c>
      <c r="H961">
        <v>0.74</v>
      </c>
      <c r="I961">
        <v>693.94</v>
      </c>
      <c r="J961">
        <v>22.19</v>
      </c>
      <c r="K961">
        <v>3.93</v>
      </c>
      <c r="L961">
        <v>1.18</v>
      </c>
    </row>
    <row r="962" spans="1:12" x14ac:dyDescent="0.3">
      <c r="A962" s="1">
        <v>45610</v>
      </c>
      <c r="B962">
        <v>77636.94</v>
      </c>
      <c r="C962">
        <v>78055.520000000004</v>
      </c>
      <c r="D962">
        <v>77424.81</v>
      </c>
      <c r="E962">
        <v>77580.31</v>
      </c>
      <c r="F962">
        <v>-110.64</v>
      </c>
      <c r="G962">
        <v>-0.14000000000000001</v>
      </c>
      <c r="H962">
        <v>1.01</v>
      </c>
      <c r="I962">
        <v>1001.07</v>
      </c>
      <c r="J962">
        <v>22.16</v>
      </c>
      <c r="K962">
        <v>3.93</v>
      </c>
      <c r="L962">
        <v>1.21</v>
      </c>
    </row>
    <row r="963" spans="1:12" x14ac:dyDescent="0.3">
      <c r="A963" s="1">
        <v>45614</v>
      </c>
      <c r="B963">
        <v>77863.539999999994</v>
      </c>
      <c r="C963">
        <v>77886.97</v>
      </c>
      <c r="D963">
        <v>76965.06</v>
      </c>
      <c r="E963">
        <v>77339.009999999995</v>
      </c>
      <c r="F963">
        <v>-241.3</v>
      </c>
      <c r="G963">
        <v>-0.31</v>
      </c>
      <c r="H963">
        <v>0.82</v>
      </c>
      <c r="I963">
        <v>663.49</v>
      </c>
      <c r="J963">
        <v>22.09</v>
      </c>
      <c r="K963">
        <v>3.92</v>
      </c>
      <c r="L963">
        <v>1.19</v>
      </c>
    </row>
    <row r="964" spans="1:12" x14ac:dyDescent="0.3">
      <c r="A964" s="1">
        <v>45615</v>
      </c>
      <c r="B964">
        <v>77548</v>
      </c>
      <c r="C964">
        <v>78451.649999999994</v>
      </c>
      <c r="D964">
        <v>77411.31</v>
      </c>
      <c r="E964">
        <v>77578.38</v>
      </c>
      <c r="F964">
        <v>239.37</v>
      </c>
      <c r="G964">
        <v>0.31</v>
      </c>
      <c r="H964">
        <v>0.72</v>
      </c>
      <c r="I964">
        <v>731.42</v>
      </c>
      <c r="J964">
        <v>22.16</v>
      </c>
      <c r="K964">
        <v>3.93</v>
      </c>
      <c r="L964">
        <v>1.19</v>
      </c>
    </row>
    <row r="965" spans="1:12" x14ac:dyDescent="0.3">
      <c r="A965" s="1">
        <v>45617</v>
      </c>
      <c r="B965">
        <v>77711.11</v>
      </c>
      <c r="C965">
        <v>77711.11</v>
      </c>
      <c r="D965">
        <v>76802.73</v>
      </c>
      <c r="E965">
        <v>77155.789999999994</v>
      </c>
      <c r="F965">
        <v>-422.59</v>
      </c>
      <c r="G965">
        <v>-0.54</v>
      </c>
      <c r="H965">
        <v>0.88</v>
      </c>
      <c r="I965">
        <v>810.82</v>
      </c>
      <c r="J965">
        <v>22.04</v>
      </c>
      <c r="K965">
        <v>3.91</v>
      </c>
      <c r="L965">
        <v>1.19</v>
      </c>
    </row>
    <row r="966" spans="1:12" x14ac:dyDescent="0.3">
      <c r="A966" s="1">
        <v>45618</v>
      </c>
      <c r="B966">
        <v>77349.740000000005</v>
      </c>
      <c r="C966">
        <v>79218.19</v>
      </c>
      <c r="D966">
        <v>77226.69</v>
      </c>
      <c r="E966">
        <v>79117.11</v>
      </c>
      <c r="F966">
        <v>1961.32</v>
      </c>
      <c r="G966">
        <v>2.54</v>
      </c>
      <c r="H966">
        <v>1.71</v>
      </c>
      <c r="I966">
        <v>1518.58</v>
      </c>
      <c r="J966">
        <v>22.6</v>
      </c>
      <c r="K966">
        <v>4.01</v>
      </c>
      <c r="L966">
        <v>1.1599999999999999</v>
      </c>
    </row>
    <row r="967" spans="1:12" x14ac:dyDescent="0.3">
      <c r="A967" s="1">
        <v>45621</v>
      </c>
      <c r="B967">
        <v>80193.47</v>
      </c>
      <c r="C967">
        <v>80473.08</v>
      </c>
      <c r="D967">
        <v>79765.990000000005</v>
      </c>
      <c r="E967">
        <v>80109.850000000006</v>
      </c>
      <c r="F967">
        <v>992.74</v>
      </c>
      <c r="G967">
        <v>1.25</v>
      </c>
      <c r="H967">
        <v>1.4</v>
      </c>
      <c r="I967">
        <v>1472.54</v>
      </c>
      <c r="J967">
        <v>22.88</v>
      </c>
      <c r="K967">
        <v>4.0599999999999996</v>
      </c>
      <c r="L967">
        <v>1.1499999999999999</v>
      </c>
    </row>
    <row r="968" spans="1:12" x14ac:dyDescent="0.3">
      <c r="A968" s="1">
        <v>45622</v>
      </c>
      <c r="B968">
        <v>80415.47</v>
      </c>
      <c r="C968">
        <v>80482.36</v>
      </c>
      <c r="D968">
        <v>79798.67</v>
      </c>
      <c r="E968">
        <v>80004.06</v>
      </c>
      <c r="F968">
        <v>-105.79</v>
      </c>
      <c r="G968">
        <v>-0.13</v>
      </c>
      <c r="H968">
        <v>1.04</v>
      </c>
      <c r="I968">
        <v>764.4</v>
      </c>
      <c r="J968">
        <v>22.85</v>
      </c>
      <c r="K968">
        <v>4.05</v>
      </c>
      <c r="L968">
        <v>1.1499999999999999</v>
      </c>
    </row>
    <row r="969" spans="1:12" x14ac:dyDescent="0.3">
      <c r="A969" s="1">
        <v>45623</v>
      </c>
      <c r="B969">
        <v>80121.03</v>
      </c>
      <c r="C969">
        <v>80511.149999999994</v>
      </c>
      <c r="D969">
        <v>79844.490000000005</v>
      </c>
      <c r="E969">
        <v>80234.080000000002</v>
      </c>
      <c r="F969">
        <v>230.02</v>
      </c>
      <c r="G969">
        <v>0.28999999999999998</v>
      </c>
      <c r="H969">
        <v>0.56999999999999995</v>
      </c>
      <c r="I969">
        <v>579.1</v>
      </c>
      <c r="J969">
        <v>22.91</v>
      </c>
      <c r="K969">
        <v>4.0599999999999996</v>
      </c>
      <c r="L969">
        <v>1.1499999999999999</v>
      </c>
    </row>
    <row r="970" spans="1:12" x14ac:dyDescent="0.3">
      <c r="A970" s="1">
        <v>45624</v>
      </c>
      <c r="B970">
        <v>80281.64</v>
      </c>
      <c r="C970">
        <v>80447.399999999994</v>
      </c>
      <c r="D970">
        <v>78918.92</v>
      </c>
      <c r="E970">
        <v>79043.740000000005</v>
      </c>
      <c r="F970">
        <v>-1190.3399999999999</v>
      </c>
      <c r="G970">
        <v>-1.48</v>
      </c>
      <c r="H970">
        <v>0.79</v>
      </c>
      <c r="I970">
        <v>892.05</v>
      </c>
      <c r="J970">
        <v>22.57</v>
      </c>
      <c r="K970">
        <v>4</v>
      </c>
      <c r="L970">
        <v>1.17</v>
      </c>
    </row>
    <row r="971" spans="1:12" x14ac:dyDescent="0.3">
      <c r="A971" s="1">
        <v>45625</v>
      </c>
      <c r="B971">
        <v>79032.990000000005</v>
      </c>
      <c r="C971">
        <v>79923.899999999994</v>
      </c>
      <c r="D971">
        <v>79026.179999999993</v>
      </c>
      <c r="E971">
        <v>79802.789999999994</v>
      </c>
      <c r="F971">
        <v>759.05</v>
      </c>
      <c r="G971">
        <v>0.96</v>
      </c>
      <c r="H971">
        <v>0.89</v>
      </c>
      <c r="I971">
        <v>992.38</v>
      </c>
      <c r="J971">
        <v>22.79</v>
      </c>
      <c r="K971">
        <v>4.04</v>
      </c>
      <c r="L971">
        <v>1.1499999999999999</v>
      </c>
    </row>
    <row r="972" spans="1:12" x14ac:dyDescent="0.3">
      <c r="A972" s="1">
        <v>45628</v>
      </c>
      <c r="B972">
        <v>79743.87</v>
      </c>
      <c r="C972">
        <v>80337.820000000007</v>
      </c>
      <c r="D972">
        <v>79308.95</v>
      </c>
      <c r="E972">
        <v>80248.08</v>
      </c>
      <c r="F972">
        <v>445.29</v>
      </c>
      <c r="G972">
        <v>0.56000000000000005</v>
      </c>
      <c r="H972">
        <v>0.73</v>
      </c>
      <c r="I972">
        <v>729.96</v>
      </c>
      <c r="J972">
        <v>22.92</v>
      </c>
      <c r="K972">
        <v>4.0599999999999996</v>
      </c>
      <c r="L972">
        <v>1.1499999999999999</v>
      </c>
    </row>
    <row r="973" spans="1:12" x14ac:dyDescent="0.3">
      <c r="A973" s="1">
        <v>45629</v>
      </c>
      <c r="B973">
        <v>80529.2</v>
      </c>
      <c r="C973">
        <v>80949.100000000006</v>
      </c>
      <c r="D973">
        <v>80244.78</v>
      </c>
      <c r="E973">
        <v>80845.75</v>
      </c>
      <c r="F973">
        <v>597.66999999999996</v>
      </c>
      <c r="G973">
        <v>0.74</v>
      </c>
      <c r="H973">
        <v>0.94</v>
      </c>
      <c r="I973">
        <v>780.11</v>
      </c>
      <c r="J973">
        <v>23.09</v>
      </c>
      <c r="K973">
        <v>4.09</v>
      </c>
      <c r="L973">
        <v>1.1399999999999999</v>
      </c>
    </row>
    <row r="974" spans="1:12" x14ac:dyDescent="0.3">
      <c r="A974" s="1">
        <v>45630</v>
      </c>
      <c r="B974">
        <v>81036.22</v>
      </c>
      <c r="C974">
        <v>81245.39</v>
      </c>
      <c r="D974">
        <v>80630.53</v>
      </c>
      <c r="E974">
        <v>80956.33</v>
      </c>
      <c r="F974">
        <v>110.58</v>
      </c>
      <c r="G974">
        <v>0.14000000000000001</v>
      </c>
      <c r="H974">
        <v>0.72</v>
      </c>
      <c r="I974">
        <v>745.8</v>
      </c>
      <c r="J974">
        <v>23.12</v>
      </c>
      <c r="K974">
        <v>4.0999999999999996</v>
      </c>
      <c r="L974">
        <v>1.1399999999999999</v>
      </c>
    </row>
    <row r="975" spans="1:12" x14ac:dyDescent="0.3">
      <c r="A975" s="1">
        <v>45631</v>
      </c>
      <c r="B975">
        <v>81182.740000000005</v>
      </c>
      <c r="C975">
        <v>82317.740000000005</v>
      </c>
      <c r="D975">
        <v>80467.37</v>
      </c>
      <c r="E975">
        <v>81765.86</v>
      </c>
      <c r="F975">
        <v>809.53</v>
      </c>
      <c r="G975">
        <v>1</v>
      </c>
      <c r="H975">
        <v>0.75</v>
      </c>
      <c r="I975">
        <v>783.63</v>
      </c>
      <c r="J975">
        <v>23.35</v>
      </c>
      <c r="K975">
        <v>4.1399999999999997</v>
      </c>
      <c r="L975">
        <v>1.1299999999999999</v>
      </c>
    </row>
    <row r="976" spans="1:12" x14ac:dyDescent="0.3">
      <c r="A976" s="1">
        <v>45632</v>
      </c>
      <c r="B976">
        <v>81887.539999999994</v>
      </c>
      <c r="C976">
        <v>81925.91</v>
      </c>
      <c r="D976">
        <v>81506.19</v>
      </c>
      <c r="E976">
        <v>81709.119999999995</v>
      </c>
      <c r="F976">
        <v>-56.74</v>
      </c>
      <c r="G976">
        <v>-7.0000000000000007E-2</v>
      </c>
      <c r="H976">
        <v>0.88</v>
      </c>
      <c r="I976">
        <v>966.67</v>
      </c>
      <c r="J976">
        <v>23.28</v>
      </c>
      <c r="K976">
        <v>4.13</v>
      </c>
      <c r="L976">
        <v>1.1299999999999999</v>
      </c>
    </row>
    <row r="977" spans="1:12" x14ac:dyDescent="0.3">
      <c r="A977" s="1">
        <v>45635</v>
      </c>
      <c r="B977">
        <v>81602.58</v>
      </c>
      <c r="C977">
        <v>81783.28</v>
      </c>
      <c r="D977">
        <v>81411.55</v>
      </c>
      <c r="E977">
        <v>81508.460000000006</v>
      </c>
      <c r="F977">
        <v>-200.66</v>
      </c>
      <c r="G977">
        <v>-0.25</v>
      </c>
      <c r="H977">
        <v>0.8</v>
      </c>
      <c r="I977">
        <v>842.43</v>
      </c>
      <c r="J977">
        <v>23.28</v>
      </c>
      <c r="K977">
        <v>4.13</v>
      </c>
      <c r="L977">
        <v>1.1299999999999999</v>
      </c>
    </row>
    <row r="978" spans="1:12" x14ac:dyDescent="0.3">
      <c r="A978" s="1">
        <v>45636</v>
      </c>
      <c r="B978">
        <v>81575.960000000006</v>
      </c>
      <c r="C978">
        <v>81726.34</v>
      </c>
      <c r="D978">
        <v>81182.69</v>
      </c>
      <c r="E978">
        <v>81510.05</v>
      </c>
      <c r="F978">
        <v>1.59</v>
      </c>
      <c r="G978">
        <v>0</v>
      </c>
      <c r="H978">
        <v>0.56000000000000005</v>
      </c>
      <c r="I978">
        <v>600.29999999999995</v>
      </c>
      <c r="J978">
        <v>23.28</v>
      </c>
      <c r="K978">
        <v>4.13</v>
      </c>
      <c r="L978">
        <v>1.1299999999999999</v>
      </c>
    </row>
    <row r="979" spans="1:12" x14ac:dyDescent="0.3">
      <c r="A979" s="1">
        <v>45637</v>
      </c>
      <c r="B979">
        <v>81568.39</v>
      </c>
      <c r="C979">
        <v>81742.37</v>
      </c>
      <c r="D979">
        <v>81383.42</v>
      </c>
      <c r="E979">
        <v>81526.14</v>
      </c>
      <c r="F979">
        <v>16.09</v>
      </c>
      <c r="G979">
        <v>0.02</v>
      </c>
      <c r="H979">
        <v>0.63</v>
      </c>
      <c r="I979">
        <v>679.9</v>
      </c>
      <c r="J979">
        <v>23.28</v>
      </c>
      <c r="K979">
        <v>4.13</v>
      </c>
      <c r="L979">
        <v>1.1299999999999999</v>
      </c>
    </row>
    <row r="980" spans="1:12" x14ac:dyDescent="0.3">
      <c r="A980" s="1">
        <v>45638</v>
      </c>
      <c r="B980">
        <v>81476.759999999995</v>
      </c>
      <c r="C980">
        <v>81680.97</v>
      </c>
      <c r="D980">
        <v>81211.64</v>
      </c>
      <c r="E980">
        <v>81289.960000000006</v>
      </c>
      <c r="F980">
        <v>-236.18</v>
      </c>
      <c r="G980">
        <v>-0.28999999999999998</v>
      </c>
      <c r="H980">
        <v>0.78</v>
      </c>
      <c r="I980">
        <v>704.85</v>
      </c>
      <c r="J980">
        <v>23.22</v>
      </c>
      <c r="K980">
        <v>4.12</v>
      </c>
      <c r="L980">
        <v>1.1299999999999999</v>
      </c>
    </row>
    <row r="981" spans="1:12" x14ac:dyDescent="0.3">
      <c r="A981" s="1">
        <v>45639</v>
      </c>
      <c r="B981">
        <v>81212.45</v>
      </c>
      <c r="C981">
        <v>82213.919999999998</v>
      </c>
      <c r="D981">
        <v>80082.820000000007</v>
      </c>
      <c r="E981">
        <v>82133.119999999995</v>
      </c>
      <c r="F981">
        <v>843.16</v>
      </c>
      <c r="G981">
        <v>1.04</v>
      </c>
      <c r="H981">
        <v>1.1299999999999999</v>
      </c>
      <c r="I981">
        <v>1292.6300000000001</v>
      </c>
      <c r="J981">
        <v>23.46</v>
      </c>
      <c r="K981">
        <v>4.16</v>
      </c>
      <c r="L981">
        <v>1.1200000000000001</v>
      </c>
    </row>
    <row r="982" spans="1:12" x14ac:dyDescent="0.3">
      <c r="A982" s="1">
        <v>45642</v>
      </c>
      <c r="B982">
        <v>82000.31</v>
      </c>
      <c r="C982">
        <v>82116.44</v>
      </c>
      <c r="D982">
        <v>81551.28</v>
      </c>
      <c r="E982">
        <v>81748.570000000007</v>
      </c>
      <c r="F982">
        <v>-384.55</v>
      </c>
      <c r="G982">
        <v>-0.47</v>
      </c>
      <c r="H982">
        <v>0.52</v>
      </c>
      <c r="I982">
        <v>499.42</v>
      </c>
      <c r="J982">
        <v>23.35</v>
      </c>
      <c r="K982">
        <v>4.1399999999999997</v>
      </c>
      <c r="L982">
        <v>1.1299999999999999</v>
      </c>
    </row>
    <row r="983" spans="1:12" x14ac:dyDescent="0.3">
      <c r="A983" s="1">
        <v>45643</v>
      </c>
      <c r="B983">
        <v>81511.81</v>
      </c>
      <c r="C983">
        <v>81613.64</v>
      </c>
      <c r="D983">
        <v>80612.2</v>
      </c>
      <c r="E983">
        <v>80684.45</v>
      </c>
      <c r="F983">
        <v>-1064.1199999999999</v>
      </c>
      <c r="G983">
        <v>-1.3</v>
      </c>
      <c r="H983">
        <v>0.49</v>
      </c>
      <c r="I983">
        <v>464.5</v>
      </c>
      <c r="J983">
        <v>23.04</v>
      </c>
      <c r="K983">
        <v>4.09</v>
      </c>
      <c r="L983">
        <v>1.1399999999999999</v>
      </c>
    </row>
    <row r="984" spans="1:12" x14ac:dyDescent="0.3">
      <c r="A984" s="1">
        <v>45644</v>
      </c>
      <c r="B984">
        <v>80666.259999999995</v>
      </c>
      <c r="C984">
        <v>80868.02</v>
      </c>
      <c r="D984">
        <v>80050.070000000007</v>
      </c>
      <c r="E984">
        <v>80182.2</v>
      </c>
      <c r="F984">
        <v>-502.25</v>
      </c>
      <c r="G984">
        <v>-0.62</v>
      </c>
      <c r="H984">
        <v>0.47</v>
      </c>
      <c r="I984">
        <v>525.59</v>
      </c>
      <c r="J984">
        <v>22.9</v>
      </c>
      <c r="K984">
        <v>4.0599999999999996</v>
      </c>
      <c r="L984">
        <v>1.1499999999999999</v>
      </c>
    </row>
    <row r="985" spans="1:12" x14ac:dyDescent="0.3">
      <c r="A985" s="1">
        <v>45645</v>
      </c>
      <c r="B985">
        <v>79029.03</v>
      </c>
      <c r="C985">
        <v>79516.17</v>
      </c>
      <c r="D985">
        <v>79020.08</v>
      </c>
      <c r="E985">
        <v>79218.05</v>
      </c>
      <c r="F985">
        <v>-964.15</v>
      </c>
      <c r="G985">
        <v>-1.2</v>
      </c>
      <c r="H985">
        <v>1.31</v>
      </c>
      <c r="I985">
        <v>1188.71</v>
      </c>
      <c r="J985">
        <v>22.62</v>
      </c>
      <c r="K985">
        <v>4.01</v>
      </c>
      <c r="L985">
        <v>1.1599999999999999</v>
      </c>
    </row>
    <row r="986" spans="1:12" x14ac:dyDescent="0.3">
      <c r="A986" s="1">
        <v>45646</v>
      </c>
      <c r="B986">
        <v>79335.48</v>
      </c>
      <c r="C986">
        <v>79587.149999999994</v>
      </c>
      <c r="D986">
        <v>77874.59</v>
      </c>
      <c r="E986">
        <v>78041.59</v>
      </c>
      <c r="F986">
        <v>-1176.46</v>
      </c>
      <c r="G986">
        <v>-1.49</v>
      </c>
      <c r="H986">
        <v>0.9</v>
      </c>
      <c r="I986">
        <v>946.6</v>
      </c>
      <c r="J986">
        <v>22.29</v>
      </c>
      <c r="K986">
        <v>3.95</v>
      </c>
      <c r="L986">
        <v>1.18</v>
      </c>
    </row>
    <row r="987" spans="1:12" x14ac:dyDescent="0.3">
      <c r="A987" s="1">
        <v>45649</v>
      </c>
      <c r="B987">
        <v>78488.639999999999</v>
      </c>
      <c r="C987">
        <v>78918.12</v>
      </c>
      <c r="D987">
        <v>78189.19</v>
      </c>
      <c r="E987">
        <v>78540.17</v>
      </c>
      <c r="F987">
        <v>498.58</v>
      </c>
      <c r="G987">
        <v>0.64</v>
      </c>
      <c r="H987">
        <v>1.03</v>
      </c>
      <c r="I987">
        <v>930.31</v>
      </c>
      <c r="J987">
        <v>22.77</v>
      </c>
      <c r="K987">
        <v>4.05</v>
      </c>
      <c r="L987">
        <v>1.1499999999999999</v>
      </c>
    </row>
    <row r="988" spans="1:12" x14ac:dyDescent="0.3">
      <c r="A988" s="1">
        <v>45650</v>
      </c>
      <c r="B988">
        <v>78707.37</v>
      </c>
      <c r="C988">
        <v>78877.36</v>
      </c>
      <c r="D988">
        <v>78397.789999999994</v>
      </c>
      <c r="E988">
        <v>78472.87</v>
      </c>
      <c r="F988">
        <v>-67.3</v>
      </c>
      <c r="G988">
        <v>-0.09</v>
      </c>
      <c r="H988">
        <v>0.62</v>
      </c>
      <c r="I988">
        <v>472.49</v>
      </c>
      <c r="J988">
        <v>22.75</v>
      </c>
      <c r="K988">
        <v>4.05</v>
      </c>
      <c r="L988">
        <v>1.1599999999999999</v>
      </c>
    </row>
    <row r="989" spans="1:12" x14ac:dyDescent="0.3">
      <c r="A989" s="1">
        <v>45652</v>
      </c>
      <c r="B989">
        <v>78557.279999999999</v>
      </c>
      <c r="C989">
        <v>78898.37</v>
      </c>
      <c r="D989">
        <v>78173.38</v>
      </c>
      <c r="E989">
        <v>78472.479999999996</v>
      </c>
      <c r="F989">
        <v>-0.39</v>
      </c>
      <c r="G989">
        <v>0</v>
      </c>
      <c r="H989">
        <v>0.56000000000000005</v>
      </c>
      <c r="I989">
        <v>533.96</v>
      </c>
      <c r="J989">
        <v>22.75</v>
      </c>
      <c r="K989">
        <v>4.05</v>
      </c>
      <c r="L989">
        <v>1.1599999999999999</v>
      </c>
    </row>
    <row r="990" spans="1:12" x14ac:dyDescent="0.3">
      <c r="A990" s="1">
        <v>45653</v>
      </c>
      <c r="B990">
        <v>78607.62</v>
      </c>
      <c r="C990">
        <v>79043.149999999994</v>
      </c>
      <c r="D990">
        <v>78598.55</v>
      </c>
      <c r="E990">
        <v>78699.070000000007</v>
      </c>
      <c r="F990">
        <v>226.59</v>
      </c>
      <c r="G990">
        <v>0.28999999999999998</v>
      </c>
      <c r="H990">
        <v>0.77</v>
      </c>
      <c r="I990">
        <v>722.85</v>
      </c>
      <c r="J990">
        <v>22.82</v>
      </c>
      <c r="K990">
        <v>4.0599999999999996</v>
      </c>
      <c r="L990">
        <v>1.1499999999999999</v>
      </c>
    </row>
    <row r="991" spans="1:12" x14ac:dyDescent="0.3">
      <c r="A991" s="1">
        <v>45656</v>
      </c>
      <c r="B991">
        <v>78637.58</v>
      </c>
      <c r="C991">
        <v>79092.7</v>
      </c>
      <c r="D991">
        <v>78077.13</v>
      </c>
      <c r="E991">
        <v>78248.13</v>
      </c>
      <c r="F991">
        <v>-450.94</v>
      </c>
      <c r="G991">
        <v>-0.56999999999999995</v>
      </c>
      <c r="H991">
        <v>0.89</v>
      </c>
      <c r="I991">
        <v>642.34</v>
      </c>
      <c r="J991">
        <v>22.69</v>
      </c>
      <c r="K991">
        <v>4.03</v>
      </c>
      <c r="L991">
        <v>1.1599999999999999</v>
      </c>
    </row>
    <row r="992" spans="1:12" x14ac:dyDescent="0.3">
      <c r="A992" s="1">
        <v>45657</v>
      </c>
      <c r="B992">
        <v>77982.570000000007</v>
      </c>
      <c r="C992">
        <v>78305.34</v>
      </c>
      <c r="D992">
        <v>77560.789999999994</v>
      </c>
      <c r="E992">
        <v>78139.009999999995</v>
      </c>
      <c r="F992">
        <v>-109.12</v>
      </c>
      <c r="G992">
        <v>-0.14000000000000001</v>
      </c>
      <c r="H992">
        <v>0.61</v>
      </c>
      <c r="I992">
        <v>437.84</v>
      </c>
      <c r="J992">
        <v>22.66</v>
      </c>
      <c r="K992">
        <v>4.03</v>
      </c>
      <c r="L992">
        <v>1.1599999999999999</v>
      </c>
    </row>
    <row r="993" spans="1:12" x14ac:dyDescent="0.3">
      <c r="A993" s="1">
        <v>45658</v>
      </c>
      <c r="B993">
        <v>78265.070000000007</v>
      </c>
      <c r="C993">
        <v>78756.490000000005</v>
      </c>
      <c r="D993">
        <v>77898.3</v>
      </c>
      <c r="E993">
        <v>78507.41</v>
      </c>
      <c r="F993">
        <v>368.4</v>
      </c>
      <c r="G993">
        <v>0.47</v>
      </c>
      <c r="H993">
        <v>0.5</v>
      </c>
      <c r="I993">
        <v>398.27</v>
      </c>
      <c r="J993">
        <v>22.76</v>
      </c>
      <c r="K993">
        <v>4.05</v>
      </c>
      <c r="L993">
        <v>1.1499999999999999</v>
      </c>
    </row>
    <row r="994" spans="1:12" x14ac:dyDescent="0.3">
      <c r="A994" s="1">
        <v>45659</v>
      </c>
      <c r="B994">
        <v>78657.52</v>
      </c>
      <c r="C994">
        <v>80032.87</v>
      </c>
      <c r="D994">
        <v>78542.37</v>
      </c>
      <c r="E994">
        <v>79943.710000000006</v>
      </c>
      <c r="F994">
        <v>1436.3</v>
      </c>
      <c r="G994">
        <v>1.83</v>
      </c>
      <c r="H994">
        <v>1.73</v>
      </c>
      <c r="I994">
        <v>1691.31</v>
      </c>
      <c r="J994">
        <v>23.18</v>
      </c>
      <c r="K994">
        <v>4.12</v>
      </c>
      <c r="L994">
        <v>1.1299999999999999</v>
      </c>
    </row>
    <row r="995" spans="1:12" x14ac:dyDescent="0.3">
      <c r="A995" s="1">
        <v>45660</v>
      </c>
      <c r="B995">
        <v>80072.990000000005</v>
      </c>
      <c r="C995">
        <v>80072.990000000005</v>
      </c>
      <c r="D995">
        <v>79109.73</v>
      </c>
      <c r="E995">
        <v>79223.11</v>
      </c>
      <c r="F995">
        <v>-720.6</v>
      </c>
      <c r="G995">
        <v>-0.9</v>
      </c>
      <c r="H995">
        <v>1.0900000000000001</v>
      </c>
      <c r="I995">
        <v>1046.83</v>
      </c>
      <c r="J995">
        <v>22.97</v>
      </c>
      <c r="K995">
        <v>4.08</v>
      </c>
      <c r="L995">
        <v>1.1399999999999999</v>
      </c>
    </row>
    <row r="996" spans="1:12" x14ac:dyDescent="0.3">
      <c r="A996" s="1">
        <v>45663</v>
      </c>
      <c r="B996">
        <v>79281.649999999994</v>
      </c>
      <c r="C996">
        <v>79532.67</v>
      </c>
      <c r="D996">
        <v>77781.62</v>
      </c>
      <c r="E996">
        <v>77964.990000000005</v>
      </c>
      <c r="F996">
        <v>-1258.1199999999999</v>
      </c>
      <c r="G996">
        <v>-1.59</v>
      </c>
      <c r="H996">
        <v>1.18</v>
      </c>
      <c r="I996">
        <v>1125.8699999999999</v>
      </c>
      <c r="J996">
        <v>22.6</v>
      </c>
      <c r="K996">
        <v>4.0199999999999996</v>
      </c>
      <c r="L996">
        <v>1.1599999999999999</v>
      </c>
    </row>
    <row r="997" spans="1:12" x14ac:dyDescent="0.3">
      <c r="A997" s="1">
        <v>45664</v>
      </c>
      <c r="B997">
        <v>78019.8</v>
      </c>
      <c r="C997">
        <v>78452.740000000005</v>
      </c>
      <c r="D997">
        <v>77925.09</v>
      </c>
      <c r="E997">
        <v>78199.11</v>
      </c>
      <c r="F997">
        <v>234.12</v>
      </c>
      <c r="G997">
        <v>0.3</v>
      </c>
      <c r="H997">
        <v>0.94</v>
      </c>
      <c r="I997">
        <v>699.64</v>
      </c>
      <c r="J997">
        <v>22.67</v>
      </c>
      <c r="K997">
        <v>4.03</v>
      </c>
      <c r="L997">
        <v>1.1599999999999999</v>
      </c>
    </row>
    <row r="998" spans="1:12" x14ac:dyDescent="0.3">
      <c r="A998" s="1">
        <v>45665</v>
      </c>
      <c r="B998">
        <v>78319.45</v>
      </c>
      <c r="C998">
        <v>78319.45</v>
      </c>
      <c r="D998">
        <v>77486.789999999994</v>
      </c>
      <c r="E998">
        <v>78148.490000000005</v>
      </c>
      <c r="F998">
        <v>-50.62</v>
      </c>
      <c r="G998">
        <v>-0.06</v>
      </c>
      <c r="H998">
        <v>1.01</v>
      </c>
      <c r="I998">
        <v>769.49</v>
      </c>
      <c r="J998">
        <v>22.66</v>
      </c>
      <c r="K998">
        <v>4.03</v>
      </c>
      <c r="L998">
        <v>1.1599999999999999</v>
      </c>
    </row>
    <row r="999" spans="1:12" x14ac:dyDescent="0.3">
      <c r="A999" s="1">
        <v>45666</v>
      </c>
      <c r="B999">
        <v>78206.210000000006</v>
      </c>
      <c r="C999">
        <v>78206.210000000006</v>
      </c>
      <c r="D999">
        <v>77542.92</v>
      </c>
      <c r="E999">
        <v>77620.210000000006</v>
      </c>
      <c r="F999">
        <v>-528.28</v>
      </c>
      <c r="G999">
        <v>-0.68</v>
      </c>
      <c r="H999">
        <v>0.68</v>
      </c>
      <c r="I999">
        <v>591.73</v>
      </c>
      <c r="J999">
        <v>22.5</v>
      </c>
      <c r="K999">
        <v>4</v>
      </c>
      <c r="L999">
        <v>1.17</v>
      </c>
    </row>
    <row r="1000" spans="1:12" x14ac:dyDescent="0.3">
      <c r="A1000" s="1">
        <v>45667</v>
      </c>
      <c r="B1000">
        <v>77682.59</v>
      </c>
      <c r="C1000">
        <v>77919.7</v>
      </c>
      <c r="D1000">
        <v>77099.55</v>
      </c>
      <c r="E1000">
        <v>77378.91</v>
      </c>
      <c r="F1000">
        <v>-241.3</v>
      </c>
      <c r="G1000">
        <v>-0.31</v>
      </c>
      <c r="H1000">
        <v>0.85</v>
      </c>
      <c r="I1000">
        <v>831.98</v>
      </c>
      <c r="J1000">
        <v>22.41</v>
      </c>
      <c r="K1000">
        <v>3.99</v>
      </c>
      <c r="L1000">
        <v>1.17</v>
      </c>
    </row>
    <row r="1001" spans="1:12" x14ac:dyDescent="0.3">
      <c r="A1001" s="1">
        <v>45670</v>
      </c>
      <c r="B1001">
        <v>76629.899999999994</v>
      </c>
      <c r="C1001">
        <v>77128.350000000006</v>
      </c>
      <c r="D1001">
        <v>76249.72</v>
      </c>
      <c r="E1001">
        <v>76330.009999999995</v>
      </c>
      <c r="F1001">
        <v>-1048.9000000000001</v>
      </c>
      <c r="G1001">
        <v>-1.36</v>
      </c>
      <c r="H1001">
        <v>1.36</v>
      </c>
      <c r="I1001">
        <v>916.12</v>
      </c>
      <c r="J1001">
        <v>22.11</v>
      </c>
      <c r="K1001">
        <v>3.94</v>
      </c>
      <c r="L1001">
        <v>1.19</v>
      </c>
    </row>
    <row r="1002" spans="1:12" x14ac:dyDescent="0.3">
      <c r="A1002" s="1">
        <v>45671</v>
      </c>
      <c r="B1002">
        <v>76335.75</v>
      </c>
      <c r="C1002">
        <v>76835.61</v>
      </c>
      <c r="D1002">
        <v>76335.75</v>
      </c>
      <c r="E1002">
        <v>76499.63</v>
      </c>
      <c r="F1002">
        <v>169.62</v>
      </c>
      <c r="G1002">
        <v>0.22</v>
      </c>
      <c r="H1002">
        <v>1.68</v>
      </c>
      <c r="I1002">
        <v>1381.91</v>
      </c>
      <c r="J1002">
        <v>22.15</v>
      </c>
      <c r="K1002">
        <v>3.94</v>
      </c>
      <c r="L1002">
        <v>1.18</v>
      </c>
    </row>
    <row r="1003" spans="1:12" x14ac:dyDescent="0.3">
      <c r="A1003" s="1">
        <v>45672</v>
      </c>
      <c r="B1003">
        <v>76900.14</v>
      </c>
      <c r="C1003">
        <v>76991.05</v>
      </c>
      <c r="D1003">
        <v>76479.7</v>
      </c>
      <c r="E1003">
        <v>76724.08</v>
      </c>
      <c r="F1003">
        <v>224.45</v>
      </c>
      <c r="G1003">
        <v>0.28999999999999998</v>
      </c>
      <c r="H1003">
        <v>1.28</v>
      </c>
      <c r="I1003">
        <v>1000.41</v>
      </c>
      <c r="J1003">
        <v>22.22</v>
      </c>
      <c r="K1003">
        <v>3.96</v>
      </c>
      <c r="L1003">
        <v>1.18</v>
      </c>
    </row>
    <row r="1004" spans="1:12" x14ac:dyDescent="0.3">
      <c r="A1004" s="1">
        <v>45673</v>
      </c>
      <c r="B1004">
        <v>77319.5</v>
      </c>
      <c r="C1004">
        <v>77319.5</v>
      </c>
      <c r="D1004">
        <v>76895.509999999995</v>
      </c>
      <c r="E1004">
        <v>77042.820000000007</v>
      </c>
      <c r="F1004">
        <v>318.74</v>
      </c>
      <c r="G1004">
        <v>0.42</v>
      </c>
      <c r="H1004">
        <v>0.86</v>
      </c>
      <c r="I1004">
        <v>631.11</v>
      </c>
      <c r="J1004">
        <v>22.31</v>
      </c>
      <c r="K1004">
        <v>3.97</v>
      </c>
      <c r="L1004">
        <v>1.18</v>
      </c>
    </row>
    <row r="1005" spans="1:12" x14ac:dyDescent="0.3">
      <c r="A1005" s="1">
        <v>45674</v>
      </c>
      <c r="B1005">
        <v>77069.19</v>
      </c>
      <c r="C1005">
        <v>77069.19</v>
      </c>
      <c r="D1005">
        <v>76263.289999999994</v>
      </c>
      <c r="E1005">
        <v>76619.33</v>
      </c>
      <c r="F1005">
        <v>-423.49</v>
      </c>
      <c r="G1005">
        <v>-0.55000000000000004</v>
      </c>
      <c r="H1005">
        <v>0.97</v>
      </c>
      <c r="I1005">
        <v>723.09</v>
      </c>
      <c r="J1005">
        <v>22.06</v>
      </c>
      <c r="K1005">
        <v>3.95</v>
      </c>
      <c r="L1005">
        <v>1.21</v>
      </c>
    </row>
    <row r="1006" spans="1:12" x14ac:dyDescent="0.3">
      <c r="A1006" s="1">
        <v>45677</v>
      </c>
      <c r="B1006">
        <v>76978.53</v>
      </c>
      <c r="C1006">
        <v>77318.94</v>
      </c>
      <c r="D1006">
        <v>76584.84</v>
      </c>
      <c r="E1006">
        <v>77073.440000000002</v>
      </c>
      <c r="F1006">
        <v>454.11</v>
      </c>
      <c r="G1006">
        <v>0.59</v>
      </c>
      <c r="H1006">
        <v>1.1299999999999999</v>
      </c>
      <c r="I1006">
        <v>869.38</v>
      </c>
      <c r="J1006">
        <v>22.16</v>
      </c>
      <c r="K1006">
        <v>3.97</v>
      </c>
      <c r="L1006">
        <v>1.18</v>
      </c>
    </row>
    <row r="1007" spans="1:12" x14ac:dyDescent="0.3">
      <c r="A1007" s="1">
        <v>45678</v>
      </c>
      <c r="B1007">
        <v>77261.72</v>
      </c>
      <c r="C1007">
        <v>77337.36</v>
      </c>
      <c r="D1007">
        <v>75641.87</v>
      </c>
      <c r="E1007">
        <v>75838.36</v>
      </c>
      <c r="F1007">
        <v>-1235.08</v>
      </c>
      <c r="G1007">
        <v>-1.6</v>
      </c>
      <c r="H1007">
        <v>3.29</v>
      </c>
      <c r="I1007">
        <v>2049.9699999999998</v>
      </c>
      <c r="J1007">
        <v>21.8</v>
      </c>
      <c r="K1007">
        <v>3.91</v>
      </c>
      <c r="L1007">
        <v>1.2</v>
      </c>
    </row>
    <row r="1008" spans="1:12" x14ac:dyDescent="0.3">
      <c r="A1008" s="1">
        <v>45679</v>
      </c>
      <c r="B1008">
        <v>76114.42</v>
      </c>
      <c r="C1008">
        <v>76463.13</v>
      </c>
      <c r="D1008">
        <v>75816.5</v>
      </c>
      <c r="E1008">
        <v>76404.990000000005</v>
      </c>
      <c r="F1008">
        <v>566.63</v>
      </c>
      <c r="G1008">
        <v>0.75</v>
      </c>
      <c r="H1008">
        <v>3.21</v>
      </c>
      <c r="I1008">
        <v>2086.3000000000002</v>
      </c>
      <c r="J1008">
        <v>21.97</v>
      </c>
      <c r="K1008">
        <v>3.94</v>
      </c>
      <c r="L1008">
        <v>1.19</v>
      </c>
    </row>
    <row r="1009" spans="1:12" x14ac:dyDescent="0.3">
      <c r="A1009" s="1">
        <v>45680</v>
      </c>
      <c r="B1009">
        <v>76414.52</v>
      </c>
      <c r="C1009">
        <v>76743.539999999994</v>
      </c>
      <c r="D1009">
        <v>76202.12</v>
      </c>
      <c r="E1009">
        <v>76520.38</v>
      </c>
      <c r="F1009">
        <v>115.39</v>
      </c>
      <c r="G1009">
        <v>0.15</v>
      </c>
      <c r="H1009">
        <v>1.1200000000000001</v>
      </c>
      <c r="I1009">
        <v>867.17</v>
      </c>
      <c r="J1009">
        <v>21.96</v>
      </c>
      <c r="K1009">
        <v>3.94</v>
      </c>
      <c r="L1009">
        <v>1.19</v>
      </c>
    </row>
    <row r="1010" spans="1:12" x14ac:dyDescent="0.3">
      <c r="A1010" s="1">
        <v>45681</v>
      </c>
      <c r="B1010">
        <v>76455.350000000006</v>
      </c>
      <c r="C1010">
        <v>76985.95</v>
      </c>
      <c r="D1010">
        <v>76091.75</v>
      </c>
      <c r="E1010">
        <v>76190.460000000006</v>
      </c>
      <c r="F1010">
        <v>-329.92</v>
      </c>
      <c r="G1010">
        <v>-0.43</v>
      </c>
      <c r="H1010">
        <v>0.78</v>
      </c>
      <c r="I1010">
        <v>543.78</v>
      </c>
      <c r="J1010">
        <v>21.87</v>
      </c>
      <c r="K1010">
        <v>3.93</v>
      </c>
      <c r="L1010">
        <v>1.19</v>
      </c>
    </row>
    <row r="1011" spans="1:12" x14ac:dyDescent="0.3">
      <c r="A1011" s="1">
        <v>45684</v>
      </c>
      <c r="B1011">
        <v>75700.429999999993</v>
      </c>
      <c r="C1011">
        <v>75925.72</v>
      </c>
      <c r="D1011">
        <v>75267.59</v>
      </c>
      <c r="E1011">
        <v>75366.17</v>
      </c>
      <c r="F1011">
        <v>-824.29</v>
      </c>
      <c r="G1011">
        <v>-1.08</v>
      </c>
      <c r="H1011">
        <v>1.91</v>
      </c>
      <c r="I1011">
        <v>1108.5999999999999</v>
      </c>
      <c r="J1011">
        <v>21.45</v>
      </c>
      <c r="K1011">
        <v>3.88</v>
      </c>
      <c r="L1011">
        <v>1.2</v>
      </c>
    </row>
    <row r="1012" spans="1:12" x14ac:dyDescent="0.3">
      <c r="A1012" s="1">
        <v>45685</v>
      </c>
      <c r="B1012">
        <v>75659</v>
      </c>
      <c r="C1012">
        <v>76512.960000000006</v>
      </c>
      <c r="D1012">
        <v>75622.880000000005</v>
      </c>
      <c r="E1012">
        <v>75901.41</v>
      </c>
      <c r="F1012">
        <v>535.24</v>
      </c>
      <c r="G1012">
        <v>0.71</v>
      </c>
      <c r="H1012">
        <v>1.3</v>
      </c>
      <c r="I1012">
        <v>984.78</v>
      </c>
      <c r="J1012">
        <v>21.61</v>
      </c>
      <c r="K1012">
        <v>3.91</v>
      </c>
      <c r="L1012">
        <v>1.2</v>
      </c>
    </row>
    <row r="1013" spans="1:12" x14ac:dyDescent="0.3">
      <c r="A1013" s="1">
        <v>45686</v>
      </c>
      <c r="B1013">
        <v>76138.240000000005</v>
      </c>
      <c r="C1013">
        <v>76599.73</v>
      </c>
      <c r="D1013">
        <v>75975.8</v>
      </c>
      <c r="E1013">
        <v>76532.960000000006</v>
      </c>
      <c r="F1013">
        <v>631.54999999999995</v>
      </c>
      <c r="G1013">
        <v>0.83</v>
      </c>
      <c r="H1013">
        <v>1.0900000000000001</v>
      </c>
      <c r="I1013">
        <v>779.34</v>
      </c>
      <c r="J1013">
        <v>21.79</v>
      </c>
      <c r="K1013">
        <v>3.94</v>
      </c>
      <c r="L1013">
        <v>1.19</v>
      </c>
    </row>
    <row r="1014" spans="1:12" x14ac:dyDescent="0.3">
      <c r="A1014" s="1">
        <v>45687</v>
      </c>
      <c r="B1014">
        <v>76598.84</v>
      </c>
      <c r="C1014">
        <v>76962.880000000005</v>
      </c>
      <c r="D1014">
        <v>76401.13</v>
      </c>
      <c r="E1014">
        <v>76759.81</v>
      </c>
      <c r="F1014">
        <v>226.85</v>
      </c>
      <c r="G1014">
        <v>0.3</v>
      </c>
      <c r="H1014">
        <v>3.71</v>
      </c>
      <c r="I1014">
        <v>2776.91</v>
      </c>
      <c r="J1014">
        <v>21.87</v>
      </c>
      <c r="K1014">
        <v>3.95</v>
      </c>
      <c r="L1014">
        <v>1.18</v>
      </c>
    </row>
    <row r="1015" spans="1:12" x14ac:dyDescent="0.3">
      <c r="A1015" s="1">
        <v>45688</v>
      </c>
      <c r="B1015">
        <v>76888.89</v>
      </c>
      <c r="C1015">
        <v>77605.960000000006</v>
      </c>
      <c r="D1015">
        <v>76833.87</v>
      </c>
      <c r="E1015">
        <v>77500.570000000007</v>
      </c>
      <c r="F1015">
        <v>740.76</v>
      </c>
      <c r="G1015">
        <v>0.97</v>
      </c>
      <c r="H1015">
        <v>1.26</v>
      </c>
      <c r="I1015">
        <v>1041.26</v>
      </c>
      <c r="J1015">
        <v>22.05</v>
      </c>
      <c r="K1015">
        <v>3.99</v>
      </c>
      <c r="L1015">
        <v>1.18</v>
      </c>
    </row>
    <row r="1016" spans="1:12" x14ac:dyDescent="0.3">
      <c r="A1016" s="1">
        <v>45689</v>
      </c>
      <c r="B1016">
        <v>77637.009999999995</v>
      </c>
      <c r="C1016">
        <v>77899.05</v>
      </c>
      <c r="D1016">
        <v>77006.47</v>
      </c>
      <c r="E1016">
        <v>77505.960000000006</v>
      </c>
      <c r="F1016">
        <v>5.39</v>
      </c>
      <c r="G1016">
        <v>0.01</v>
      </c>
      <c r="H1016">
        <v>3.18</v>
      </c>
      <c r="I1016">
        <v>1905.87</v>
      </c>
      <c r="J1016">
        <v>22.09</v>
      </c>
      <c r="K1016">
        <v>3.99</v>
      </c>
      <c r="L1016">
        <v>1.18</v>
      </c>
    </row>
    <row r="1017" spans="1:12" x14ac:dyDescent="0.3">
      <c r="A1017" s="1">
        <v>45691</v>
      </c>
      <c r="B1017">
        <v>77063.94</v>
      </c>
      <c r="C1017">
        <v>77260.37</v>
      </c>
      <c r="D1017">
        <v>76756.09</v>
      </c>
      <c r="E1017">
        <v>77186.740000000005</v>
      </c>
      <c r="F1017">
        <v>-319.22000000000003</v>
      </c>
      <c r="G1017">
        <v>-0.41</v>
      </c>
      <c r="H1017">
        <v>1.1399999999999999</v>
      </c>
      <c r="I1017">
        <v>853.35</v>
      </c>
      <c r="J1017">
        <v>22</v>
      </c>
      <c r="K1017">
        <v>3.98</v>
      </c>
      <c r="L1017">
        <v>1.19</v>
      </c>
    </row>
    <row r="1018" spans="1:12" x14ac:dyDescent="0.3">
      <c r="A1018" s="1">
        <v>45692</v>
      </c>
      <c r="B1018">
        <v>77687.600000000006</v>
      </c>
      <c r="C1018">
        <v>78658.59</v>
      </c>
      <c r="D1018">
        <v>77402.37</v>
      </c>
      <c r="E1018">
        <v>78583.81</v>
      </c>
      <c r="F1018">
        <v>1397.07</v>
      </c>
      <c r="G1018">
        <v>1.81</v>
      </c>
      <c r="H1018">
        <v>1.18</v>
      </c>
      <c r="I1018">
        <v>1010.82</v>
      </c>
      <c r="J1018">
        <v>22.39</v>
      </c>
      <c r="K1018">
        <v>4.05</v>
      </c>
      <c r="L1018">
        <v>1.17</v>
      </c>
    </row>
    <row r="1019" spans="1:12" x14ac:dyDescent="0.3">
      <c r="A1019" s="1">
        <v>45693</v>
      </c>
      <c r="B1019">
        <v>78704.600000000006</v>
      </c>
      <c r="C1019">
        <v>78735.41</v>
      </c>
      <c r="D1019">
        <v>78216.25</v>
      </c>
      <c r="E1019">
        <v>78271.28</v>
      </c>
      <c r="F1019">
        <v>-312.52999999999997</v>
      </c>
      <c r="G1019">
        <v>-0.4</v>
      </c>
      <c r="H1019">
        <v>1.6</v>
      </c>
      <c r="I1019">
        <v>1580.38</v>
      </c>
      <c r="J1019">
        <v>22.28</v>
      </c>
      <c r="K1019">
        <v>4.03</v>
      </c>
      <c r="L1019">
        <v>1.18</v>
      </c>
    </row>
    <row r="1020" spans="1:12" x14ac:dyDescent="0.3">
      <c r="A1020" s="1">
        <v>45694</v>
      </c>
      <c r="B1020">
        <v>78513.36</v>
      </c>
      <c r="C1020">
        <v>78551.66</v>
      </c>
      <c r="D1020">
        <v>77843.990000000005</v>
      </c>
      <c r="E1020">
        <v>78058.16</v>
      </c>
      <c r="F1020">
        <v>-213.12</v>
      </c>
      <c r="G1020">
        <v>-0.27</v>
      </c>
      <c r="H1020">
        <v>0.8</v>
      </c>
      <c r="I1020">
        <v>612.83000000000004</v>
      </c>
      <c r="J1020">
        <v>22.22</v>
      </c>
      <c r="K1020">
        <v>4.01</v>
      </c>
      <c r="L1020">
        <v>1.19</v>
      </c>
    </row>
    <row r="1021" spans="1:12" x14ac:dyDescent="0.3">
      <c r="A1021" s="1">
        <v>45695</v>
      </c>
      <c r="B1021">
        <v>78119.600000000006</v>
      </c>
      <c r="C1021">
        <v>78356.98</v>
      </c>
      <c r="D1021">
        <v>77475.740000000005</v>
      </c>
      <c r="E1021">
        <v>77860.19</v>
      </c>
      <c r="F1021">
        <v>-197.97</v>
      </c>
      <c r="G1021">
        <v>-0.25</v>
      </c>
      <c r="H1021">
        <v>1.0900000000000001</v>
      </c>
      <c r="I1021">
        <v>741.15</v>
      </c>
      <c r="J1021">
        <v>21.7</v>
      </c>
      <c r="K1021">
        <v>4</v>
      </c>
      <c r="L1021">
        <v>1.2</v>
      </c>
    </row>
    <row r="1022" spans="1:12" x14ac:dyDescent="0.3">
      <c r="A1022" s="1">
        <v>45698</v>
      </c>
      <c r="B1022">
        <v>77789.3</v>
      </c>
      <c r="C1022">
        <v>77849.58</v>
      </c>
      <c r="D1022">
        <v>77106.89</v>
      </c>
      <c r="E1022">
        <v>77311.8</v>
      </c>
      <c r="F1022">
        <v>-548.39</v>
      </c>
      <c r="G1022">
        <v>-0.7</v>
      </c>
      <c r="H1022">
        <v>0.7</v>
      </c>
      <c r="I1022">
        <v>637.29</v>
      </c>
      <c r="J1022">
        <v>21.52</v>
      </c>
      <c r="K1022">
        <v>3.98</v>
      </c>
      <c r="L1022">
        <v>1.1399999999999999</v>
      </c>
    </row>
    <row r="1023" spans="1:12" x14ac:dyDescent="0.3">
      <c r="A1023" s="1">
        <v>45699</v>
      </c>
      <c r="B1023">
        <v>77384.98</v>
      </c>
      <c r="C1023">
        <v>77387.28</v>
      </c>
      <c r="D1023">
        <v>76030.59</v>
      </c>
      <c r="E1023">
        <v>76293.600000000006</v>
      </c>
      <c r="F1023">
        <v>-1018.2</v>
      </c>
      <c r="G1023">
        <v>-1.32</v>
      </c>
      <c r="H1023">
        <v>0.98</v>
      </c>
      <c r="I1023">
        <v>984.33</v>
      </c>
      <c r="J1023">
        <v>21.24</v>
      </c>
      <c r="K1023">
        <v>3.92</v>
      </c>
      <c r="L1023">
        <v>1.1599999999999999</v>
      </c>
    </row>
    <row r="1024" spans="1:12" x14ac:dyDescent="0.3">
      <c r="A1024" s="1">
        <v>45700</v>
      </c>
      <c r="B1024">
        <v>76188.240000000005</v>
      </c>
      <c r="C1024">
        <v>76459.72</v>
      </c>
      <c r="D1024">
        <v>75388.39</v>
      </c>
      <c r="E1024">
        <v>76171.08</v>
      </c>
      <c r="F1024">
        <v>-122.52</v>
      </c>
      <c r="G1024">
        <v>-0.16</v>
      </c>
      <c r="H1024">
        <v>1.04</v>
      </c>
      <c r="I1024">
        <v>856.82</v>
      </c>
      <c r="J1024">
        <v>21.21</v>
      </c>
      <c r="K1024">
        <v>3.92</v>
      </c>
      <c r="L1024">
        <v>1.23</v>
      </c>
    </row>
    <row r="1025" spans="1:12" x14ac:dyDescent="0.3">
      <c r="A1025" s="1">
        <v>45701</v>
      </c>
      <c r="B1025">
        <v>76201.100000000006</v>
      </c>
      <c r="C1025">
        <v>76764.53</v>
      </c>
      <c r="D1025">
        <v>76013.429999999993</v>
      </c>
      <c r="E1025">
        <v>76138.97</v>
      </c>
      <c r="F1025">
        <v>-32.11</v>
      </c>
      <c r="G1025">
        <v>-0.04</v>
      </c>
      <c r="H1025">
        <v>0.69</v>
      </c>
      <c r="I1025">
        <v>530.58000000000004</v>
      </c>
      <c r="J1025">
        <v>21.2</v>
      </c>
      <c r="K1025">
        <v>3.92</v>
      </c>
      <c r="L1025">
        <v>1.23</v>
      </c>
    </row>
    <row r="1026" spans="1:12" x14ac:dyDescent="0.3">
      <c r="A1026" s="1">
        <v>45702</v>
      </c>
      <c r="B1026">
        <v>76388.990000000005</v>
      </c>
      <c r="C1026">
        <v>76483.06</v>
      </c>
      <c r="D1026">
        <v>75439.64</v>
      </c>
      <c r="E1026">
        <v>75939.210000000006</v>
      </c>
      <c r="F1026">
        <v>-199.76</v>
      </c>
      <c r="G1026">
        <v>-0.26</v>
      </c>
      <c r="H1026">
        <v>0.93</v>
      </c>
      <c r="I1026">
        <v>737.24</v>
      </c>
      <c r="J1026">
        <v>21.14</v>
      </c>
      <c r="K1026">
        <v>3.91</v>
      </c>
      <c r="L1026">
        <v>1.23</v>
      </c>
    </row>
    <row r="1027" spans="1:12" x14ac:dyDescent="0.3">
      <c r="A1027" s="1">
        <v>45705</v>
      </c>
      <c r="B1027">
        <v>75641.41</v>
      </c>
      <c r="C1027">
        <v>76041.960000000006</v>
      </c>
      <c r="D1027">
        <v>75294.759999999995</v>
      </c>
      <c r="E1027">
        <v>75996.86</v>
      </c>
      <c r="F1027">
        <v>57.65</v>
      </c>
      <c r="G1027">
        <v>0.08</v>
      </c>
      <c r="H1027">
        <v>0.81</v>
      </c>
      <c r="I1027">
        <v>683.77</v>
      </c>
      <c r="J1027">
        <v>21.16</v>
      </c>
      <c r="K1027">
        <v>3.91</v>
      </c>
      <c r="L1027">
        <v>1.2</v>
      </c>
    </row>
    <row r="1028" spans="1:12" x14ac:dyDescent="0.3">
      <c r="A1028" s="1">
        <v>45706</v>
      </c>
      <c r="B1028">
        <v>76073.710000000006</v>
      </c>
      <c r="C1028">
        <v>76091.69</v>
      </c>
      <c r="D1028">
        <v>75531.009999999995</v>
      </c>
      <c r="E1028">
        <v>75967.39</v>
      </c>
      <c r="F1028">
        <v>-29.47</v>
      </c>
      <c r="G1028">
        <v>-0.04</v>
      </c>
      <c r="H1028">
        <v>0.86</v>
      </c>
      <c r="I1028">
        <v>591.74</v>
      </c>
      <c r="J1028">
        <v>21.15</v>
      </c>
      <c r="K1028">
        <v>3.91</v>
      </c>
      <c r="L1028">
        <v>1.2</v>
      </c>
    </row>
    <row r="1029" spans="1:12" x14ac:dyDescent="0.3">
      <c r="A1029" s="1">
        <v>45707</v>
      </c>
      <c r="B1029">
        <v>75787.27</v>
      </c>
      <c r="C1029">
        <v>76338.58</v>
      </c>
      <c r="D1029">
        <v>75581.38</v>
      </c>
      <c r="E1029">
        <v>75939.179999999993</v>
      </c>
      <c r="F1029">
        <v>-28.21</v>
      </c>
      <c r="G1029">
        <v>-0.04</v>
      </c>
      <c r="H1029">
        <v>0.51</v>
      </c>
      <c r="I1029">
        <v>426.83</v>
      </c>
      <c r="J1029">
        <v>21.14</v>
      </c>
      <c r="K1029">
        <v>3.91</v>
      </c>
      <c r="L1029">
        <v>1.2</v>
      </c>
    </row>
    <row r="1030" spans="1:12" x14ac:dyDescent="0.3">
      <c r="A1030" s="1">
        <v>45708</v>
      </c>
      <c r="B1030">
        <v>75672.84</v>
      </c>
      <c r="C1030">
        <v>75794.149999999994</v>
      </c>
      <c r="D1030">
        <v>75463.009999999995</v>
      </c>
      <c r="E1030">
        <v>75735.960000000006</v>
      </c>
      <c r="F1030">
        <v>-203.22</v>
      </c>
      <c r="G1030">
        <v>-0.27</v>
      </c>
      <c r="H1030">
        <v>0.69</v>
      </c>
      <c r="I1030">
        <v>565.62</v>
      </c>
      <c r="J1030">
        <v>21.08</v>
      </c>
      <c r="K1030">
        <v>3.9</v>
      </c>
      <c r="L1030">
        <v>1.21</v>
      </c>
    </row>
    <row r="1031" spans="1:12" x14ac:dyDescent="0.3">
      <c r="A1031" s="1">
        <v>45709</v>
      </c>
      <c r="B1031">
        <v>75612.61</v>
      </c>
      <c r="C1031">
        <v>75748.72</v>
      </c>
      <c r="D1031">
        <v>75112.41</v>
      </c>
      <c r="E1031">
        <v>75311.06</v>
      </c>
      <c r="F1031">
        <v>-424.9</v>
      </c>
      <c r="G1031">
        <v>-0.56000000000000005</v>
      </c>
      <c r="H1031">
        <v>1.27</v>
      </c>
      <c r="I1031">
        <v>1184.03</v>
      </c>
      <c r="J1031">
        <v>20.97</v>
      </c>
      <c r="K1031">
        <v>3.87</v>
      </c>
      <c r="L1031">
        <v>1.21</v>
      </c>
    </row>
    <row r="1032" spans="1:12" x14ac:dyDescent="0.3">
      <c r="A1032" s="1">
        <v>45712</v>
      </c>
      <c r="B1032">
        <v>74893.45</v>
      </c>
      <c r="C1032">
        <v>74907.039999999994</v>
      </c>
      <c r="D1032">
        <v>74387.44</v>
      </c>
      <c r="E1032">
        <v>74454.41</v>
      </c>
      <c r="F1032">
        <v>-856.65</v>
      </c>
      <c r="G1032">
        <v>-1.1399999999999999</v>
      </c>
      <c r="H1032">
        <v>0.64</v>
      </c>
      <c r="I1032">
        <v>557.67999999999995</v>
      </c>
      <c r="J1032">
        <v>20.73</v>
      </c>
      <c r="K1032">
        <v>3.83</v>
      </c>
      <c r="L1032">
        <v>1.23</v>
      </c>
    </row>
    <row r="1033" spans="1:12" x14ac:dyDescent="0.3">
      <c r="A1033" s="1">
        <v>45713</v>
      </c>
      <c r="B1033">
        <v>74440.3</v>
      </c>
      <c r="C1033">
        <v>74785.08</v>
      </c>
      <c r="D1033">
        <v>74400.37</v>
      </c>
      <c r="E1033">
        <v>74602.12</v>
      </c>
      <c r="F1033">
        <v>147.71</v>
      </c>
      <c r="G1033">
        <v>0.2</v>
      </c>
      <c r="H1033">
        <v>1.07</v>
      </c>
      <c r="I1033">
        <v>1108.04</v>
      </c>
      <c r="J1033">
        <v>20.77</v>
      </c>
      <c r="K1033">
        <v>3.84</v>
      </c>
      <c r="L1033">
        <v>1.23</v>
      </c>
    </row>
    <row r="1034" spans="1:12" x14ac:dyDescent="0.3">
      <c r="A1034" s="1">
        <v>45715</v>
      </c>
      <c r="B1034">
        <v>74706.600000000006</v>
      </c>
      <c r="C1034">
        <v>74834.09</v>
      </c>
      <c r="D1034">
        <v>74520.78</v>
      </c>
      <c r="E1034">
        <v>74612.429999999993</v>
      </c>
      <c r="F1034">
        <v>10.31</v>
      </c>
      <c r="G1034">
        <v>0.01</v>
      </c>
      <c r="H1034">
        <v>0.67</v>
      </c>
      <c r="I1034">
        <v>808.64</v>
      </c>
      <c r="J1034">
        <v>20.77</v>
      </c>
      <c r="K1034">
        <v>3.84</v>
      </c>
      <c r="L1034">
        <v>1.22</v>
      </c>
    </row>
    <row r="1035" spans="1:12" x14ac:dyDescent="0.3">
      <c r="A1035" s="1">
        <v>45716</v>
      </c>
      <c r="B1035">
        <v>74201.77</v>
      </c>
      <c r="C1035">
        <v>74282.429999999993</v>
      </c>
      <c r="D1035">
        <v>73141.27</v>
      </c>
      <c r="E1035">
        <v>73198.100000000006</v>
      </c>
      <c r="F1035">
        <v>-1414.33</v>
      </c>
      <c r="G1035">
        <v>-1.9</v>
      </c>
      <c r="H1035">
        <v>0.91</v>
      </c>
      <c r="I1035">
        <v>707.16</v>
      </c>
      <c r="J1035">
        <v>20.38</v>
      </c>
      <c r="K1035">
        <v>3.76</v>
      </c>
      <c r="L1035">
        <v>1.25</v>
      </c>
    </row>
    <row r="1036" spans="1:12" x14ac:dyDescent="0.3">
      <c r="A1036" s="1">
        <v>45719</v>
      </c>
      <c r="B1036">
        <v>73427.649999999994</v>
      </c>
      <c r="C1036">
        <v>73649.72</v>
      </c>
      <c r="D1036">
        <v>72784.539999999994</v>
      </c>
      <c r="E1036">
        <v>73085.94</v>
      </c>
      <c r="F1036">
        <v>-112.16</v>
      </c>
      <c r="G1036">
        <v>-0.15</v>
      </c>
      <c r="H1036">
        <v>1.01</v>
      </c>
      <c r="I1036">
        <v>870.64</v>
      </c>
      <c r="J1036">
        <v>20.350000000000001</v>
      </c>
      <c r="K1036">
        <v>3.76</v>
      </c>
      <c r="L1036">
        <v>1.25</v>
      </c>
    </row>
    <row r="1037" spans="1:12" x14ac:dyDescent="0.3">
      <c r="A1037" s="1">
        <v>45720</v>
      </c>
      <c r="B1037">
        <v>72817.34</v>
      </c>
      <c r="C1037">
        <v>73033.179999999993</v>
      </c>
      <c r="D1037">
        <v>72633.539999999994</v>
      </c>
      <c r="E1037">
        <v>72989.929999999993</v>
      </c>
      <c r="F1037">
        <v>-96.01</v>
      </c>
      <c r="G1037">
        <v>-0.13</v>
      </c>
      <c r="H1037">
        <v>0.62</v>
      </c>
      <c r="I1037">
        <v>512.30999999999995</v>
      </c>
      <c r="J1037">
        <v>20.32</v>
      </c>
      <c r="K1037">
        <v>3.75</v>
      </c>
      <c r="L1037">
        <v>1.25</v>
      </c>
    </row>
    <row r="1038" spans="1:12" x14ac:dyDescent="0.3">
      <c r="A1038" s="1">
        <v>45721</v>
      </c>
      <c r="B1038">
        <v>73005.37</v>
      </c>
      <c r="C1038">
        <v>73933.8</v>
      </c>
      <c r="D1038">
        <v>72894.05</v>
      </c>
      <c r="E1038">
        <v>73730.23</v>
      </c>
      <c r="F1038">
        <v>740.3</v>
      </c>
      <c r="G1038">
        <v>1.01</v>
      </c>
      <c r="H1038">
        <v>0.93</v>
      </c>
      <c r="I1038">
        <v>849.37</v>
      </c>
      <c r="J1038">
        <v>20.53</v>
      </c>
      <c r="K1038">
        <v>3.79</v>
      </c>
      <c r="L1038">
        <v>1.24</v>
      </c>
    </row>
    <row r="1039" spans="1:12" x14ac:dyDescent="0.3">
      <c r="A1039" s="1">
        <v>45722</v>
      </c>
      <c r="B1039">
        <v>74308.3</v>
      </c>
      <c r="C1039">
        <v>74390.8</v>
      </c>
      <c r="D1039">
        <v>73415.679999999993</v>
      </c>
      <c r="E1039">
        <v>74340.09</v>
      </c>
      <c r="F1039">
        <v>609.86</v>
      </c>
      <c r="G1039">
        <v>0.83</v>
      </c>
      <c r="H1039">
        <v>1.01</v>
      </c>
      <c r="I1039">
        <v>599.89</v>
      </c>
      <c r="J1039">
        <v>20.7</v>
      </c>
      <c r="K1039">
        <v>3.82</v>
      </c>
      <c r="L1039">
        <v>1.23</v>
      </c>
    </row>
    <row r="1040" spans="1:12" x14ac:dyDescent="0.3">
      <c r="A1040" s="1">
        <v>45723</v>
      </c>
      <c r="B1040">
        <v>74347.14</v>
      </c>
      <c r="C1040">
        <v>74586.429999999993</v>
      </c>
      <c r="D1040">
        <v>74038.03</v>
      </c>
      <c r="E1040">
        <v>74332.58</v>
      </c>
      <c r="F1040">
        <v>-7.51</v>
      </c>
      <c r="G1040">
        <v>-0.01</v>
      </c>
      <c r="H1040">
        <v>0.69</v>
      </c>
      <c r="I1040">
        <v>493.49</v>
      </c>
      <c r="J1040">
        <v>20.69</v>
      </c>
      <c r="K1040">
        <v>3.82</v>
      </c>
      <c r="L1040">
        <v>1.23</v>
      </c>
    </row>
    <row r="1041" spans="1:12" x14ac:dyDescent="0.3">
      <c r="A1041" s="1">
        <v>45726</v>
      </c>
      <c r="B1041">
        <v>74474.98</v>
      </c>
      <c r="C1041">
        <v>74741.25</v>
      </c>
      <c r="D1041">
        <v>74022.240000000005</v>
      </c>
      <c r="E1041">
        <v>74115.17</v>
      </c>
      <c r="F1041">
        <v>-217.41</v>
      </c>
      <c r="G1041">
        <v>-0.28999999999999998</v>
      </c>
      <c r="H1041">
        <v>0.66</v>
      </c>
      <c r="I1041">
        <v>497.8</v>
      </c>
      <c r="J1041">
        <v>20.63</v>
      </c>
      <c r="K1041">
        <v>3.81</v>
      </c>
      <c r="L1041">
        <v>1.23</v>
      </c>
    </row>
    <row r="1042" spans="1:12" x14ac:dyDescent="0.3">
      <c r="A1042" s="1">
        <v>45727</v>
      </c>
      <c r="B1042">
        <v>73743.88</v>
      </c>
      <c r="C1042">
        <v>74195.17</v>
      </c>
      <c r="D1042">
        <v>73663.600000000006</v>
      </c>
      <c r="E1042">
        <v>74102.320000000007</v>
      </c>
      <c r="F1042">
        <v>-12.85</v>
      </c>
      <c r="G1042">
        <v>-0.02</v>
      </c>
      <c r="H1042">
        <v>1.17</v>
      </c>
      <c r="I1042">
        <v>771.23</v>
      </c>
      <c r="J1042">
        <v>20.63</v>
      </c>
      <c r="K1042">
        <v>3.81</v>
      </c>
      <c r="L1042">
        <v>1.23</v>
      </c>
    </row>
    <row r="1043" spans="1:12" x14ac:dyDescent="0.3">
      <c r="A1043" s="1">
        <v>45728</v>
      </c>
      <c r="B1043">
        <v>74270.81</v>
      </c>
      <c r="C1043">
        <v>74392.149999999994</v>
      </c>
      <c r="D1043">
        <v>73598.16</v>
      </c>
      <c r="E1043">
        <v>74029.759999999995</v>
      </c>
      <c r="F1043">
        <v>-72.56</v>
      </c>
      <c r="G1043">
        <v>-0.1</v>
      </c>
      <c r="H1043">
        <v>1.38</v>
      </c>
      <c r="I1043">
        <v>1148.06</v>
      </c>
      <c r="J1043">
        <v>20.61</v>
      </c>
      <c r="K1043">
        <v>3.81</v>
      </c>
      <c r="L1043">
        <v>1.23</v>
      </c>
    </row>
    <row r="1044" spans="1:12" x14ac:dyDescent="0.3">
      <c r="A1044" s="1">
        <v>45729</v>
      </c>
      <c r="B1044">
        <v>74392.539999999994</v>
      </c>
      <c r="C1044">
        <v>74401.11</v>
      </c>
      <c r="D1044">
        <v>73770.59</v>
      </c>
      <c r="E1044">
        <v>73828.91</v>
      </c>
      <c r="F1044">
        <v>-200.85</v>
      </c>
      <c r="G1044">
        <v>-0.27</v>
      </c>
      <c r="H1044">
        <v>0.99</v>
      </c>
      <c r="I1044">
        <v>1030.33</v>
      </c>
      <c r="J1044">
        <v>20.55</v>
      </c>
      <c r="K1044">
        <v>3.8</v>
      </c>
      <c r="L1044">
        <v>1.24</v>
      </c>
    </row>
    <row r="1045" spans="1:12" x14ac:dyDescent="0.3">
      <c r="A1045" s="1">
        <v>45733</v>
      </c>
      <c r="B1045">
        <v>73830.03</v>
      </c>
      <c r="C1045">
        <v>74376.350000000006</v>
      </c>
      <c r="D1045">
        <v>73796.06</v>
      </c>
      <c r="E1045">
        <v>74169.95</v>
      </c>
      <c r="F1045">
        <v>341.04</v>
      </c>
      <c r="G1045">
        <v>0.46</v>
      </c>
      <c r="H1045">
        <v>0.74</v>
      </c>
      <c r="I1045">
        <v>772.95</v>
      </c>
      <c r="J1045">
        <v>20.65</v>
      </c>
      <c r="K1045">
        <v>3.81</v>
      </c>
      <c r="L1045">
        <v>1.23</v>
      </c>
    </row>
    <row r="1046" spans="1:12" x14ac:dyDescent="0.3">
      <c r="A1046" s="1">
        <v>45734</v>
      </c>
      <c r="B1046">
        <v>74608.66</v>
      </c>
      <c r="C1046">
        <v>75385.759999999995</v>
      </c>
      <c r="D1046">
        <v>74480.149999999994</v>
      </c>
      <c r="E1046">
        <v>75301.259999999995</v>
      </c>
      <c r="F1046">
        <v>1131.31</v>
      </c>
      <c r="G1046">
        <v>1.53</v>
      </c>
      <c r="H1046">
        <v>1.45</v>
      </c>
      <c r="I1046">
        <v>902.23</v>
      </c>
      <c r="J1046">
        <v>20.96</v>
      </c>
      <c r="K1046">
        <v>3.87</v>
      </c>
      <c r="L1046">
        <v>1.21</v>
      </c>
    </row>
    <row r="1047" spans="1:12" x14ac:dyDescent="0.3">
      <c r="A1047" s="1">
        <v>45735</v>
      </c>
      <c r="B1047">
        <v>75473.17</v>
      </c>
      <c r="C1047">
        <v>75568.38</v>
      </c>
      <c r="D1047">
        <v>75201.48</v>
      </c>
      <c r="E1047">
        <v>75449.05</v>
      </c>
      <c r="F1047">
        <v>147.79</v>
      </c>
      <c r="G1047">
        <v>0.2</v>
      </c>
      <c r="H1047">
        <v>1.22</v>
      </c>
      <c r="I1047">
        <v>784.61</v>
      </c>
      <c r="J1047">
        <v>21.01</v>
      </c>
      <c r="K1047">
        <v>3.88</v>
      </c>
      <c r="L1047">
        <v>1.21</v>
      </c>
    </row>
    <row r="1048" spans="1:12" x14ac:dyDescent="0.3">
      <c r="A1048" s="1">
        <v>45736</v>
      </c>
      <c r="B1048">
        <v>75917.11</v>
      </c>
      <c r="C1048">
        <v>76456.25</v>
      </c>
      <c r="D1048">
        <v>75684.58</v>
      </c>
      <c r="E1048">
        <v>76348.06</v>
      </c>
      <c r="F1048">
        <v>899.01</v>
      </c>
      <c r="G1048">
        <v>1.19</v>
      </c>
      <c r="H1048">
        <v>0.91</v>
      </c>
      <c r="I1048">
        <v>669.02</v>
      </c>
      <c r="J1048">
        <v>21.26</v>
      </c>
      <c r="K1048">
        <v>3.93</v>
      </c>
      <c r="L1048">
        <v>1.2</v>
      </c>
    </row>
    <row r="1049" spans="1:12" x14ac:dyDescent="0.3">
      <c r="A1049" s="1">
        <v>45737</v>
      </c>
      <c r="B1049">
        <v>76155</v>
      </c>
      <c r="C1049">
        <v>77041.94</v>
      </c>
      <c r="D1049">
        <v>76095.259999999995</v>
      </c>
      <c r="E1049">
        <v>76905.509999999995</v>
      </c>
      <c r="F1049">
        <v>557.45000000000005</v>
      </c>
      <c r="G1049">
        <v>0.73</v>
      </c>
      <c r="H1049">
        <v>0.85</v>
      </c>
      <c r="I1049">
        <v>737.14</v>
      </c>
      <c r="J1049">
        <v>21.41</v>
      </c>
      <c r="K1049">
        <v>3.96</v>
      </c>
      <c r="L1049">
        <v>1.19</v>
      </c>
    </row>
    <row r="1050" spans="1:12" x14ac:dyDescent="0.3">
      <c r="A1050" s="1">
        <v>45740</v>
      </c>
      <c r="B1050">
        <v>77456.27</v>
      </c>
      <c r="C1050">
        <v>78107.23</v>
      </c>
      <c r="D1050">
        <v>77179.350000000006</v>
      </c>
      <c r="E1050">
        <v>77984.38</v>
      </c>
      <c r="F1050">
        <v>1078.8699999999999</v>
      </c>
      <c r="G1050">
        <v>1.4</v>
      </c>
      <c r="H1050">
        <v>1.01</v>
      </c>
      <c r="I1050">
        <v>940.91</v>
      </c>
      <c r="J1050">
        <v>21.73</v>
      </c>
      <c r="K1050">
        <v>4.01</v>
      </c>
      <c r="L1050">
        <v>1.17</v>
      </c>
    </row>
    <row r="1051" spans="1:12" x14ac:dyDescent="0.3">
      <c r="A1051" s="1">
        <v>45741</v>
      </c>
      <c r="B1051">
        <v>78296.28</v>
      </c>
      <c r="C1051">
        <v>78741.69</v>
      </c>
      <c r="D1051">
        <v>77745.63</v>
      </c>
      <c r="E1051">
        <v>78017.19</v>
      </c>
      <c r="F1051">
        <v>32.81</v>
      </c>
      <c r="G1051">
        <v>0.04</v>
      </c>
      <c r="H1051">
        <v>1.27</v>
      </c>
      <c r="I1051">
        <v>1250.67</v>
      </c>
      <c r="J1051">
        <v>21.74</v>
      </c>
      <c r="K1051">
        <v>4.0199999999999996</v>
      </c>
      <c r="L1051">
        <v>1.17</v>
      </c>
    </row>
    <row r="1052" spans="1:12" x14ac:dyDescent="0.3">
      <c r="A1052" s="1">
        <v>45742</v>
      </c>
      <c r="B1052">
        <v>78021.45</v>
      </c>
      <c r="C1052">
        <v>78167.87</v>
      </c>
      <c r="D1052">
        <v>77194.22</v>
      </c>
      <c r="E1052">
        <v>77288.5</v>
      </c>
      <c r="F1052">
        <v>-728.69</v>
      </c>
      <c r="G1052">
        <v>-0.93</v>
      </c>
      <c r="H1052">
        <v>1.05</v>
      </c>
      <c r="I1052">
        <v>817.4</v>
      </c>
      <c r="J1052">
        <v>21.54</v>
      </c>
      <c r="K1052">
        <v>3.98</v>
      </c>
      <c r="L1052">
        <v>1.18</v>
      </c>
    </row>
    <row r="1053" spans="1:12" x14ac:dyDescent="0.3">
      <c r="A1053" s="1">
        <v>45743</v>
      </c>
      <c r="B1053">
        <v>77087.39</v>
      </c>
      <c r="C1053">
        <v>77747.460000000006</v>
      </c>
      <c r="D1053">
        <v>77082.509999999995</v>
      </c>
      <c r="E1053">
        <v>77606.429999999993</v>
      </c>
      <c r="F1053">
        <v>317.93</v>
      </c>
      <c r="G1053">
        <v>0.41</v>
      </c>
      <c r="H1053">
        <v>1.27</v>
      </c>
      <c r="I1053">
        <v>835.93</v>
      </c>
      <c r="J1053">
        <v>21.63</v>
      </c>
      <c r="K1053">
        <v>3.99</v>
      </c>
      <c r="L1053">
        <v>1.18</v>
      </c>
    </row>
    <row r="1054" spans="1:12" x14ac:dyDescent="0.3">
      <c r="A1054" s="1">
        <v>45744</v>
      </c>
      <c r="B1054">
        <v>77690.69</v>
      </c>
      <c r="C1054">
        <v>77766.7</v>
      </c>
      <c r="D1054">
        <v>77185.62</v>
      </c>
      <c r="E1054">
        <v>77414.92</v>
      </c>
      <c r="F1054">
        <v>-191.51</v>
      </c>
      <c r="G1054">
        <v>-0.25</v>
      </c>
      <c r="H1054">
        <v>1.67</v>
      </c>
      <c r="I1054">
        <v>1025.42</v>
      </c>
      <c r="J1054">
        <v>21.58</v>
      </c>
      <c r="K1054">
        <v>3.98</v>
      </c>
      <c r="L1054">
        <v>1.18</v>
      </c>
    </row>
    <row r="1055" spans="1:12" x14ac:dyDescent="0.3">
      <c r="A1055" s="1">
        <v>45748</v>
      </c>
      <c r="B1055">
        <v>76882.58</v>
      </c>
      <c r="C1055">
        <v>77487.05</v>
      </c>
      <c r="D1055">
        <v>75912.179999999993</v>
      </c>
      <c r="E1055">
        <v>76024.509999999995</v>
      </c>
      <c r="F1055">
        <v>-1390.41</v>
      </c>
      <c r="G1055">
        <v>-1.8</v>
      </c>
      <c r="H1055">
        <v>1.06</v>
      </c>
      <c r="I1055">
        <v>891.85</v>
      </c>
      <c r="J1055">
        <v>21.19</v>
      </c>
      <c r="K1055">
        <v>3.91</v>
      </c>
      <c r="L1055">
        <v>1.2</v>
      </c>
    </row>
    <row r="1056" spans="1:12" x14ac:dyDescent="0.3">
      <c r="A1056" s="1">
        <v>45749</v>
      </c>
      <c r="B1056">
        <v>76146.28</v>
      </c>
      <c r="C1056">
        <v>76680.350000000006</v>
      </c>
      <c r="D1056">
        <v>76064.94</v>
      </c>
      <c r="E1056">
        <v>76617.440000000002</v>
      </c>
      <c r="F1056">
        <v>592.92999999999995</v>
      </c>
      <c r="G1056">
        <v>0.78</v>
      </c>
      <c r="H1056">
        <v>1.08</v>
      </c>
      <c r="I1056">
        <v>683.1</v>
      </c>
      <c r="J1056">
        <v>21.35</v>
      </c>
      <c r="K1056">
        <v>3.94</v>
      </c>
      <c r="L1056">
        <v>1.19</v>
      </c>
    </row>
    <row r="1057" spans="1:12" x14ac:dyDescent="0.3">
      <c r="A1057" s="1">
        <v>45750</v>
      </c>
      <c r="B1057">
        <v>75811.86</v>
      </c>
      <c r="C1057">
        <v>76493.740000000005</v>
      </c>
      <c r="D1057">
        <v>75807.55</v>
      </c>
      <c r="E1057">
        <v>76295.360000000001</v>
      </c>
      <c r="F1057">
        <v>-322.08</v>
      </c>
      <c r="G1057">
        <v>-0.42</v>
      </c>
      <c r="H1057">
        <v>0.69</v>
      </c>
      <c r="I1057">
        <v>635.35</v>
      </c>
      <c r="J1057">
        <v>21.26</v>
      </c>
      <c r="K1057">
        <v>3.93</v>
      </c>
      <c r="L1057">
        <v>1.2</v>
      </c>
    </row>
    <row r="1058" spans="1:12" x14ac:dyDescent="0.3">
      <c r="A1058" s="1">
        <v>45751</v>
      </c>
      <c r="B1058">
        <v>76160.09</v>
      </c>
      <c r="C1058">
        <v>76258.12</v>
      </c>
      <c r="D1058">
        <v>75240.55</v>
      </c>
      <c r="E1058">
        <v>75364.69</v>
      </c>
      <c r="F1058">
        <v>-930.67</v>
      </c>
      <c r="G1058">
        <v>-1.22</v>
      </c>
      <c r="H1058">
        <v>1.17</v>
      </c>
      <c r="I1058">
        <v>902.43</v>
      </c>
      <c r="J1058">
        <v>21</v>
      </c>
      <c r="K1058">
        <v>3.88</v>
      </c>
      <c r="L1058">
        <v>1.21</v>
      </c>
    </row>
    <row r="1059" spans="1:12" x14ac:dyDescent="0.3">
      <c r="A1059" s="1">
        <v>45754</v>
      </c>
      <c r="B1059">
        <v>71449.94</v>
      </c>
      <c r="C1059">
        <v>73403.990000000005</v>
      </c>
      <c r="D1059">
        <v>71425.009999999995</v>
      </c>
      <c r="E1059">
        <v>73137.899999999994</v>
      </c>
      <c r="F1059">
        <v>-2226.79</v>
      </c>
      <c r="G1059">
        <v>-2.95</v>
      </c>
      <c r="H1059">
        <v>2.94</v>
      </c>
      <c r="I1059">
        <v>1914.09</v>
      </c>
      <c r="J1059">
        <v>20.38</v>
      </c>
      <c r="K1059">
        <v>3.76</v>
      </c>
      <c r="L1059">
        <v>1.25</v>
      </c>
    </row>
    <row r="1060" spans="1:12" x14ac:dyDescent="0.3">
      <c r="A1060" s="1">
        <v>45755</v>
      </c>
      <c r="B1060">
        <v>74013.73</v>
      </c>
      <c r="C1060">
        <v>74859.39</v>
      </c>
      <c r="D1060">
        <v>73424.92</v>
      </c>
      <c r="E1060">
        <v>74227.08</v>
      </c>
      <c r="F1060">
        <v>1089.18</v>
      </c>
      <c r="G1060">
        <v>1.49</v>
      </c>
      <c r="H1060">
        <v>1.71</v>
      </c>
      <c r="I1060">
        <v>1314.08</v>
      </c>
      <c r="J1060">
        <v>20.69</v>
      </c>
      <c r="K1060">
        <v>3.82</v>
      </c>
      <c r="L1060">
        <v>1.23</v>
      </c>
    </row>
    <row r="1061" spans="1:12" x14ac:dyDescent="0.3">
      <c r="A1061" s="1">
        <v>45756</v>
      </c>
      <c r="B1061">
        <v>74103.83</v>
      </c>
      <c r="C1061">
        <v>74103.83</v>
      </c>
      <c r="D1061">
        <v>73673.06</v>
      </c>
      <c r="E1061">
        <v>73847.149999999994</v>
      </c>
      <c r="F1061">
        <v>-379.93</v>
      </c>
      <c r="G1061">
        <v>-0.51</v>
      </c>
      <c r="H1061">
        <v>0.91</v>
      </c>
      <c r="I1061">
        <v>691.57</v>
      </c>
      <c r="J1061">
        <v>20.58</v>
      </c>
      <c r="K1061">
        <v>3.8</v>
      </c>
      <c r="L1061">
        <v>1.24</v>
      </c>
    </row>
    <row r="1062" spans="1:12" x14ac:dyDescent="0.3">
      <c r="A1062" s="1">
        <v>45758</v>
      </c>
      <c r="B1062">
        <v>74835.490000000005</v>
      </c>
      <c r="C1062">
        <v>75467.33</v>
      </c>
      <c r="D1062">
        <v>74762.84</v>
      </c>
      <c r="E1062">
        <v>75157.259999999995</v>
      </c>
      <c r="F1062">
        <v>1310.1099999999999</v>
      </c>
      <c r="G1062">
        <v>1.77</v>
      </c>
      <c r="H1062">
        <v>1.42</v>
      </c>
      <c r="I1062">
        <v>1006.56</v>
      </c>
      <c r="J1062">
        <v>20.95</v>
      </c>
      <c r="K1062">
        <v>3.87</v>
      </c>
      <c r="L1062">
        <v>1.22</v>
      </c>
    </row>
    <row r="1063" spans="1:12" x14ac:dyDescent="0.3">
      <c r="A1063" s="1">
        <v>45762</v>
      </c>
      <c r="B1063">
        <v>76852.06</v>
      </c>
      <c r="C1063">
        <v>76907.63</v>
      </c>
      <c r="D1063">
        <v>76435.070000000007</v>
      </c>
      <c r="E1063">
        <v>76734.89</v>
      </c>
      <c r="F1063">
        <v>1577.63</v>
      </c>
      <c r="G1063">
        <v>2.1</v>
      </c>
      <c r="H1063">
        <v>1.29</v>
      </c>
      <c r="I1063">
        <v>1226.24</v>
      </c>
      <c r="J1063">
        <v>21.39</v>
      </c>
      <c r="K1063">
        <v>3.95</v>
      </c>
      <c r="L1063">
        <v>1.19</v>
      </c>
    </row>
    <row r="1064" spans="1:12" x14ac:dyDescent="0.3">
      <c r="A1064" s="1">
        <v>45763</v>
      </c>
      <c r="B1064">
        <v>76996.78</v>
      </c>
      <c r="C1064">
        <v>77110.23</v>
      </c>
      <c r="D1064">
        <v>76543.77</v>
      </c>
      <c r="E1064">
        <v>77044.289999999994</v>
      </c>
      <c r="F1064">
        <v>309.39999999999998</v>
      </c>
      <c r="G1064">
        <v>0.4</v>
      </c>
      <c r="H1064">
        <v>0.95</v>
      </c>
      <c r="I1064">
        <v>774.71</v>
      </c>
      <c r="J1064">
        <v>21.47</v>
      </c>
      <c r="K1064">
        <v>3.97</v>
      </c>
      <c r="L1064">
        <v>1.19</v>
      </c>
    </row>
    <row r="1065" spans="1:12" x14ac:dyDescent="0.3">
      <c r="A1065" s="1">
        <v>45764</v>
      </c>
      <c r="B1065">
        <v>76968.02</v>
      </c>
      <c r="C1065">
        <v>78616.77</v>
      </c>
      <c r="D1065">
        <v>76665.77</v>
      </c>
      <c r="E1065">
        <v>78553.2</v>
      </c>
      <c r="F1065">
        <v>1508.91</v>
      </c>
      <c r="G1065">
        <v>1.96</v>
      </c>
      <c r="H1065">
        <v>1.1100000000000001</v>
      </c>
      <c r="I1065">
        <v>971.87</v>
      </c>
      <c r="J1065">
        <v>21.89</v>
      </c>
      <c r="K1065">
        <v>4.04</v>
      </c>
      <c r="L1065">
        <v>1.1599999999999999</v>
      </c>
    </row>
    <row r="1066" spans="1:12" x14ac:dyDescent="0.3">
      <c r="A1066" s="1">
        <v>45768</v>
      </c>
      <c r="B1066">
        <v>78903.09</v>
      </c>
      <c r="C1066">
        <v>79635.05</v>
      </c>
      <c r="D1066">
        <v>78776.06</v>
      </c>
      <c r="E1066">
        <v>79408.5</v>
      </c>
      <c r="F1066">
        <v>855.3</v>
      </c>
      <c r="G1066">
        <v>1.0900000000000001</v>
      </c>
      <c r="H1066">
        <v>1.26</v>
      </c>
      <c r="I1066">
        <v>1058.19</v>
      </c>
      <c r="J1066">
        <v>22.13</v>
      </c>
      <c r="K1066">
        <v>4.09</v>
      </c>
      <c r="L1066">
        <v>1.1499999999999999</v>
      </c>
    </row>
    <row r="1067" spans="1:12" x14ac:dyDescent="0.3">
      <c r="A1067" s="1">
        <v>45769</v>
      </c>
      <c r="B1067">
        <v>79728.39</v>
      </c>
      <c r="C1067">
        <v>79824.3</v>
      </c>
      <c r="D1067">
        <v>79253.440000000002</v>
      </c>
      <c r="E1067">
        <v>79595.59</v>
      </c>
      <c r="F1067">
        <v>187.09</v>
      </c>
      <c r="G1067">
        <v>0.24</v>
      </c>
      <c r="H1067">
        <v>1.48</v>
      </c>
      <c r="I1067">
        <v>1429.58</v>
      </c>
      <c r="J1067">
        <v>22.18</v>
      </c>
      <c r="K1067">
        <v>4.0999999999999996</v>
      </c>
      <c r="L1067">
        <v>1.1499999999999999</v>
      </c>
    </row>
    <row r="1068" spans="1:12" x14ac:dyDescent="0.3">
      <c r="A1068" s="1">
        <v>45770</v>
      </c>
      <c r="B1068">
        <v>80142.09</v>
      </c>
      <c r="C1068">
        <v>80254.55</v>
      </c>
      <c r="D1068">
        <v>79506.899999999994</v>
      </c>
      <c r="E1068">
        <v>80116.490000000005</v>
      </c>
      <c r="F1068">
        <v>520.9</v>
      </c>
      <c r="G1068">
        <v>0.65</v>
      </c>
      <c r="H1068">
        <v>1.2</v>
      </c>
      <c r="I1068">
        <v>1219.76</v>
      </c>
      <c r="J1068">
        <v>22.33</v>
      </c>
      <c r="K1068">
        <v>4.12</v>
      </c>
      <c r="L1068">
        <v>1.1399999999999999</v>
      </c>
    </row>
    <row r="1069" spans="1:12" x14ac:dyDescent="0.3">
      <c r="A1069" s="1">
        <v>45771</v>
      </c>
      <c r="B1069">
        <v>80058.429999999993</v>
      </c>
      <c r="C1069">
        <v>80173.919999999998</v>
      </c>
      <c r="D1069">
        <v>79724.55</v>
      </c>
      <c r="E1069">
        <v>79801.429999999993</v>
      </c>
      <c r="F1069">
        <v>-315.06</v>
      </c>
      <c r="G1069">
        <v>-0.39</v>
      </c>
      <c r="H1069">
        <v>0.82</v>
      </c>
      <c r="I1069">
        <v>864.63</v>
      </c>
      <c r="J1069">
        <v>22.24</v>
      </c>
      <c r="K1069">
        <v>4.1100000000000003</v>
      </c>
      <c r="L1069">
        <v>1.1499999999999999</v>
      </c>
    </row>
    <row r="1070" spans="1:12" x14ac:dyDescent="0.3">
      <c r="A1070" s="1">
        <v>45772</v>
      </c>
      <c r="B1070">
        <v>79830.149999999994</v>
      </c>
      <c r="C1070">
        <v>80130.66</v>
      </c>
      <c r="D1070">
        <v>78605.81</v>
      </c>
      <c r="E1070">
        <v>79212.53</v>
      </c>
      <c r="F1070">
        <v>-588.9</v>
      </c>
      <c r="G1070">
        <v>-0.74</v>
      </c>
      <c r="H1070">
        <v>1.32</v>
      </c>
      <c r="I1070">
        <v>1114.8499999999999</v>
      </c>
      <c r="J1070">
        <v>22.08</v>
      </c>
      <c r="K1070">
        <v>4.08</v>
      </c>
      <c r="L1070">
        <v>1.1499999999999999</v>
      </c>
    </row>
    <row r="1071" spans="1:12" x14ac:dyDescent="0.3">
      <c r="A1071" s="1">
        <v>45775</v>
      </c>
      <c r="B1071">
        <v>79343.63</v>
      </c>
      <c r="C1071">
        <v>80321.88</v>
      </c>
      <c r="D1071">
        <v>79341.350000000006</v>
      </c>
      <c r="E1071">
        <v>80218.37</v>
      </c>
      <c r="F1071">
        <v>1005.84</v>
      </c>
      <c r="G1071">
        <v>1.27</v>
      </c>
      <c r="H1071">
        <v>0.85</v>
      </c>
      <c r="I1071">
        <v>850.07</v>
      </c>
      <c r="J1071">
        <v>22.36</v>
      </c>
      <c r="K1071">
        <v>4.13</v>
      </c>
      <c r="L1071">
        <v>1.1599999999999999</v>
      </c>
    </row>
    <row r="1072" spans="1:12" x14ac:dyDescent="0.3">
      <c r="A1072" s="1">
        <v>45776</v>
      </c>
      <c r="B1072">
        <v>80396.92</v>
      </c>
      <c r="C1072">
        <v>80661.31</v>
      </c>
      <c r="D1072">
        <v>80122.02</v>
      </c>
      <c r="E1072">
        <v>80288.38</v>
      </c>
      <c r="F1072">
        <v>70.010000000000005</v>
      </c>
      <c r="G1072">
        <v>0.09</v>
      </c>
      <c r="H1072">
        <v>1.62</v>
      </c>
      <c r="I1072">
        <v>1712.98</v>
      </c>
      <c r="J1072">
        <v>22.38</v>
      </c>
      <c r="K1072">
        <v>4.13</v>
      </c>
      <c r="L1072">
        <v>1.1599999999999999</v>
      </c>
    </row>
    <row r="1073" spans="1:12" x14ac:dyDescent="0.3">
      <c r="A1073" s="1">
        <v>45777</v>
      </c>
      <c r="B1073">
        <v>80370.8</v>
      </c>
      <c r="C1073">
        <v>80525.61</v>
      </c>
      <c r="D1073">
        <v>79879.149999999994</v>
      </c>
      <c r="E1073">
        <v>80242.240000000005</v>
      </c>
      <c r="F1073">
        <v>-46.14</v>
      </c>
      <c r="G1073">
        <v>-0.06</v>
      </c>
      <c r="H1073">
        <v>1.22</v>
      </c>
      <c r="I1073">
        <v>1366.9</v>
      </c>
      <c r="J1073">
        <v>22.36</v>
      </c>
      <c r="K1073">
        <v>4.13</v>
      </c>
      <c r="L1073">
        <v>1.1599999999999999</v>
      </c>
    </row>
    <row r="1074" spans="1:12" x14ac:dyDescent="0.3">
      <c r="A1074" s="1">
        <v>45779</v>
      </c>
      <c r="B1074">
        <v>80300.19</v>
      </c>
      <c r="C1074">
        <v>81177.929999999993</v>
      </c>
      <c r="D1074">
        <v>80168.59</v>
      </c>
      <c r="E1074">
        <v>80501.990000000005</v>
      </c>
      <c r="F1074">
        <v>259.75</v>
      </c>
      <c r="G1074">
        <v>0.32</v>
      </c>
      <c r="H1074">
        <v>1.27</v>
      </c>
      <c r="I1074">
        <v>1400.41</v>
      </c>
      <c r="J1074">
        <v>22.44</v>
      </c>
      <c r="K1074">
        <v>4.1399999999999997</v>
      </c>
      <c r="L1074">
        <v>1.1599999999999999</v>
      </c>
    </row>
    <row r="1075" spans="1:12" x14ac:dyDescent="0.3">
      <c r="A1075" s="1">
        <v>45782</v>
      </c>
      <c r="B1075">
        <v>80661.62</v>
      </c>
      <c r="C1075">
        <v>81049.03</v>
      </c>
      <c r="D1075">
        <v>80657.710000000006</v>
      </c>
      <c r="E1075">
        <v>80796.84</v>
      </c>
      <c r="F1075">
        <v>294.85000000000002</v>
      </c>
      <c r="G1075">
        <v>0.37</v>
      </c>
      <c r="H1075">
        <v>0.88</v>
      </c>
      <c r="I1075">
        <v>850.2</v>
      </c>
      <c r="J1075">
        <v>22.52</v>
      </c>
      <c r="K1075">
        <v>4.16</v>
      </c>
      <c r="L1075">
        <v>1.1499999999999999</v>
      </c>
    </row>
    <row r="1076" spans="1:12" x14ac:dyDescent="0.3">
      <c r="A1076" s="1">
        <v>45783</v>
      </c>
      <c r="B1076">
        <v>80907.240000000005</v>
      </c>
      <c r="C1076">
        <v>80981.58</v>
      </c>
      <c r="D1076">
        <v>80481.03</v>
      </c>
      <c r="E1076">
        <v>80641.070000000007</v>
      </c>
      <c r="F1076">
        <v>-155.77000000000001</v>
      </c>
      <c r="G1076">
        <v>-0.19</v>
      </c>
      <c r="H1076">
        <v>1.25</v>
      </c>
      <c r="I1076">
        <v>893.84</v>
      </c>
      <c r="J1076">
        <v>22.47</v>
      </c>
      <c r="K1076">
        <v>4.1500000000000004</v>
      </c>
      <c r="L1076">
        <v>1.1499999999999999</v>
      </c>
    </row>
    <row r="1077" spans="1:12" x14ac:dyDescent="0.3">
      <c r="A1077" s="1">
        <v>45784</v>
      </c>
      <c r="B1077">
        <v>79948.800000000003</v>
      </c>
      <c r="C1077">
        <v>80844.63</v>
      </c>
      <c r="D1077">
        <v>79937.48</v>
      </c>
      <c r="E1077">
        <v>80746.78</v>
      </c>
      <c r="F1077">
        <v>105.71</v>
      </c>
      <c r="G1077">
        <v>0.13</v>
      </c>
      <c r="H1077">
        <v>0.88</v>
      </c>
      <c r="I1077">
        <v>648.15</v>
      </c>
      <c r="J1077">
        <v>22.5</v>
      </c>
      <c r="K1077">
        <v>4.16</v>
      </c>
      <c r="L1077">
        <v>1.1499999999999999</v>
      </c>
    </row>
    <row r="1078" spans="1:12" x14ac:dyDescent="0.3">
      <c r="A1078" s="1">
        <v>45785</v>
      </c>
      <c r="B1078">
        <v>80912.34</v>
      </c>
      <c r="C1078">
        <v>80927.990000000005</v>
      </c>
      <c r="D1078">
        <v>79987.61</v>
      </c>
      <c r="E1078">
        <v>80334.81</v>
      </c>
      <c r="F1078">
        <v>-411.97</v>
      </c>
      <c r="G1078">
        <v>-0.51</v>
      </c>
      <c r="H1078">
        <v>1.06</v>
      </c>
      <c r="I1078">
        <v>825.52</v>
      </c>
      <c r="J1078">
        <v>22.39</v>
      </c>
      <c r="K1078">
        <v>4.1399999999999997</v>
      </c>
      <c r="L1078">
        <v>1.1399999999999999</v>
      </c>
    </row>
    <row r="1079" spans="1:12" x14ac:dyDescent="0.3">
      <c r="A1079" s="1">
        <v>45786</v>
      </c>
      <c r="B1079">
        <v>78968.34</v>
      </c>
      <c r="C1079">
        <v>80032.929999999993</v>
      </c>
      <c r="D1079">
        <v>78968.34</v>
      </c>
      <c r="E1079">
        <v>79454.47</v>
      </c>
      <c r="F1079">
        <v>-880.34</v>
      </c>
      <c r="G1079">
        <v>-1.1000000000000001</v>
      </c>
      <c r="H1079">
        <v>0.88</v>
      </c>
      <c r="I1079">
        <v>740.23</v>
      </c>
      <c r="J1079">
        <v>22.14</v>
      </c>
      <c r="K1079">
        <v>4.09</v>
      </c>
      <c r="L1079">
        <v>1.1499999999999999</v>
      </c>
    </row>
    <row r="1080" spans="1:12" x14ac:dyDescent="0.3">
      <c r="A1080" s="1">
        <v>45789</v>
      </c>
      <c r="B1080">
        <v>80803.8</v>
      </c>
      <c r="C1080">
        <v>82495.97</v>
      </c>
      <c r="D1080">
        <v>80651.070000000007</v>
      </c>
      <c r="E1080">
        <v>82429.899999999994</v>
      </c>
      <c r="F1080">
        <v>2975.43</v>
      </c>
      <c r="G1080">
        <v>3.74</v>
      </c>
      <c r="H1080">
        <v>1.07</v>
      </c>
      <c r="I1080">
        <v>1045.97</v>
      </c>
      <c r="J1080">
        <v>22.97</v>
      </c>
      <c r="K1080">
        <v>4.24</v>
      </c>
      <c r="L1080">
        <v>0.95</v>
      </c>
    </row>
    <row r="1081" spans="1:12" x14ac:dyDescent="0.3">
      <c r="A1081" s="1">
        <v>45790</v>
      </c>
      <c r="B1081">
        <v>82249.600000000006</v>
      </c>
      <c r="C1081">
        <v>82572.81</v>
      </c>
      <c r="D1081">
        <v>81043.69</v>
      </c>
      <c r="E1081">
        <v>81148.22</v>
      </c>
      <c r="F1081">
        <v>-1281.68</v>
      </c>
      <c r="G1081">
        <v>-1.55</v>
      </c>
      <c r="H1081">
        <v>1.62</v>
      </c>
      <c r="I1081">
        <v>1387.52</v>
      </c>
      <c r="J1081">
        <v>22.62</v>
      </c>
      <c r="K1081">
        <v>4.18</v>
      </c>
      <c r="L1081">
        <v>0.97</v>
      </c>
    </row>
    <row r="1082" spans="1:12" x14ac:dyDescent="0.3">
      <c r="A1082" s="1">
        <v>45791</v>
      </c>
      <c r="B1082">
        <v>81278.490000000005</v>
      </c>
      <c r="C1082">
        <v>81691.87</v>
      </c>
      <c r="D1082">
        <v>80910.03</v>
      </c>
      <c r="E1082">
        <v>81330.559999999998</v>
      </c>
      <c r="F1082">
        <v>182.34</v>
      </c>
      <c r="G1082">
        <v>0.22</v>
      </c>
      <c r="H1082">
        <v>1.52</v>
      </c>
      <c r="I1082">
        <v>1280.1099999999999</v>
      </c>
      <c r="J1082">
        <v>22.67</v>
      </c>
      <c r="K1082">
        <v>4.1900000000000004</v>
      </c>
      <c r="L1082">
        <v>0.97</v>
      </c>
    </row>
    <row r="1083" spans="1:12" x14ac:dyDescent="0.3">
      <c r="A1083" s="1">
        <v>45792</v>
      </c>
      <c r="B1083">
        <v>81354.429999999993</v>
      </c>
      <c r="C1083">
        <v>82718.14</v>
      </c>
      <c r="D1083">
        <v>80762.16</v>
      </c>
      <c r="E1083">
        <v>82530.740000000005</v>
      </c>
      <c r="F1083">
        <v>1200.18</v>
      </c>
      <c r="G1083">
        <v>1.48</v>
      </c>
      <c r="H1083">
        <v>1.26</v>
      </c>
      <c r="I1083">
        <v>1032.99</v>
      </c>
      <c r="J1083">
        <v>23</v>
      </c>
      <c r="K1083">
        <v>4.25</v>
      </c>
      <c r="L1083">
        <v>0.95</v>
      </c>
    </row>
    <row r="1084" spans="1:12" x14ac:dyDescent="0.3">
      <c r="A1084" s="1">
        <v>45793</v>
      </c>
      <c r="B1084">
        <v>82392.63</v>
      </c>
      <c r="C1084">
        <v>82514.81</v>
      </c>
      <c r="D1084">
        <v>82146.95</v>
      </c>
      <c r="E1084">
        <v>82330.59</v>
      </c>
      <c r="F1084">
        <v>-200.15</v>
      </c>
      <c r="G1084">
        <v>-0.24</v>
      </c>
      <c r="H1084">
        <v>1.53</v>
      </c>
      <c r="I1084">
        <v>2153.7399999999998</v>
      </c>
      <c r="J1084">
        <v>22.94</v>
      </c>
      <c r="K1084">
        <v>4.24</v>
      </c>
      <c r="L1084">
        <v>1.02</v>
      </c>
    </row>
    <row r="1085" spans="1:12" x14ac:dyDescent="0.3">
      <c r="A1085" s="1">
        <v>45796</v>
      </c>
      <c r="B1085">
        <v>82354.92</v>
      </c>
      <c r="C1085">
        <v>82424.100000000006</v>
      </c>
      <c r="D1085">
        <v>81964.570000000007</v>
      </c>
      <c r="E1085">
        <v>82059.42</v>
      </c>
      <c r="F1085">
        <v>-271.17</v>
      </c>
      <c r="G1085">
        <v>-0.33</v>
      </c>
      <c r="H1085">
        <v>0.81</v>
      </c>
      <c r="I1085">
        <v>885.49</v>
      </c>
      <c r="J1085">
        <v>22.87</v>
      </c>
      <c r="K1085">
        <v>4.22</v>
      </c>
      <c r="L1085">
        <v>0.99</v>
      </c>
    </row>
    <row r="1086" spans="1:12" x14ac:dyDescent="0.3">
      <c r="A1086" s="1">
        <v>45797</v>
      </c>
      <c r="B1086">
        <v>82116.17</v>
      </c>
      <c r="C1086">
        <v>82250.42</v>
      </c>
      <c r="D1086">
        <v>81153.7</v>
      </c>
      <c r="E1086">
        <v>81186.44</v>
      </c>
      <c r="F1086">
        <v>-872.98</v>
      </c>
      <c r="G1086">
        <v>-1.06</v>
      </c>
      <c r="H1086">
        <v>1.05</v>
      </c>
      <c r="I1086">
        <v>981.94</v>
      </c>
      <c r="J1086">
        <v>22.63</v>
      </c>
      <c r="K1086">
        <v>4.18</v>
      </c>
      <c r="L1086">
        <v>1</v>
      </c>
    </row>
    <row r="1087" spans="1:12" x14ac:dyDescent="0.3">
      <c r="A1087" s="1">
        <v>45798</v>
      </c>
      <c r="B1087">
        <v>81327.61</v>
      </c>
      <c r="C1087">
        <v>82021.64</v>
      </c>
      <c r="D1087">
        <v>81237.06</v>
      </c>
      <c r="E1087">
        <v>81596.63</v>
      </c>
      <c r="F1087">
        <v>410.19</v>
      </c>
      <c r="G1087">
        <v>0.51</v>
      </c>
      <c r="H1087">
        <v>0.57999999999999996</v>
      </c>
      <c r="I1087">
        <v>550.66</v>
      </c>
      <c r="J1087">
        <v>22.74</v>
      </c>
      <c r="K1087">
        <v>4.2</v>
      </c>
      <c r="L1087">
        <v>1</v>
      </c>
    </row>
    <row r="1088" spans="1:12" x14ac:dyDescent="0.3">
      <c r="A1088" s="1">
        <v>45799</v>
      </c>
      <c r="B1088">
        <v>81323.05</v>
      </c>
      <c r="C1088">
        <v>81323.240000000005</v>
      </c>
      <c r="D1088">
        <v>80489.919999999998</v>
      </c>
      <c r="E1088">
        <v>80951.990000000005</v>
      </c>
      <c r="F1088">
        <v>-644.64</v>
      </c>
      <c r="G1088">
        <v>-0.79</v>
      </c>
      <c r="H1088">
        <v>1.07</v>
      </c>
      <c r="I1088">
        <v>801.32</v>
      </c>
      <c r="J1088">
        <v>22.56</v>
      </c>
      <c r="K1088">
        <v>4.17</v>
      </c>
      <c r="L1088">
        <v>1.01</v>
      </c>
    </row>
    <row r="1089" spans="1:12" x14ac:dyDescent="0.3">
      <c r="A1089" s="1">
        <v>45800</v>
      </c>
      <c r="B1089">
        <v>80897</v>
      </c>
      <c r="C1089">
        <v>81905.17</v>
      </c>
      <c r="D1089">
        <v>80897</v>
      </c>
      <c r="E1089">
        <v>81721.08</v>
      </c>
      <c r="F1089">
        <v>769.09</v>
      </c>
      <c r="G1089">
        <v>0.95</v>
      </c>
      <c r="H1089">
        <v>1.2</v>
      </c>
      <c r="I1089">
        <v>889.36</v>
      </c>
      <c r="J1089">
        <v>22.77</v>
      </c>
      <c r="K1089">
        <v>4.21</v>
      </c>
      <c r="L1089">
        <v>0.94</v>
      </c>
    </row>
    <row r="1090" spans="1:12" x14ac:dyDescent="0.3">
      <c r="A1090" s="1">
        <v>45803</v>
      </c>
      <c r="B1090">
        <v>81928.95</v>
      </c>
      <c r="C1090">
        <v>82492.240000000005</v>
      </c>
      <c r="D1090">
        <v>81867.23</v>
      </c>
      <c r="E1090">
        <v>82176.45</v>
      </c>
      <c r="F1090">
        <v>455.37</v>
      </c>
      <c r="G1090">
        <v>0.56000000000000005</v>
      </c>
      <c r="H1090">
        <v>1.02</v>
      </c>
      <c r="I1090">
        <v>832.49</v>
      </c>
      <c r="J1090">
        <v>22.99</v>
      </c>
      <c r="K1090">
        <v>4.2300000000000004</v>
      </c>
      <c r="L1090">
        <v>0.94</v>
      </c>
    </row>
    <row r="1091" spans="1:12" x14ac:dyDescent="0.3">
      <c r="A1091" s="1">
        <v>45804</v>
      </c>
      <c r="B1091">
        <v>82038.2</v>
      </c>
      <c r="C1091">
        <v>82410.52</v>
      </c>
      <c r="D1091">
        <v>81121.7</v>
      </c>
      <c r="E1091">
        <v>81551.63</v>
      </c>
      <c r="F1091">
        <v>-624.82000000000005</v>
      </c>
      <c r="G1091">
        <v>-0.76</v>
      </c>
      <c r="H1091">
        <v>2.0699999999999998</v>
      </c>
      <c r="I1091">
        <v>2280.2600000000002</v>
      </c>
      <c r="J1091">
        <v>22.81</v>
      </c>
      <c r="K1091">
        <v>4.2</v>
      </c>
      <c r="L1091">
        <v>0.94</v>
      </c>
    </row>
    <row r="1092" spans="1:12" x14ac:dyDescent="0.3">
      <c r="A1092" s="1">
        <v>45805</v>
      </c>
      <c r="B1092">
        <v>81457.61</v>
      </c>
      <c r="C1092">
        <v>81613.36</v>
      </c>
      <c r="D1092">
        <v>81244.02</v>
      </c>
      <c r="E1092">
        <v>81312.320000000007</v>
      </c>
      <c r="F1092">
        <v>-239.31</v>
      </c>
      <c r="G1092">
        <v>-0.28999999999999998</v>
      </c>
      <c r="H1092">
        <v>2.41</v>
      </c>
      <c r="I1092">
        <v>1285.3399999999999</v>
      </c>
      <c r="J1092">
        <v>22.74</v>
      </c>
      <c r="K1092">
        <v>4.1900000000000004</v>
      </c>
      <c r="L1092">
        <v>1.02</v>
      </c>
    </row>
    <row r="1093" spans="1:12" x14ac:dyDescent="0.3">
      <c r="A1093" s="1">
        <v>45806</v>
      </c>
      <c r="B1093">
        <v>81591.03</v>
      </c>
      <c r="C1093">
        <v>81816.89</v>
      </c>
      <c r="D1093">
        <v>81106.98</v>
      </c>
      <c r="E1093">
        <v>81633.02</v>
      </c>
      <c r="F1093">
        <v>320.7</v>
      </c>
      <c r="G1093">
        <v>0.39</v>
      </c>
      <c r="H1093">
        <v>0.68</v>
      </c>
      <c r="I1093">
        <v>598.27</v>
      </c>
      <c r="J1093">
        <v>22.83</v>
      </c>
      <c r="K1093">
        <v>4.2</v>
      </c>
      <c r="L1093">
        <v>1.02</v>
      </c>
    </row>
    <row r="1094" spans="1:12" x14ac:dyDescent="0.3">
      <c r="A1094" s="1">
        <v>45807</v>
      </c>
      <c r="B1094">
        <v>81465.69</v>
      </c>
      <c r="C1094">
        <v>81698.210000000006</v>
      </c>
      <c r="D1094">
        <v>81286.45</v>
      </c>
      <c r="E1094">
        <v>81451.009999999995</v>
      </c>
      <c r="F1094">
        <v>-182.01</v>
      </c>
      <c r="G1094">
        <v>-0.22</v>
      </c>
      <c r="H1094">
        <v>1.26</v>
      </c>
      <c r="I1094">
        <v>728.06</v>
      </c>
      <c r="J1094">
        <v>22.78</v>
      </c>
      <c r="K1094">
        <v>4.1900000000000004</v>
      </c>
      <c r="L1094">
        <v>1.1200000000000001</v>
      </c>
    </row>
    <row r="1095" spans="1:12" x14ac:dyDescent="0.3">
      <c r="A1095" s="1">
        <v>45810</v>
      </c>
      <c r="B1095">
        <v>81214.42</v>
      </c>
      <c r="C1095">
        <v>81474.259999999995</v>
      </c>
      <c r="D1095">
        <v>80654.259999999995</v>
      </c>
      <c r="E1095">
        <v>81373.75</v>
      </c>
      <c r="F1095">
        <v>-77.260000000000005</v>
      </c>
      <c r="G1095">
        <v>-0.09</v>
      </c>
      <c r="H1095">
        <v>0.99</v>
      </c>
      <c r="I1095">
        <v>903.13</v>
      </c>
      <c r="J1095">
        <v>22.76</v>
      </c>
      <c r="K1095">
        <v>4.1900000000000004</v>
      </c>
      <c r="L1095">
        <v>1.04</v>
      </c>
    </row>
    <row r="1096" spans="1:12" x14ac:dyDescent="0.3">
      <c r="A1096" s="1">
        <v>45811</v>
      </c>
      <c r="B1096">
        <v>81492.5</v>
      </c>
      <c r="C1096">
        <v>81774.23</v>
      </c>
      <c r="D1096">
        <v>80575.09</v>
      </c>
      <c r="E1096">
        <v>80737.509999999995</v>
      </c>
      <c r="F1096">
        <v>-636.24</v>
      </c>
      <c r="G1096">
        <v>-0.78</v>
      </c>
      <c r="H1096">
        <v>3.2</v>
      </c>
      <c r="I1096">
        <v>3123.18</v>
      </c>
      <c r="J1096">
        <v>22.58</v>
      </c>
      <c r="K1096">
        <v>4.16</v>
      </c>
      <c r="L1096">
        <v>1.0900000000000001</v>
      </c>
    </row>
    <row r="1097" spans="1:12" x14ac:dyDescent="0.3">
      <c r="A1097" s="1">
        <v>45812</v>
      </c>
      <c r="B1097">
        <v>80777.649999999994</v>
      </c>
      <c r="C1097">
        <v>81087.289999999994</v>
      </c>
      <c r="D1097">
        <v>80705.179999999993</v>
      </c>
      <c r="E1097">
        <v>80998.25</v>
      </c>
      <c r="F1097">
        <v>260.74</v>
      </c>
      <c r="G1097">
        <v>0.32</v>
      </c>
      <c r="H1097">
        <v>0.75</v>
      </c>
      <c r="I1097">
        <v>552.78</v>
      </c>
      <c r="J1097">
        <v>22.66</v>
      </c>
      <c r="K1097">
        <v>4.17</v>
      </c>
      <c r="L1097">
        <v>1.1399999999999999</v>
      </c>
    </row>
    <row r="1098" spans="1:12" x14ac:dyDescent="0.3">
      <c r="A1098" s="1">
        <v>45813</v>
      </c>
      <c r="B1098">
        <v>81196.08</v>
      </c>
      <c r="C1098">
        <v>81911.13</v>
      </c>
      <c r="D1098">
        <v>80983.73</v>
      </c>
      <c r="E1098">
        <v>81442.039999999994</v>
      </c>
      <c r="F1098">
        <v>443.79</v>
      </c>
      <c r="G1098">
        <v>0.55000000000000004</v>
      </c>
      <c r="H1098">
        <v>0.98</v>
      </c>
      <c r="I1098">
        <v>696.3</v>
      </c>
      <c r="J1098">
        <v>22.78</v>
      </c>
      <c r="K1098">
        <v>4.1900000000000004</v>
      </c>
      <c r="L1098">
        <v>1.05</v>
      </c>
    </row>
    <row r="1099" spans="1:12" x14ac:dyDescent="0.3">
      <c r="A1099" s="1">
        <v>45814</v>
      </c>
      <c r="B1099">
        <v>81434.240000000005</v>
      </c>
      <c r="C1099">
        <v>82299.89</v>
      </c>
      <c r="D1099">
        <v>81140.11</v>
      </c>
      <c r="E1099">
        <v>82188.990000000005</v>
      </c>
      <c r="F1099">
        <v>746.95</v>
      </c>
      <c r="G1099">
        <v>0.92</v>
      </c>
      <c r="H1099">
        <v>1.24</v>
      </c>
      <c r="I1099">
        <v>1259.08</v>
      </c>
      <c r="J1099">
        <v>22.99</v>
      </c>
      <c r="K1099">
        <v>4.2300000000000004</v>
      </c>
      <c r="L1099">
        <v>1.08</v>
      </c>
    </row>
    <row r="1100" spans="1:12" x14ac:dyDescent="0.3">
      <c r="A1100" s="1">
        <v>45817</v>
      </c>
      <c r="B1100">
        <v>82574.55</v>
      </c>
      <c r="C1100">
        <v>82669</v>
      </c>
      <c r="D1100">
        <v>82369.240000000005</v>
      </c>
      <c r="E1100">
        <v>82445.210000000006</v>
      </c>
      <c r="F1100">
        <v>256.22000000000003</v>
      </c>
      <c r="G1100">
        <v>0.31</v>
      </c>
      <c r="H1100">
        <v>1.1499999999999999</v>
      </c>
      <c r="I1100">
        <v>1071.4100000000001</v>
      </c>
      <c r="J1100">
        <v>23.06</v>
      </c>
      <c r="K1100">
        <v>4.24</v>
      </c>
      <c r="L1100">
        <v>1.07</v>
      </c>
    </row>
    <row r="1101" spans="1:12" x14ac:dyDescent="0.3">
      <c r="A1101" s="1">
        <v>45818</v>
      </c>
      <c r="B1101">
        <v>82643.73</v>
      </c>
      <c r="C1101">
        <v>82680.789999999994</v>
      </c>
      <c r="D1101">
        <v>82240.399999999994</v>
      </c>
      <c r="E1101">
        <v>82391.72</v>
      </c>
      <c r="F1101">
        <v>-53.49</v>
      </c>
      <c r="G1101">
        <v>-0.06</v>
      </c>
      <c r="H1101">
        <v>1.51</v>
      </c>
      <c r="I1101">
        <v>1688.09</v>
      </c>
      <c r="J1101">
        <v>23.05</v>
      </c>
      <c r="K1101">
        <v>4.24</v>
      </c>
      <c r="L1101">
        <v>1.08</v>
      </c>
    </row>
    <row r="1102" spans="1:12" x14ac:dyDescent="0.3">
      <c r="A1102" s="1">
        <v>45819</v>
      </c>
      <c r="B1102">
        <v>82473.02</v>
      </c>
      <c r="C1102">
        <v>82783.509999999995</v>
      </c>
      <c r="D1102">
        <v>82308.91</v>
      </c>
      <c r="E1102">
        <v>82515.14</v>
      </c>
      <c r="F1102">
        <v>123.42</v>
      </c>
      <c r="G1102">
        <v>0.15</v>
      </c>
      <c r="H1102">
        <v>1.1299999999999999</v>
      </c>
      <c r="I1102">
        <v>844.82</v>
      </c>
      <c r="J1102">
        <v>23.08</v>
      </c>
      <c r="K1102">
        <v>4.25</v>
      </c>
      <c r="L1102">
        <v>1.08</v>
      </c>
    </row>
    <row r="1103" spans="1:12" x14ac:dyDescent="0.3">
      <c r="A1103" s="1">
        <v>45820</v>
      </c>
      <c r="B1103">
        <v>82571.67</v>
      </c>
      <c r="C1103">
        <v>82661.039999999994</v>
      </c>
      <c r="D1103">
        <v>81523.16</v>
      </c>
      <c r="E1103">
        <v>81691.98</v>
      </c>
      <c r="F1103">
        <v>-823.16</v>
      </c>
      <c r="G1103">
        <v>-1</v>
      </c>
      <c r="H1103">
        <v>0.6</v>
      </c>
      <c r="I1103">
        <v>643.4</v>
      </c>
      <c r="J1103">
        <v>22.85</v>
      </c>
      <c r="K1103">
        <v>4.2</v>
      </c>
      <c r="L1103">
        <v>1.07</v>
      </c>
    </row>
    <row r="1104" spans="1:12" x14ac:dyDescent="0.3">
      <c r="A1104" s="1">
        <v>45821</v>
      </c>
      <c r="B1104">
        <v>80427.81</v>
      </c>
      <c r="C1104">
        <v>81238.679999999993</v>
      </c>
      <c r="D1104">
        <v>80354.59</v>
      </c>
      <c r="E1104">
        <v>81118.600000000006</v>
      </c>
      <c r="F1104">
        <v>-573.38</v>
      </c>
      <c r="G1104">
        <v>-0.7</v>
      </c>
      <c r="H1104">
        <v>0.66</v>
      </c>
      <c r="I1104">
        <v>570.04999999999995</v>
      </c>
      <c r="J1104">
        <v>22.69</v>
      </c>
      <c r="K1104">
        <v>4.18</v>
      </c>
      <c r="L1104">
        <v>1.0900000000000001</v>
      </c>
    </row>
    <row r="1105" spans="1:12" x14ac:dyDescent="0.3">
      <c r="A1105" s="1">
        <v>45824</v>
      </c>
      <c r="B1105">
        <v>81034.45</v>
      </c>
      <c r="C1105">
        <v>81865.820000000007</v>
      </c>
      <c r="D1105">
        <v>81012.31</v>
      </c>
      <c r="E1105">
        <v>81796.149999999994</v>
      </c>
      <c r="F1105">
        <v>677.55</v>
      </c>
      <c r="G1105">
        <v>0.84</v>
      </c>
      <c r="H1105">
        <v>1.1399999999999999</v>
      </c>
      <c r="I1105">
        <v>1250.79</v>
      </c>
      <c r="J1105">
        <v>22.88</v>
      </c>
      <c r="K1105">
        <v>4.21</v>
      </c>
      <c r="L1105">
        <v>1.05</v>
      </c>
    </row>
    <row r="1106" spans="1:12" x14ac:dyDescent="0.3">
      <c r="A1106" s="1">
        <v>45825</v>
      </c>
      <c r="B1106">
        <v>81869.47</v>
      </c>
      <c r="C1106">
        <v>81890.149999999994</v>
      </c>
      <c r="D1106">
        <v>81427.009999999995</v>
      </c>
      <c r="E1106">
        <v>81583.3</v>
      </c>
      <c r="F1106">
        <v>-212.85</v>
      </c>
      <c r="G1106">
        <v>-0.26</v>
      </c>
      <c r="H1106">
        <v>2.15</v>
      </c>
      <c r="I1106">
        <v>2652.8</v>
      </c>
      <c r="J1106">
        <v>22.82</v>
      </c>
      <c r="K1106">
        <v>4.2</v>
      </c>
      <c r="L1106">
        <v>1.05</v>
      </c>
    </row>
    <row r="1107" spans="1:12" x14ac:dyDescent="0.3">
      <c r="A1107" s="1">
        <v>45826</v>
      </c>
      <c r="B1107">
        <v>81314.62</v>
      </c>
      <c r="C1107">
        <v>81858.97</v>
      </c>
      <c r="D1107">
        <v>81237.009999999995</v>
      </c>
      <c r="E1107">
        <v>81444.66</v>
      </c>
      <c r="F1107">
        <v>-138.63999999999999</v>
      </c>
      <c r="G1107">
        <v>-0.17</v>
      </c>
      <c r="H1107">
        <v>1.1299999999999999</v>
      </c>
      <c r="I1107">
        <v>807.53</v>
      </c>
      <c r="J1107">
        <v>22.78</v>
      </c>
      <c r="K1107">
        <v>4.1900000000000004</v>
      </c>
      <c r="L1107">
        <v>1.06</v>
      </c>
    </row>
    <row r="1108" spans="1:12" x14ac:dyDescent="0.3">
      <c r="A1108" s="1">
        <v>45827</v>
      </c>
      <c r="B1108">
        <v>81403.94</v>
      </c>
      <c r="C1108">
        <v>81583.94</v>
      </c>
      <c r="D1108">
        <v>81191.039999999994</v>
      </c>
      <c r="E1108">
        <v>81361.87</v>
      </c>
      <c r="F1108">
        <v>-82.79</v>
      </c>
      <c r="G1108">
        <v>-0.1</v>
      </c>
      <c r="H1108">
        <v>1.25</v>
      </c>
      <c r="I1108">
        <v>732.19</v>
      </c>
      <c r="J1108">
        <v>22.75</v>
      </c>
      <c r="K1108">
        <v>4.1900000000000004</v>
      </c>
      <c r="L1108">
        <v>1.06</v>
      </c>
    </row>
    <row r="1109" spans="1:12" x14ac:dyDescent="0.3">
      <c r="A1109" s="1">
        <v>45828</v>
      </c>
      <c r="B1109">
        <v>81354.850000000006</v>
      </c>
      <c r="C1109">
        <v>82494.490000000005</v>
      </c>
      <c r="D1109">
        <v>81323.199999999997</v>
      </c>
      <c r="E1109">
        <v>82408.17</v>
      </c>
      <c r="F1109">
        <v>1046.3</v>
      </c>
      <c r="G1109">
        <v>1.29</v>
      </c>
      <c r="H1109">
        <v>0.67</v>
      </c>
      <c r="I1109">
        <v>831.46</v>
      </c>
      <c r="J1109">
        <v>23.05</v>
      </c>
      <c r="K1109">
        <v>4.24</v>
      </c>
      <c r="L1109">
        <v>1.04</v>
      </c>
    </row>
    <row r="1110" spans="1:12" x14ac:dyDescent="0.3">
      <c r="A1110" s="1">
        <v>45831</v>
      </c>
      <c r="B1110">
        <v>81704.070000000007</v>
      </c>
      <c r="C1110">
        <v>82169.67</v>
      </c>
      <c r="D1110">
        <v>81476.759999999995</v>
      </c>
      <c r="E1110">
        <v>81896.789999999994</v>
      </c>
      <c r="F1110">
        <v>-511.38</v>
      </c>
      <c r="G1110">
        <v>-0.62</v>
      </c>
      <c r="H1110">
        <v>0.8</v>
      </c>
      <c r="I1110">
        <v>679.27</v>
      </c>
      <c r="J1110">
        <v>23.45</v>
      </c>
      <c r="K1110">
        <v>4.3600000000000003</v>
      </c>
      <c r="L1110">
        <v>0.97</v>
      </c>
    </row>
    <row r="1111" spans="1:12" x14ac:dyDescent="0.3">
      <c r="A1111" s="1">
        <v>45832</v>
      </c>
      <c r="B1111">
        <v>82534.61</v>
      </c>
      <c r="C1111">
        <v>83018.16</v>
      </c>
      <c r="D1111">
        <v>81900.12</v>
      </c>
      <c r="E1111">
        <v>82055.11</v>
      </c>
      <c r="F1111">
        <v>158.32</v>
      </c>
      <c r="G1111">
        <v>0.19</v>
      </c>
      <c r="H1111">
        <v>11.93</v>
      </c>
      <c r="I1111">
        <v>6080.46</v>
      </c>
      <c r="J1111">
        <v>23.49</v>
      </c>
      <c r="K1111">
        <v>4.37</v>
      </c>
      <c r="L1111">
        <v>0.97</v>
      </c>
    </row>
    <row r="1112" spans="1:12" x14ac:dyDescent="0.3">
      <c r="A1112" s="1">
        <v>45833</v>
      </c>
      <c r="B1112">
        <v>82448.800000000003</v>
      </c>
      <c r="C1112">
        <v>82815.91</v>
      </c>
      <c r="D1112">
        <v>82339.570000000007</v>
      </c>
      <c r="E1112">
        <v>82755.509999999995</v>
      </c>
      <c r="F1112">
        <v>700.4</v>
      </c>
      <c r="G1112">
        <v>0.85</v>
      </c>
      <c r="H1112">
        <v>0.75</v>
      </c>
      <c r="I1112">
        <v>495.49</v>
      </c>
      <c r="J1112">
        <v>23.7</v>
      </c>
      <c r="K1112">
        <v>4.4000000000000004</v>
      </c>
      <c r="L1112">
        <v>0.96</v>
      </c>
    </row>
    <row r="1113" spans="1:12" x14ac:dyDescent="0.3">
      <c r="A1113" s="1">
        <v>45834</v>
      </c>
      <c r="B1113">
        <v>82882.92</v>
      </c>
      <c r="C1113">
        <v>83812.09</v>
      </c>
      <c r="D1113">
        <v>82816.259999999995</v>
      </c>
      <c r="E1113">
        <v>83755.87</v>
      </c>
      <c r="F1113">
        <v>1000.36</v>
      </c>
      <c r="G1113">
        <v>1.21</v>
      </c>
      <c r="H1113">
        <v>1.05</v>
      </c>
      <c r="I1113">
        <v>723.08</v>
      </c>
      <c r="J1113">
        <v>23.98</v>
      </c>
      <c r="K1113">
        <v>4.46</v>
      </c>
      <c r="L1113">
        <v>0.95</v>
      </c>
    </row>
    <row r="1114" spans="1:12" x14ac:dyDescent="0.3">
      <c r="A1114" s="1">
        <v>45835</v>
      </c>
      <c r="B1114">
        <v>83774.45</v>
      </c>
      <c r="C1114">
        <v>84089.35</v>
      </c>
      <c r="D1114">
        <v>83645.41</v>
      </c>
      <c r="E1114">
        <v>84058.9</v>
      </c>
      <c r="F1114">
        <v>303.02999999999997</v>
      </c>
      <c r="G1114">
        <v>0.36</v>
      </c>
      <c r="H1114">
        <v>0.86</v>
      </c>
      <c r="I1114">
        <v>679.44</v>
      </c>
      <c r="J1114">
        <v>24.07</v>
      </c>
      <c r="K1114">
        <v>4.47</v>
      </c>
      <c r="L1114">
        <v>1.1100000000000001</v>
      </c>
    </row>
    <row r="1115" spans="1:12" x14ac:dyDescent="0.3">
      <c r="A1115" s="1">
        <v>45838</v>
      </c>
      <c r="B1115">
        <v>84027.33</v>
      </c>
      <c r="C1115">
        <v>84099.53</v>
      </c>
      <c r="D1115">
        <v>83482.13</v>
      </c>
      <c r="E1115">
        <v>83606.460000000006</v>
      </c>
      <c r="F1115">
        <v>-452.44</v>
      </c>
      <c r="G1115">
        <v>-0.54</v>
      </c>
      <c r="H1115">
        <v>0.62</v>
      </c>
      <c r="I1115">
        <v>600.36</v>
      </c>
      <c r="J1115">
        <v>23.94</v>
      </c>
      <c r="K1115">
        <v>4.45</v>
      </c>
      <c r="L1115">
        <v>1.1200000000000001</v>
      </c>
    </row>
    <row r="1116" spans="1:12" x14ac:dyDescent="0.3">
      <c r="A1116" s="1">
        <v>45839</v>
      </c>
      <c r="B1116">
        <v>83685.66</v>
      </c>
      <c r="C1116">
        <v>83874.289999999994</v>
      </c>
      <c r="D1116">
        <v>83572.509999999995</v>
      </c>
      <c r="E1116">
        <v>83697.289999999994</v>
      </c>
      <c r="F1116">
        <v>90.83</v>
      </c>
      <c r="G1116">
        <v>0.11</v>
      </c>
      <c r="H1116">
        <v>1.91</v>
      </c>
      <c r="I1116">
        <v>2103.3000000000002</v>
      </c>
      <c r="J1116">
        <v>23.97</v>
      </c>
      <c r="K1116">
        <v>4.45</v>
      </c>
      <c r="L1116">
        <v>1.1200000000000001</v>
      </c>
    </row>
    <row r="1117" spans="1:12" x14ac:dyDescent="0.3">
      <c r="A1117" s="1">
        <v>45840</v>
      </c>
      <c r="B1117">
        <v>83790.720000000001</v>
      </c>
      <c r="C1117">
        <v>83935.01</v>
      </c>
      <c r="D1117">
        <v>83150.77</v>
      </c>
      <c r="E1117">
        <v>83409.69</v>
      </c>
      <c r="F1117">
        <v>-287.60000000000002</v>
      </c>
      <c r="G1117">
        <v>-0.34</v>
      </c>
      <c r="H1117">
        <v>1.06</v>
      </c>
      <c r="I1117">
        <v>894.32</v>
      </c>
      <c r="J1117">
        <v>23.88</v>
      </c>
      <c r="K1117">
        <v>4.4400000000000004</v>
      </c>
      <c r="L1117">
        <v>1.1200000000000001</v>
      </c>
    </row>
    <row r="1118" spans="1:12" x14ac:dyDescent="0.3">
      <c r="A1118" s="1">
        <v>45841</v>
      </c>
      <c r="B1118">
        <v>83540.740000000005</v>
      </c>
      <c r="C1118">
        <v>83850.09</v>
      </c>
      <c r="D1118">
        <v>83186.740000000005</v>
      </c>
      <c r="E1118">
        <v>83239.47</v>
      </c>
      <c r="F1118">
        <v>-170.22</v>
      </c>
      <c r="G1118">
        <v>-0.2</v>
      </c>
      <c r="H1118">
        <v>0.96</v>
      </c>
      <c r="I1118">
        <v>623.28</v>
      </c>
      <c r="J1118">
        <v>23.83</v>
      </c>
      <c r="K1118">
        <v>4.43</v>
      </c>
      <c r="L1118">
        <v>1.1200000000000001</v>
      </c>
    </row>
    <row r="1119" spans="1:12" x14ac:dyDescent="0.3">
      <c r="A1119" s="1">
        <v>45842</v>
      </c>
      <c r="B1119">
        <v>83306.81</v>
      </c>
      <c r="C1119">
        <v>83477.86</v>
      </c>
      <c r="D1119">
        <v>83015.83</v>
      </c>
      <c r="E1119">
        <v>83432.89</v>
      </c>
      <c r="F1119">
        <v>193.42</v>
      </c>
      <c r="G1119">
        <v>0.23</v>
      </c>
      <c r="H1119">
        <v>0.88</v>
      </c>
      <c r="I1119">
        <v>1026.96</v>
      </c>
      <c r="J1119">
        <v>23.89</v>
      </c>
      <c r="K1119">
        <v>4.4400000000000004</v>
      </c>
      <c r="L1119">
        <v>1.1599999999999999</v>
      </c>
    </row>
    <row r="1120" spans="1:12" x14ac:dyDescent="0.3">
      <c r="A1120" s="1">
        <v>45845</v>
      </c>
      <c r="B1120">
        <v>83398.080000000002</v>
      </c>
      <c r="C1120">
        <v>83516.820000000007</v>
      </c>
      <c r="D1120">
        <v>83262.23</v>
      </c>
      <c r="E1120">
        <v>83442.5</v>
      </c>
      <c r="F1120">
        <v>9.61</v>
      </c>
      <c r="G1120">
        <v>0.01</v>
      </c>
      <c r="H1120">
        <v>0.62</v>
      </c>
      <c r="I1120">
        <v>593.63</v>
      </c>
      <c r="J1120">
        <v>23.89</v>
      </c>
      <c r="K1120">
        <v>4.4400000000000004</v>
      </c>
      <c r="L1120">
        <v>1.1499999999999999</v>
      </c>
    </row>
    <row r="1121" spans="1:12" x14ac:dyDescent="0.3">
      <c r="A1121" s="1">
        <v>45846</v>
      </c>
      <c r="B1121">
        <v>83387.03</v>
      </c>
      <c r="C1121">
        <v>83812.31</v>
      </c>
      <c r="D1121">
        <v>83320.95</v>
      </c>
      <c r="E1121">
        <v>83712.509999999995</v>
      </c>
      <c r="F1121">
        <v>270.01</v>
      </c>
      <c r="G1121">
        <v>0.32</v>
      </c>
      <c r="H1121">
        <v>1.53</v>
      </c>
      <c r="I1121">
        <v>1876.26</v>
      </c>
      <c r="J1121">
        <v>23.97</v>
      </c>
      <c r="K1121">
        <v>4.46</v>
      </c>
      <c r="L1121">
        <v>1.1499999999999999</v>
      </c>
    </row>
    <row r="1122" spans="1:12" x14ac:dyDescent="0.3">
      <c r="A1122" s="1">
        <v>45847</v>
      </c>
      <c r="B1122">
        <v>83625.89</v>
      </c>
      <c r="C1122">
        <v>83781.36</v>
      </c>
      <c r="D1122">
        <v>83382.28</v>
      </c>
      <c r="E1122">
        <v>83536.08</v>
      </c>
      <c r="F1122">
        <v>-176.43</v>
      </c>
      <c r="G1122">
        <v>-0.21</v>
      </c>
      <c r="H1122">
        <v>0.78</v>
      </c>
      <c r="I1122">
        <v>789.41</v>
      </c>
      <c r="J1122">
        <v>23.92</v>
      </c>
      <c r="K1122">
        <v>4.45</v>
      </c>
      <c r="L1122">
        <v>1.1499999999999999</v>
      </c>
    </row>
    <row r="1123" spans="1:12" x14ac:dyDescent="0.3">
      <c r="A1123" s="1">
        <v>45848</v>
      </c>
      <c r="B1123">
        <v>83658.2</v>
      </c>
      <c r="C1123">
        <v>83742.28</v>
      </c>
      <c r="D1123">
        <v>83134.97</v>
      </c>
      <c r="E1123">
        <v>83190.28</v>
      </c>
      <c r="F1123">
        <v>-345.8</v>
      </c>
      <c r="G1123">
        <v>-0.41</v>
      </c>
      <c r="H1123">
        <v>0.75</v>
      </c>
      <c r="I1123">
        <v>773.91</v>
      </c>
      <c r="J1123">
        <v>23.82</v>
      </c>
      <c r="K1123">
        <v>4.43</v>
      </c>
      <c r="L1123">
        <v>1.1599999999999999</v>
      </c>
    </row>
    <row r="1124" spans="1:12" x14ac:dyDescent="0.3">
      <c r="A1124" s="1">
        <v>45849</v>
      </c>
      <c r="B1124">
        <v>82820.759999999995</v>
      </c>
      <c r="C1124">
        <v>83040.740000000005</v>
      </c>
      <c r="D1124">
        <v>82442.25</v>
      </c>
      <c r="E1124">
        <v>82500.47</v>
      </c>
      <c r="F1124">
        <v>-689.81</v>
      </c>
      <c r="G1124">
        <v>-0.83</v>
      </c>
      <c r="H1124">
        <v>1.07</v>
      </c>
      <c r="I1124">
        <v>898.97</v>
      </c>
      <c r="J1124">
        <v>23.62</v>
      </c>
      <c r="K1124">
        <v>4.3899999999999997</v>
      </c>
      <c r="L1124">
        <v>1.17</v>
      </c>
    </row>
    <row r="1125" spans="1:12" x14ac:dyDescent="0.3">
      <c r="A1125" s="1">
        <v>45852</v>
      </c>
      <c r="B1125">
        <v>82537.87</v>
      </c>
      <c r="C1125">
        <v>82537.87</v>
      </c>
      <c r="D1125">
        <v>82010.38</v>
      </c>
      <c r="E1125">
        <v>82253.460000000006</v>
      </c>
      <c r="F1125">
        <v>-247.01</v>
      </c>
      <c r="G1125">
        <v>-0.3</v>
      </c>
      <c r="H1125">
        <v>1.81</v>
      </c>
      <c r="I1125">
        <v>1685.4</v>
      </c>
      <c r="J1125">
        <v>23.55</v>
      </c>
      <c r="K1125">
        <v>4.38</v>
      </c>
      <c r="L1125">
        <v>1.1599999999999999</v>
      </c>
    </row>
    <row r="1126" spans="1:12" x14ac:dyDescent="0.3">
      <c r="A1126" s="1">
        <v>45853</v>
      </c>
      <c r="B1126">
        <v>82233.16</v>
      </c>
      <c r="C1126">
        <v>82743.62</v>
      </c>
      <c r="D1126">
        <v>82221.740000000005</v>
      </c>
      <c r="E1126">
        <v>82570.91</v>
      </c>
      <c r="F1126">
        <v>317.45</v>
      </c>
      <c r="G1126">
        <v>0.39</v>
      </c>
      <c r="H1126">
        <v>0.99</v>
      </c>
      <c r="I1126">
        <v>1121.95</v>
      </c>
      <c r="J1126">
        <v>23.64</v>
      </c>
      <c r="K1126">
        <v>4.3899999999999997</v>
      </c>
      <c r="L1126">
        <v>1.1599999999999999</v>
      </c>
    </row>
    <row r="1127" spans="1:12" x14ac:dyDescent="0.3">
      <c r="A1127" s="1">
        <v>45854</v>
      </c>
      <c r="B1127">
        <v>82534.66</v>
      </c>
      <c r="C1127">
        <v>82784.75</v>
      </c>
      <c r="D1127">
        <v>82342.94</v>
      </c>
      <c r="E1127">
        <v>82634.48</v>
      </c>
      <c r="F1127">
        <v>63.57</v>
      </c>
      <c r="G1127">
        <v>0.08</v>
      </c>
      <c r="H1127">
        <v>0.76</v>
      </c>
      <c r="I1127">
        <v>713.55</v>
      </c>
      <c r="J1127">
        <v>23.66</v>
      </c>
      <c r="K1127">
        <v>4.4000000000000004</v>
      </c>
      <c r="L1127">
        <v>1.17</v>
      </c>
    </row>
    <row r="1128" spans="1:12" x14ac:dyDescent="0.3">
      <c r="A1128" s="1">
        <v>45855</v>
      </c>
      <c r="B1128">
        <v>82753.53</v>
      </c>
      <c r="C1128">
        <v>82757.09</v>
      </c>
      <c r="D1128">
        <v>82219.27</v>
      </c>
      <c r="E1128">
        <v>82259.240000000005</v>
      </c>
      <c r="F1128">
        <v>-375.24</v>
      </c>
      <c r="G1128">
        <v>-0.45</v>
      </c>
      <c r="H1128">
        <v>0.88</v>
      </c>
      <c r="I1128">
        <v>990.06</v>
      </c>
      <c r="J1128">
        <v>23.55</v>
      </c>
      <c r="K1128">
        <v>4.38</v>
      </c>
      <c r="L1128">
        <v>1.17</v>
      </c>
    </row>
    <row r="1129" spans="1:12" x14ac:dyDescent="0.3">
      <c r="A1129" s="1">
        <v>45856</v>
      </c>
      <c r="B1129">
        <v>82193.62</v>
      </c>
      <c r="C1129">
        <v>82334.75</v>
      </c>
      <c r="D1129">
        <v>81608.13</v>
      </c>
      <c r="E1129">
        <v>81757.73</v>
      </c>
      <c r="F1129">
        <v>-501.51</v>
      </c>
      <c r="G1129">
        <v>-0.61</v>
      </c>
      <c r="H1129">
        <v>0.83</v>
      </c>
      <c r="I1129">
        <v>796.47</v>
      </c>
      <c r="J1129">
        <v>23.41</v>
      </c>
      <c r="K1129">
        <v>4.3499999999999996</v>
      </c>
      <c r="L1129">
        <v>1.24</v>
      </c>
    </row>
    <row r="1130" spans="1:12" x14ac:dyDescent="0.3">
      <c r="A1130" s="1">
        <v>45859</v>
      </c>
      <c r="B1130">
        <v>81918.53</v>
      </c>
      <c r="C1130">
        <v>82274.03</v>
      </c>
      <c r="D1130">
        <v>81518.66</v>
      </c>
      <c r="E1130">
        <v>82200.34</v>
      </c>
      <c r="F1130">
        <v>442.61</v>
      </c>
      <c r="G1130">
        <v>0.54</v>
      </c>
      <c r="H1130">
        <v>1.53</v>
      </c>
      <c r="I1130">
        <v>1116.0999999999999</v>
      </c>
      <c r="J1130">
        <v>23.54</v>
      </c>
      <c r="K1130">
        <v>4.37</v>
      </c>
      <c r="L1130">
        <v>1.2</v>
      </c>
    </row>
    <row r="1131" spans="1:12" x14ac:dyDescent="0.3">
      <c r="A1131" s="1">
        <v>45860</v>
      </c>
      <c r="B1131">
        <v>82527.429999999993</v>
      </c>
      <c r="C1131">
        <v>82538.17</v>
      </c>
      <c r="D1131">
        <v>82110.63</v>
      </c>
      <c r="E1131">
        <v>82186.81</v>
      </c>
      <c r="F1131">
        <v>-13.53</v>
      </c>
      <c r="G1131">
        <v>-0.02</v>
      </c>
      <c r="H1131">
        <v>2.39</v>
      </c>
      <c r="I1131">
        <v>1868.86</v>
      </c>
      <c r="J1131">
        <v>23.53</v>
      </c>
      <c r="K1131">
        <v>4.37</v>
      </c>
      <c r="L1131">
        <v>1.2</v>
      </c>
    </row>
    <row r="1132" spans="1:12" x14ac:dyDescent="0.3">
      <c r="A1132" s="1">
        <v>45861</v>
      </c>
      <c r="B1132">
        <v>82451.87</v>
      </c>
      <c r="C1132">
        <v>82786.429999999993</v>
      </c>
      <c r="D1132">
        <v>82279.73</v>
      </c>
      <c r="E1132">
        <v>82726.64</v>
      </c>
      <c r="F1132">
        <v>539.83000000000004</v>
      </c>
      <c r="G1132">
        <v>0.66</v>
      </c>
      <c r="H1132">
        <v>1.01</v>
      </c>
      <c r="I1132">
        <v>861.25</v>
      </c>
      <c r="J1132">
        <v>23.69</v>
      </c>
      <c r="K1132">
        <v>4.4000000000000004</v>
      </c>
      <c r="L1132">
        <v>1.2</v>
      </c>
    </row>
    <row r="1133" spans="1:12" x14ac:dyDescent="0.3">
      <c r="A1133" s="1">
        <v>45862</v>
      </c>
      <c r="B1133">
        <v>82779.95</v>
      </c>
      <c r="C1133">
        <v>82784.240000000005</v>
      </c>
      <c r="D1133">
        <v>82047.22</v>
      </c>
      <c r="E1133">
        <v>82184.17</v>
      </c>
      <c r="F1133">
        <v>-542.47</v>
      </c>
      <c r="G1133">
        <v>-0.66</v>
      </c>
      <c r="H1133">
        <v>1.4</v>
      </c>
      <c r="I1133">
        <v>946.99</v>
      </c>
      <c r="J1133">
        <v>23.53</v>
      </c>
      <c r="K1133">
        <v>4.37</v>
      </c>
      <c r="L1133">
        <v>1.19</v>
      </c>
    </row>
    <row r="1134" spans="1:12" x14ac:dyDescent="0.3">
      <c r="A1134" s="1">
        <v>45863</v>
      </c>
      <c r="B1134">
        <v>82065.759999999995</v>
      </c>
      <c r="C1134">
        <v>82069.509999999995</v>
      </c>
      <c r="D1134">
        <v>81397.69</v>
      </c>
      <c r="E1134">
        <v>81463.09</v>
      </c>
      <c r="F1134">
        <v>-721.08</v>
      </c>
      <c r="G1134">
        <v>-0.88</v>
      </c>
      <c r="H1134">
        <v>1</v>
      </c>
      <c r="I1134">
        <v>909.03</v>
      </c>
      <c r="J1134">
        <v>23.32</v>
      </c>
      <c r="K1134">
        <v>4.33</v>
      </c>
      <c r="L1134">
        <v>1.21</v>
      </c>
    </row>
    <row r="1135" spans="1:12" x14ac:dyDescent="0.3">
      <c r="A1135" s="1">
        <v>45866</v>
      </c>
      <c r="B1135">
        <v>81299.97</v>
      </c>
      <c r="C1135">
        <v>81557.41</v>
      </c>
      <c r="D1135">
        <v>80776.44</v>
      </c>
      <c r="E1135">
        <v>80891.02</v>
      </c>
      <c r="F1135">
        <v>-572.07000000000005</v>
      </c>
      <c r="G1135">
        <v>-0.7</v>
      </c>
      <c r="H1135">
        <v>1.0900000000000001</v>
      </c>
      <c r="I1135">
        <v>986.37</v>
      </c>
      <c r="J1135">
        <v>23.15</v>
      </c>
      <c r="K1135">
        <v>4.3</v>
      </c>
      <c r="L1135">
        <v>1.22</v>
      </c>
    </row>
    <row r="1136" spans="1:12" x14ac:dyDescent="0.3">
      <c r="A1136" s="1">
        <v>45867</v>
      </c>
      <c r="B1136">
        <v>80620.25</v>
      </c>
      <c r="C1136">
        <v>81429.88</v>
      </c>
      <c r="D1136">
        <v>80575.45</v>
      </c>
      <c r="E1136">
        <v>81337.95</v>
      </c>
      <c r="F1136">
        <v>446.93</v>
      </c>
      <c r="G1136">
        <v>0.55000000000000004</v>
      </c>
      <c r="H1136">
        <v>1.23</v>
      </c>
      <c r="I1136">
        <v>1497.46</v>
      </c>
      <c r="J1136">
        <v>23.28</v>
      </c>
      <c r="K1136">
        <v>4.33</v>
      </c>
      <c r="L1136">
        <v>1.21</v>
      </c>
    </row>
    <row r="1137" spans="1:12" x14ac:dyDescent="0.3">
      <c r="A1137" s="1">
        <v>45868</v>
      </c>
      <c r="B1137">
        <v>81594.52</v>
      </c>
      <c r="C1137">
        <v>81618.960000000006</v>
      </c>
      <c r="D1137">
        <v>81187.06</v>
      </c>
      <c r="E1137">
        <v>81481.86</v>
      </c>
      <c r="F1137">
        <v>143.91</v>
      </c>
      <c r="G1137">
        <v>0.18</v>
      </c>
      <c r="H1137">
        <v>0.72</v>
      </c>
      <c r="I1137">
        <v>682.23</v>
      </c>
      <c r="J1137">
        <v>23.32</v>
      </c>
      <c r="K1137">
        <v>4.33</v>
      </c>
      <c r="L1137">
        <v>1.21</v>
      </c>
    </row>
    <row r="1138" spans="1:12" x14ac:dyDescent="0.3">
      <c r="A1138" s="1">
        <v>45869</v>
      </c>
      <c r="B1138">
        <v>80695.5</v>
      </c>
      <c r="C1138">
        <v>81803.27</v>
      </c>
      <c r="D1138">
        <v>80695.149999999994</v>
      </c>
      <c r="E1138">
        <v>81185.58</v>
      </c>
      <c r="F1138">
        <v>-296.27999999999997</v>
      </c>
      <c r="G1138">
        <v>-0.36</v>
      </c>
      <c r="H1138">
        <v>0.97</v>
      </c>
      <c r="I1138">
        <v>901.11</v>
      </c>
      <c r="J1138">
        <v>23.26</v>
      </c>
      <c r="K1138">
        <v>4.32</v>
      </c>
      <c r="L1138">
        <v>1.21</v>
      </c>
    </row>
    <row r="1139" spans="1:12" x14ac:dyDescent="0.3">
      <c r="A1139" s="1">
        <v>45870</v>
      </c>
      <c r="B1139">
        <v>81074.41</v>
      </c>
      <c r="C1139">
        <v>81317.509999999995</v>
      </c>
      <c r="D1139">
        <v>80495.570000000007</v>
      </c>
      <c r="E1139">
        <v>80599.91</v>
      </c>
      <c r="F1139">
        <v>-585.66999999999996</v>
      </c>
      <c r="G1139">
        <v>-0.72</v>
      </c>
      <c r="H1139">
        <v>1.47</v>
      </c>
      <c r="I1139">
        <v>1442.04</v>
      </c>
      <c r="J1139">
        <v>22.69</v>
      </c>
      <c r="K1139">
        <v>4.29</v>
      </c>
      <c r="L1139">
        <v>1.23</v>
      </c>
    </row>
    <row r="1140" spans="1:12" x14ac:dyDescent="0.3">
      <c r="A1140" s="1">
        <v>45873</v>
      </c>
      <c r="B1140">
        <v>80765.83</v>
      </c>
      <c r="C1140">
        <v>81093.19</v>
      </c>
      <c r="D1140">
        <v>80500.509999999995</v>
      </c>
      <c r="E1140">
        <v>81018.720000000001</v>
      </c>
      <c r="F1140">
        <v>418.81</v>
      </c>
      <c r="G1140">
        <v>0.52</v>
      </c>
      <c r="H1140">
        <v>0.99</v>
      </c>
      <c r="I1140">
        <v>895.37</v>
      </c>
      <c r="J1140">
        <v>22.78</v>
      </c>
      <c r="K1140">
        <v>4.3099999999999996</v>
      </c>
      <c r="L1140">
        <v>1.21</v>
      </c>
    </row>
    <row r="1141" spans="1:12" x14ac:dyDescent="0.3">
      <c r="A1141" s="1">
        <v>45874</v>
      </c>
      <c r="B1141">
        <v>80946.429999999993</v>
      </c>
      <c r="C1141">
        <v>81010.490000000005</v>
      </c>
      <c r="D1141">
        <v>80554.399999999994</v>
      </c>
      <c r="E1141">
        <v>80710.25</v>
      </c>
      <c r="F1141">
        <v>-308.47000000000003</v>
      </c>
      <c r="G1141">
        <v>-0.38</v>
      </c>
      <c r="H1141">
        <v>1.0900000000000001</v>
      </c>
      <c r="I1141">
        <v>1154.33</v>
      </c>
      <c r="J1141">
        <v>22.69</v>
      </c>
      <c r="K1141">
        <v>4.29</v>
      </c>
      <c r="L1141">
        <v>1.21</v>
      </c>
    </row>
    <row r="1142" spans="1:12" x14ac:dyDescent="0.3">
      <c r="A1142" s="1">
        <v>45875</v>
      </c>
      <c r="B1142">
        <v>80694.98</v>
      </c>
      <c r="C1142">
        <v>80834.429999999993</v>
      </c>
      <c r="D1142">
        <v>80448.820000000007</v>
      </c>
      <c r="E1142">
        <v>80543.990000000005</v>
      </c>
      <c r="F1142">
        <v>-166.26</v>
      </c>
      <c r="G1142">
        <v>-0.21</v>
      </c>
      <c r="H1142">
        <v>0.53</v>
      </c>
      <c r="I1142">
        <v>511.6</v>
      </c>
      <c r="J1142">
        <v>22.55</v>
      </c>
      <c r="K1142">
        <v>4.28</v>
      </c>
      <c r="L1142">
        <v>1.22</v>
      </c>
    </row>
    <row r="1143" spans="1:12" x14ac:dyDescent="0.3">
      <c r="A1143" s="1">
        <v>45876</v>
      </c>
      <c r="B1143">
        <v>80262.98</v>
      </c>
      <c r="C1143">
        <v>80737.55</v>
      </c>
      <c r="D1143">
        <v>79811.289999999994</v>
      </c>
      <c r="E1143">
        <v>80623.259999999995</v>
      </c>
      <c r="F1143">
        <v>79.27</v>
      </c>
      <c r="G1143">
        <v>0.1</v>
      </c>
      <c r="H1143">
        <v>3.75</v>
      </c>
      <c r="I1143">
        <v>1637.75</v>
      </c>
      <c r="J1143">
        <v>22.57</v>
      </c>
      <c r="K1143">
        <v>4.29</v>
      </c>
      <c r="L1143">
        <v>1.21</v>
      </c>
    </row>
    <row r="1144" spans="1:12" x14ac:dyDescent="0.3">
      <c r="A1144" s="1">
        <v>45877</v>
      </c>
      <c r="B1144">
        <v>80478.009999999995</v>
      </c>
      <c r="C1144">
        <v>80550.399999999994</v>
      </c>
      <c r="D1144">
        <v>79775.839999999997</v>
      </c>
      <c r="E1144">
        <v>79857.789999999994</v>
      </c>
      <c r="F1144">
        <v>-765.47</v>
      </c>
      <c r="G1144">
        <v>-0.95</v>
      </c>
      <c r="H1144">
        <v>2.3199999999999998</v>
      </c>
      <c r="I1144">
        <v>3419.42</v>
      </c>
      <c r="J1144">
        <v>22.35</v>
      </c>
      <c r="K1144">
        <v>4.25</v>
      </c>
      <c r="L1144">
        <v>1.19</v>
      </c>
    </row>
    <row r="1145" spans="1:12" x14ac:dyDescent="0.3">
      <c r="A1145" s="1">
        <v>45880</v>
      </c>
      <c r="B1145">
        <v>79885.36</v>
      </c>
      <c r="C1145">
        <v>80636.05</v>
      </c>
      <c r="D1145">
        <v>79772.460000000006</v>
      </c>
      <c r="E1145">
        <v>80604.08</v>
      </c>
      <c r="F1145">
        <v>746.29</v>
      </c>
      <c r="G1145">
        <v>0.93</v>
      </c>
      <c r="H1145">
        <v>0.86</v>
      </c>
      <c r="I1145">
        <v>745.36</v>
      </c>
      <c r="J1145">
        <v>22.61</v>
      </c>
      <c r="K1145">
        <v>4.28</v>
      </c>
      <c r="L1145">
        <v>1.18</v>
      </c>
    </row>
    <row r="1146" spans="1:12" x14ac:dyDescent="0.3">
      <c r="A1146" s="1">
        <v>45881</v>
      </c>
      <c r="B1146">
        <v>80508.509999999995</v>
      </c>
      <c r="C1146">
        <v>80997.67</v>
      </c>
      <c r="D1146">
        <v>80164.36</v>
      </c>
      <c r="E1146">
        <v>80235.59</v>
      </c>
      <c r="F1146">
        <v>-368.49</v>
      </c>
      <c r="G1146">
        <v>-0.46</v>
      </c>
      <c r="H1146">
        <v>1.03</v>
      </c>
      <c r="I1146">
        <v>836.13</v>
      </c>
      <c r="J1146">
        <v>22.51</v>
      </c>
      <c r="K1146">
        <v>4.2699999999999996</v>
      </c>
      <c r="L1146">
        <v>1.26</v>
      </c>
    </row>
    <row r="1147" spans="1:12" x14ac:dyDescent="0.3">
      <c r="A1147" s="1">
        <v>45882</v>
      </c>
      <c r="B1147">
        <v>80492.17</v>
      </c>
      <c r="C1147">
        <v>80683.740000000005</v>
      </c>
      <c r="D1147">
        <v>80319</v>
      </c>
      <c r="E1147">
        <v>80539.91</v>
      </c>
      <c r="F1147">
        <v>304.32</v>
      </c>
      <c r="G1147">
        <v>0.38</v>
      </c>
      <c r="H1147">
        <v>1.23</v>
      </c>
      <c r="I1147">
        <v>1217.05</v>
      </c>
      <c r="J1147">
        <v>22.59</v>
      </c>
      <c r="K1147">
        <v>4.28</v>
      </c>
      <c r="L1147">
        <v>1.19</v>
      </c>
    </row>
    <row r="1148" spans="1:12" x14ac:dyDescent="0.3">
      <c r="A1148" s="1">
        <v>45883</v>
      </c>
      <c r="B1148">
        <v>80625.279999999999</v>
      </c>
      <c r="C1148">
        <v>80751.179999999993</v>
      </c>
      <c r="D1148">
        <v>80489.86</v>
      </c>
      <c r="E1148">
        <v>80597.66</v>
      </c>
      <c r="F1148">
        <v>57.75</v>
      </c>
      <c r="G1148">
        <v>7.0000000000000007E-2</v>
      </c>
      <c r="H1148">
        <v>0.72</v>
      </c>
      <c r="I1148">
        <v>654.16999999999996</v>
      </c>
      <c r="J1148">
        <v>22.61</v>
      </c>
      <c r="K1148">
        <v>4.28</v>
      </c>
      <c r="L1148">
        <v>1.23</v>
      </c>
    </row>
    <row r="1149" spans="1:12" x14ac:dyDescent="0.3">
      <c r="A1149" s="1">
        <v>45887</v>
      </c>
      <c r="B1149">
        <v>81315.789999999994</v>
      </c>
      <c r="C1149">
        <v>81765.77</v>
      </c>
      <c r="D1149">
        <v>81202.42</v>
      </c>
      <c r="E1149">
        <v>81273.75</v>
      </c>
      <c r="F1149">
        <v>676.09</v>
      </c>
      <c r="G1149">
        <v>0.84</v>
      </c>
      <c r="H1149">
        <v>1.93</v>
      </c>
      <c r="I1149">
        <v>2294.14</v>
      </c>
      <c r="J1149">
        <v>22.8</v>
      </c>
      <c r="K1149">
        <v>4.32</v>
      </c>
      <c r="L1149">
        <v>1.2</v>
      </c>
    </row>
    <row r="1150" spans="1:12" x14ac:dyDescent="0.3">
      <c r="A1150" s="1">
        <v>45888</v>
      </c>
      <c r="B1150">
        <v>81319.11</v>
      </c>
      <c r="C1150">
        <v>81755.88</v>
      </c>
      <c r="D1150">
        <v>81315.44</v>
      </c>
      <c r="E1150">
        <v>81644.39</v>
      </c>
      <c r="F1150">
        <v>370.64</v>
      </c>
      <c r="G1150">
        <v>0.46</v>
      </c>
      <c r="H1150">
        <v>1.0900000000000001</v>
      </c>
      <c r="I1150">
        <v>1164.5</v>
      </c>
      <c r="J1150">
        <v>22.9</v>
      </c>
      <c r="K1150">
        <v>4.34</v>
      </c>
      <c r="L1150">
        <v>1.2</v>
      </c>
    </row>
    <row r="1151" spans="1:12" x14ac:dyDescent="0.3">
      <c r="A1151" s="1">
        <v>45889</v>
      </c>
      <c r="B1151">
        <v>81671.47</v>
      </c>
      <c r="C1151">
        <v>81985.62</v>
      </c>
      <c r="D1151">
        <v>81494.5</v>
      </c>
      <c r="E1151">
        <v>81857.84</v>
      </c>
      <c r="F1151">
        <v>213.45</v>
      </c>
      <c r="G1151">
        <v>0.26</v>
      </c>
      <c r="H1151">
        <v>0.94</v>
      </c>
      <c r="I1151">
        <v>743.27</v>
      </c>
      <c r="J1151">
        <v>22.96</v>
      </c>
      <c r="K1151">
        <v>4.3499999999999996</v>
      </c>
      <c r="L1151">
        <v>1.1599999999999999</v>
      </c>
    </row>
    <row r="1152" spans="1:12" x14ac:dyDescent="0.3">
      <c r="A1152" s="1">
        <v>45890</v>
      </c>
      <c r="B1152">
        <v>82220.460000000006</v>
      </c>
      <c r="C1152">
        <v>82231.17</v>
      </c>
      <c r="D1152">
        <v>81921.22</v>
      </c>
      <c r="E1152">
        <v>82000.710000000006</v>
      </c>
      <c r="F1152">
        <v>142.87</v>
      </c>
      <c r="G1152">
        <v>0.17</v>
      </c>
      <c r="H1152">
        <v>1.01</v>
      </c>
      <c r="I1152">
        <v>787.17</v>
      </c>
      <c r="J1152">
        <v>23</v>
      </c>
      <c r="K1152">
        <v>4.3600000000000003</v>
      </c>
      <c r="L1152">
        <v>1.1599999999999999</v>
      </c>
    </row>
    <row r="1153" spans="1:12" x14ac:dyDescent="0.3">
      <c r="A1153" s="1">
        <v>45891</v>
      </c>
      <c r="B1153">
        <v>81951.48</v>
      </c>
      <c r="C1153">
        <v>81993.61</v>
      </c>
      <c r="D1153">
        <v>81291.77</v>
      </c>
      <c r="E1153">
        <v>81306.850000000006</v>
      </c>
      <c r="F1153">
        <v>-693.86</v>
      </c>
      <c r="G1153">
        <v>-0.85</v>
      </c>
      <c r="H1153">
        <v>0.67</v>
      </c>
      <c r="I1153">
        <v>627.44000000000005</v>
      </c>
      <c r="J1153">
        <v>22.81</v>
      </c>
      <c r="K1153">
        <v>4.32</v>
      </c>
      <c r="L1153">
        <v>1.17</v>
      </c>
    </row>
    <row r="1154" spans="1:12" x14ac:dyDescent="0.3">
      <c r="A1154" s="1">
        <v>45894</v>
      </c>
      <c r="B1154">
        <v>81501.06</v>
      </c>
      <c r="C1154">
        <v>81799.06</v>
      </c>
      <c r="D1154">
        <v>81364.86</v>
      </c>
      <c r="E1154">
        <v>81635.91</v>
      </c>
      <c r="F1154">
        <v>329.06</v>
      </c>
      <c r="G1154">
        <v>0.4</v>
      </c>
      <c r="H1154">
        <v>0.97</v>
      </c>
      <c r="I1154">
        <v>1159.93</v>
      </c>
      <c r="J1154">
        <v>22.9</v>
      </c>
      <c r="K1154">
        <v>4.34</v>
      </c>
      <c r="L1154">
        <v>1.17</v>
      </c>
    </row>
    <row r="1155" spans="1:12" x14ac:dyDescent="0.3">
      <c r="A1155" s="1">
        <v>45895</v>
      </c>
      <c r="B1155">
        <v>81377.39</v>
      </c>
      <c r="C1155">
        <v>81450.28</v>
      </c>
      <c r="D1155">
        <v>80685.98</v>
      </c>
      <c r="E1155">
        <v>80786.539999999994</v>
      </c>
      <c r="F1155">
        <v>-849.37</v>
      </c>
      <c r="G1155">
        <v>-1.04</v>
      </c>
      <c r="H1155">
        <v>2.0499999999999998</v>
      </c>
      <c r="I1155">
        <v>2154.92</v>
      </c>
      <c r="J1155">
        <v>22.66</v>
      </c>
      <c r="K1155">
        <v>4.29</v>
      </c>
      <c r="L1155">
        <v>1.18</v>
      </c>
    </row>
    <row r="1156" spans="1:12" x14ac:dyDescent="0.3">
      <c r="A1156" s="1">
        <v>45897</v>
      </c>
      <c r="B1156">
        <v>80754.66</v>
      </c>
      <c r="C1156">
        <v>80775.710000000006</v>
      </c>
      <c r="D1156">
        <v>80013.02</v>
      </c>
      <c r="E1156">
        <v>80080.570000000007</v>
      </c>
      <c r="F1156">
        <v>-705.97</v>
      </c>
      <c r="G1156">
        <v>-0.87</v>
      </c>
      <c r="H1156">
        <v>0.78</v>
      </c>
      <c r="I1156">
        <v>622.33000000000004</v>
      </c>
      <c r="J1156">
        <v>22.46</v>
      </c>
      <c r="K1156">
        <v>4.26</v>
      </c>
      <c r="L1156">
        <v>1.19</v>
      </c>
    </row>
    <row r="1157" spans="1:12" x14ac:dyDescent="0.3">
      <c r="A1157" s="1">
        <v>45898</v>
      </c>
      <c r="B1157">
        <v>80010.83</v>
      </c>
      <c r="C1157">
        <v>80310.740000000005</v>
      </c>
      <c r="D1157">
        <v>79741.759999999995</v>
      </c>
      <c r="E1157">
        <v>79809.649999999994</v>
      </c>
      <c r="F1157">
        <v>-270.92</v>
      </c>
      <c r="G1157">
        <v>-0.34</v>
      </c>
      <c r="H1157">
        <v>1.25</v>
      </c>
      <c r="I1157">
        <v>1037.21</v>
      </c>
      <c r="J1157">
        <v>22.27</v>
      </c>
      <c r="K1157">
        <v>4.24</v>
      </c>
      <c r="L1157">
        <v>1.19</v>
      </c>
    </row>
    <row r="1158" spans="1:12" x14ac:dyDescent="0.3">
      <c r="A1158" s="1">
        <v>45901</v>
      </c>
      <c r="B1158">
        <v>79828.990000000005</v>
      </c>
      <c r="C1158">
        <v>80406.84</v>
      </c>
      <c r="D1158">
        <v>79818.38</v>
      </c>
      <c r="E1158">
        <v>80364.490000000005</v>
      </c>
      <c r="F1158">
        <v>554.84</v>
      </c>
      <c r="G1158">
        <v>0.7</v>
      </c>
      <c r="H1158">
        <v>0.6</v>
      </c>
      <c r="I1158">
        <v>476.69</v>
      </c>
      <c r="J1158">
        <v>22.69</v>
      </c>
      <c r="K1158">
        <v>4.2699999999999996</v>
      </c>
      <c r="L1158">
        <v>1.18</v>
      </c>
    </row>
    <row r="1159" spans="1:12" x14ac:dyDescent="0.3">
      <c r="A1159" s="1">
        <v>45902</v>
      </c>
      <c r="B1159">
        <v>80520.09</v>
      </c>
      <c r="C1159">
        <v>80761.14</v>
      </c>
      <c r="D1159">
        <v>80008.5</v>
      </c>
      <c r="E1159">
        <v>80157.88</v>
      </c>
      <c r="F1159">
        <v>-206.61</v>
      </c>
      <c r="G1159">
        <v>-0.26</v>
      </c>
      <c r="H1159">
        <v>0.82</v>
      </c>
      <c r="I1159">
        <v>532.37</v>
      </c>
      <c r="J1159">
        <v>22.22</v>
      </c>
      <c r="K1159">
        <v>4.26</v>
      </c>
      <c r="L1159">
        <v>1.19</v>
      </c>
    </row>
    <row r="1160" spans="1:12" x14ac:dyDescent="0.3">
      <c r="A1160" s="1">
        <v>45903</v>
      </c>
      <c r="B1160">
        <v>80295.990000000005</v>
      </c>
      <c r="C1160">
        <v>80671.28</v>
      </c>
      <c r="D1160">
        <v>80004.600000000006</v>
      </c>
      <c r="E1160">
        <v>80567.710000000006</v>
      </c>
      <c r="F1160">
        <v>409.83</v>
      </c>
      <c r="G1160">
        <v>0.51</v>
      </c>
      <c r="H1160">
        <v>1.71</v>
      </c>
      <c r="I1160">
        <v>848.08</v>
      </c>
      <c r="J1160">
        <v>22.33</v>
      </c>
      <c r="K1160">
        <v>4.28</v>
      </c>
      <c r="L1160">
        <v>1.18</v>
      </c>
    </row>
    <row r="1161" spans="1:12" x14ac:dyDescent="0.3">
      <c r="A1161" s="1">
        <v>45904</v>
      </c>
      <c r="B1161">
        <v>81456.67</v>
      </c>
      <c r="C1161">
        <v>81456.67</v>
      </c>
      <c r="D1161">
        <v>80608.94</v>
      </c>
      <c r="E1161">
        <v>80718.009999999995</v>
      </c>
      <c r="F1161">
        <v>150.30000000000001</v>
      </c>
      <c r="G1161">
        <v>0.19</v>
      </c>
      <c r="H1161">
        <v>1.7</v>
      </c>
      <c r="I1161">
        <v>1760.68</v>
      </c>
      <c r="J1161">
        <v>22.76</v>
      </c>
      <c r="K1161">
        <v>4.29</v>
      </c>
      <c r="L1161">
        <v>1.2</v>
      </c>
    </row>
    <row r="1162" spans="1:12" x14ac:dyDescent="0.3">
      <c r="A1162" s="1">
        <v>45905</v>
      </c>
      <c r="B1162">
        <v>81012.42</v>
      </c>
      <c r="C1162">
        <v>81036.56</v>
      </c>
      <c r="D1162">
        <v>80321.19</v>
      </c>
      <c r="E1162">
        <v>80710.759999999995</v>
      </c>
      <c r="F1162">
        <v>-7.25</v>
      </c>
      <c r="G1162">
        <v>-0.01</v>
      </c>
      <c r="H1162">
        <v>0.82</v>
      </c>
      <c r="I1162">
        <v>724.29</v>
      </c>
      <c r="J1162">
        <v>22.34</v>
      </c>
      <c r="K1162">
        <v>4.29</v>
      </c>
      <c r="L1162">
        <v>1.2</v>
      </c>
    </row>
    <row r="1163" spans="1:12" x14ac:dyDescent="0.3">
      <c r="A1163" s="1">
        <v>45908</v>
      </c>
      <c r="B1163">
        <v>80904.399999999994</v>
      </c>
      <c r="C1163">
        <v>81171.38</v>
      </c>
      <c r="D1163">
        <v>80733.070000000007</v>
      </c>
      <c r="E1163">
        <v>80787.3</v>
      </c>
      <c r="F1163">
        <v>76.540000000000006</v>
      </c>
      <c r="G1163">
        <v>0.09</v>
      </c>
      <c r="H1163">
        <v>0.87</v>
      </c>
      <c r="I1163">
        <v>725.52</v>
      </c>
      <c r="J1163">
        <v>22.39</v>
      </c>
      <c r="K1163">
        <v>4.29</v>
      </c>
      <c r="L1163">
        <v>1.19</v>
      </c>
    </row>
    <row r="1164" spans="1:12" x14ac:dyDescent="0.3">
      <c r="A1164" s="1">
        <v>45909</v>
      </c>
      <c r="B1164">
        <v>81129.69</v>
      </c>
      <c r="C1164">
        <v>81181.37</v>
      </c>
      <c r="D1164">
        <v>80927.97</v>
      </c>
      <c r="E1164">
        <v>81101.320000000007</v>
      </c>
      <c r="F1164">
        <v>314.02</v>
      </c>
      <c r="G1164">
        <v>0.39</v>
      </c>
      <c r="H1164">
        <v>0.63</v>
      </c>
      <c r="I1164">
        <v>653.96</v>
      </c>
      <c r="J1164">
        <v>22.44</v>
      </c>
      <c r="K1164">
        <v>4.3099999999999996</v>
      </c>
      <c r="L1164">
        <v>1.19</v>
      </c>
    </row>
    <row r="1165" spans="1:12" x14ac:dyDescent="0.3">
      <c r="A1165" s="1">
        <v>45910</v>
      </c>
      <c r="B1165">
        <v>81504.36</v>
      </c>
      <c r="C1165">
        <v>81643.88</v>
      </c>
      <c r="D1165">
        <v>81235.42</v>
      </c>
      <c r="E1165">
        <v>81425.149999999994</v>
      </c>
      <c r="F1165">
        <v>323.83</v>
      </c>
      <c r="G1165">
        <v>0.4</v>
      </c>
      <c r="H1165">
        <v>1.18</v>
      </c>
      <c r="I1165">
        <v>1177.05</v>
      </c>
      <c r="J1165">
        <v>22.53</v>
      </c>
      <c r="K1165">
        <v>4.33</v>
      </c>
      <c r="L1165">
        <v>1.19</v>
      </c>
    </row>
    <row r="1166" spans="1:12" x14ac:dyDescent="0.3">
      <c r="A1166" s="1">
        <v>45911</v>
      </c>
      <c r="B1166">
        <v>81217.3</v>
      </c>
      <c r="C1166">
        <v>81642.22</v>
      </c>
      <c r="D1166">
        <v>81216.91</v>
      </c>
      <c r="E1166">
        <v>81548.73</v>
      </c>
      <c r="F1166">
        <v>123.58</v>
      </c>
      <c r="G1166">
        <v>0.15</v>
      </c>
      <c r="H1166">
        <v>1.35</v>
      </c>
      <c r="I1166">
        <v>1645.48</v>
      </c>
      <c r="J1166">
        <v>22.57</v>
      </c>
      <c r="K1166">
        <v>4.34</v>
      </c>
      <c r="L1166">
        <v>1.18</v>
      </c>
    </row>
    <row r="1167" spans="1:12" x14ac:dyDescent="0.3">
      <c r="A1167" s="1">
        <v>45912</v>
      </c>
      <c r="B1167">
        <v>81758.95</v>
      </c>
      <c r="C1167">
        <v>81992.850000000006</v>
      </c>
      <c r="D1167">
        <v>81641.38</v>
      </c>
      <c r="E1167">
        <v>81904.7</v>
      </c>
      <c r="F1167">
        <v>355.97</v>
      </c>
      <c r="G1167">
        <v>0.44</v>
      </c>
      <c r="H1167">
        <v>1.1100000000000001</v>
      </c>
      <c r="I1167">
        <v>829.54</v>
      </c>
      <c r="J1167">
        <v>22.67</v>
      </c>
      <c r="K1167">
        <v>4.3499999999999996</v>
      </c>
      <c r="L1167">
        <v>1.18</v>
      </c>
    </row>
    <row r="1168" spans="1:12" x14ac:dyDescent="0.3">
      <c r="A1168" s="1">
        <v>45915</v>
      </c>
      <c r="B1168">
        <v>81925.509999999995</v>
      </c>
      <c r="C1168">
        <v>81998.509999999995</v>
      </c>
      <c r="D1168">
        <v>81744.7</v>
      </c>
      <c r="E1168">
        <v>81785.740000000005</v>
      </c>
      <c r="F1168">
        <v>-118.96</v>
      </c>
      <c r="G1168">
        <v>-0.15</v>
      </c>
      <c r="H1168">
        <v>1.05</v>
      </c>
      <c r="I1168">
        <v>687.18</v>
      </c>
      <c r="J1168">
        <v>22.63</v>
      </c>
      <c r="K1168">
        <v>4.3499999999999996</v>
      </c>
      <c r="L1168">
        <v>1.18</v>
      </c>
    </row>
    <row r="1169" spans="1:12" x14ac:dyDescent="0.3">
      <c r="A1169" s="1">
        <v>45916</v>
      </c>
      <c r="B1169">
        <v>81852.11</v>
      </c>
      <c r="C1169">
        <v>82443.48</v>
      </c>
      <c r="D1169">
        <v>81779.94</v>
      </c>
      <c r="E1169">
        <v>82380.69</v>
      </c>
      <c r="F1169">
        <v>594.95000000000005</v>
      </c>
      <c r="G1169">
        <v>0.73</v>
      </c>
      <c r="H1169">
        <v>0.82</v>
      </c>
      <c r="I1169">
        <v>693.86</v>
      </c>
      <c r="J1169">
        <v>22.8</v>
      </c>
      <c r="K1169">
        <v>4.38</v>
      </c>
      <c r="L1169">
        <v>1.17</v>
      </c>
    </row>
    <row r="1170" spans="1:12" x14ac:dyDescent="0.3">
      <c r="A1170" s="1">
        <v>45917</v>
      </c>
      <c r="B1170">
        <v>82506.399999999994</v>
      </c>
      <c r="C1170">
        <v>82741.95</v>
      </c>
      <c r="D1170">
        <v>82490.47</v>
      </c>
      <c r="E1170">
        <v>82693.710000000006</v>
      </c>
      <c r="F1170">
        <v>313.02</v>
      </c>
      <c r="G1170">
        <v>0.38</v>
      </c>
      <c r="H1170">
        <v>1.46</v>
      </c>
      <c r="I1170">
        <v>1351.62</v>
      </c>
      <c r="J1170">
        <v>22.85</v>
      </c>
      <c r="K1170">
        <v>4.4000000000000004</v>
      </c>
      <c r="L1170">
        <v>1.17</v>
      </c>
    </row>
    <row r="1171" spans="1:12" x14ac:dyDescent="0.3">
      <c r="A1171" s="1">
        <v>45918</v>
      </c>
      <c r="B1171">
        <v>83108.92</v>
      </c>
      <c r="C1171">
        <v>83141.210000000006</v>
      </c>
      <c r="D1171">
        <v>82704.92</v>
      </c>
      <c r="E1171">
        <v>83013.960000000006</v>
      </c>
      <c r="F1171">
        <v>320.25</v>
      </c>
      <c r="G1171">
        <v>0.39</v>
      </c>
      <c r="H1171">
        <v>1.46</v>
      </c>
      <c r="I1171">
        <v>1452.43</v>
      </c>
      <c r="J1171">
        <v>22.94</v>
      </c>
      <c r="K1171">
        <v>4.41</v>
      </c>
      <c r="L1171">
        <v>1.1599999999999999</v>
      </c>
    </row>
    <row r="1172" spans="1:12" x14ac:dyDescent="0.3">
      <c r="A1172" s="1">
        <v>45919</v>
      </c>
      <c r="B1172">
        <v>82946.039999999994</v>
      </c>
      <c r="C1172">
        <v>82978.63</v>
      </c>
      <c r="D1172">
        <v>82485.919999999998</v>
      </c>
      <c r="E1172">
        <v>82626.23</v>
      </c>
      <c r="F1172">
        <v>-387.73</v>
      </c>
      <c r="G1172">
        <v>-0.47</v>
      </c>
      <c r="H1172">
        <v>0.97</v>
      </c>
      <c r="I1172">
        <v>825.27</v>
      </c>
      <c r="J1172">
        <v>22.83</v>
      </c>
      <c r="K1172">
        <v>4.3899999999999997</v>
      </c>
      <c r="L1172">
        <v>1.17</v>
      </c>
    </row>
    <row r="1173" spans="1:12" x14ac:dyDescent="0.3">
      <c r="A1173" s="1">
        <v>45922</v>
      </c>
      <c r="B1173">
        <v>82151.070000000007</v>
      </c>
      <c r="C1173">
        <v>82583.16</v>
      </c>
      <c r="D1173">
        <v>81997.289999999994</v>
      </c>
      <c r="E1173">
        <v>82159.97</v>
      </c>
      <c r="F1173">
        <v>-466.26</v>
      </c>
      <c r="G1173">
        <v>-0.56000000000000005</v>
      </c>
      <c r="H1173">
        <v>1.03</v>
      </c>
      <c r="I1173">
        <v>975.9</v>
      </c>
      <c r="J1173">
        <v>22.72</v>
      </c>
      <c r="K1173">
        <v>4.38</v>
      </c>
      <c r="L1173">
        <v>1.17</v>
      </c>
    </row>
    <row r="1174" spans="1:12" x14ac:dyDescent="0.3">
      <c r="A1174" s="1">
        <v>45923</v>
      </c>
      <c r="B1174">
        <v>82147.37</v>
      </c>
      <c r="C1174">
        <v>82370.38</v>
      </c>
      <c r="D1174">
        <v>81776.53</v>
      </c>
      <c r="E1174">
        <v>82102.100000000006</v>
      </c>
      <c r="F1174">
        <v>-57.87</v>
      </c>
      <c r="G1174">
        <v>-7.0000000000000007E-2</v>
      </c>
      <c r="H1174">
        <v>0.93</v>
      </c>
      <c r="I1174">
        <v>823.47</v>
      </c>
      <c r="J1174">
        <v>22.71</v>
      </c>
      <c r="K1174">
        <v>4.38</v>
      </c>
      <c r="L1174">
        <v>1.17</v>
      </c>
    </row>
    <row r="1175" spans="1:12" x14ac:dyDescent="0.3">
      <c r="A1175" s="1">
        <v>45924</v>
      </c>
      <c r="B1175">
        <v>81917.649999999994</v>
      </c>
      <c r="C1175">
        <v>82045.47</v>
      </c>
      <c r="D1175">
        <v>81607.839999999997</v>
      </c>
      <c r="E1175">
        <v>81715.63</v>
      </c>
      <c r="F1175">
        <v>-386.47</v>
      </c>
      <c r="G1175">
        <v>-0.47</v>
      </c>
      <c r="H1175">
        <v>1.51</v>
      </c>
      <c r="I1175">
        <v>1218.3800000000001</v>
      </c>
      <c r="J1175">
        <v>22.6</v>
      </c>
      <c r="K1175">
        <v>4.3499999999999996</v>
      </c>
      <c r="L1175">
        <v>1.18</v>
      </c>
    </row>
    <row r="1176" spans="1:12" x14ac:dyDescent="0.3">
      <c r="A1176" s="1">
        <v>45925</v>
      </c>
      <c r="B1176">
        <v>81574.31</v>
      </c>
      <c r="C1176">
        <v>81840.73</v>
      </c>
      <c r="D1176">
        <v>81092.89</v>
      </c>
      <c r="E1176">
        <v>81159.679999999993</v>
      </c>
      <c r="F1176">
        <v>-555.95000000000005</v>
      </c>
      <c r="G1176">
        <v>-0.68</v>
      </c>
      <c r="H1176">
        <v>1.48</v>
      </c>
      <c r="I1176">
        <v>1595.47</v>
      </c>
      <c r="J1176">
        <v>22.45</v>
      </c>
      <c r="K1176">
        <v>4.33</v>
      </c>
      <c r="L1176">
        <v>1.18</v>
      </c>
    </row>
    <row r="1177" spans="1:12" x14ac:dyDescent="0.3">
      <c r="A1177" s="1">
        <v>45926</v>
      </c>
      <c r="B1177">
        <v>80956.009999999995</v>
      </c>
      <c r="C1177">
        <v>81033.09</v>
      </c>
      <c r="D1177">
        <v>80332.41</v>
      </c>
      <c r="E1177">
        <v>80426.460000000006</v>
      </c>
      <c r="F1177">
        <v>-733.22</v>
      </c>
      <c r="G1177">
        <v>-0.9</v>
      </c>
      <c r="H1177">
        <v>1.07</v>
      </c>
      <c r="I1177">
        <v>1049.3499999999999</v>
      </c>
      <c r="J1177">
        <v>22.25</v>
      </c>
      <c r="K1177">
        <v>4.29</v>
      </c>
      <c r="L1177">
        <v>1.19</v>
      </c>
    </row>
    <row r="1178" spans="1:12" x14ac:dyDescent="0.3">
      <c r="A1178" s="1">
        <v>45929</v>
      </c>
      <c r="B1178">
        <v>80588.77</v>
      </c>
      <c r="C1178">
        <v>80851.38</v>
      </c>
      <c r="D1178">
        <v>80248.84</v>
      </c>
      <c r="E1178">
        <v>80364.94</v>
      </c>
      <c r="F1178">
        <v>-61.52</v>
      </c>
      <c r="G1178">
        <v>-0.08</v>
      </c>
      <c r="H1178">
        <v>0.86</v>
      </c>
      <c r="I1178">
        <v>935.6</v>
      </c>
      <c r="J1178">
        <v>22.23</v>
      </c>
      <c r="K1178">
        <v>4.28</v>
      </c>
      <c r="L1178">
        <v>1.2</v>
      </c>
    </row>
    <row r="1179" spans="1:12" x14ac:dyDescent="0.3">
      <c r="A1179" s="1">
        <v>45930</v>
      </c>
      <c r="B1179">
        <v>80541.77</v>
      </c>
      <c r="C1179">
        <v>80677.820000000007</v>
      </c>
      <c r="D1179">
        <v>80201.149999999994</v>
      </c>
      <c r="E1179">
        <v>80267.62</v>
      </c>
      <c r="F1179">
        <v>-97.32</v>
      </c>
      <c r="G1179">
        <v>-0.12</v>
      </c>
      <c r="H1179">
        <v>0.71</v>
      </c>
      <c r="I1179">
        <v>630.98</v>
      </c>
      <c r="J1179">
        <v>22.2</v>
      </c>
      <c r="K1179">
        <v>4.28</v>
      </c>
      <c r="L1179">
        <v>1.2</v>
      </c>
    </row>
    <row r="1180" spans="1:12" x14ac:dyDescent="0.3">
      <c r="A1180" s="1">
        <v>45931</v>
      </c>
      <c r="B1180">
        <v>80173.240000000005</v>
      </c>
      <c r="C1180">
        <v>81068.429999999993</v>
      </c>
      <c r="D1180">
        <v>80159.899999999994</v>
      </c>
      <c r="E1180">
        <v>80983.31</v>
      </c>
      <c r="F1180">
        <v>715.69</v>
      </c>
      <c r="G1180">
        <v>0.89</v>
      </c>
      <c r="H1180">
        <v>2.23</v>
      </c>
      <c r="I1180">
        <v>2412.13</v>
      </c>
      <c r="J1180">
        <v>22.4</v>
      </c>
      <c r="K1180">
        <v>4.32</v>
      </c>
      <c r="L1180">
        <v>1.19</v>
      </c>
    </row>
    <row r="1181" spans="1:12" x14ac:dyDescent="0.3">
      <c r="A1181" s="1">
        <v>45933</v>
      </c>
      <c r="B1181">
        <v>80684.14</v>
      </c>
      <c r="C1181">
        <v>81251.990000000005</v>
      </c>
      <c r="D1181">
        <v>80649.570000000007</v>
      </c>
      <c r="E1181">
        <v>81207.17</v>
      </c>
      <c r="F1181">
        <v>223.86</v>
      </c>
      <c r="G1181">
        <v>0.28000000000000003</v>
      </c>
      <c r="H1181">
        <v>1.36</v>
      </c>
      <c r="I1181">
        <v>1052.44</v>
      </c>
      <c r="J1181">
        <v>22.46</v>
      </c>
      <c r="K1181">
        <v>4.33</v>
      </c>
      <c r="L1181">
        <v>1.18</v>
      </c>
    </row>
    <row r="1182" spans="1:12" x14ac:dyDescent="0.3">
      <c r="A1182" s="1">
        <v>45936</v>
      </c>
      <c r="B1182">
        <v>81274.789999999994</v>
      </c>
      <c r="C1182">
        <v>81846.42</v>
      </c>
      <c r="D1182">
        <v>81155.88</v>
      </c>
      <c r="E1182">
        <v>81790.12</v>
      </c>
      <c r="F1182">
        <v>582.95000000000005</v>
      </c>
      <c r="G1182">
        <v>0.72</v>
      </c>
      <c r="H1182">
        <v>0.88</v>
      </c>
      <c r="I1182">
        <v>824.65</v>
      </c>
      <c r="J1182">
        <v>22.62</v>
      </c>
      <c r="K1182">
        <v>4.3600000000000003</v>
      </c>
      <c r="L1182">
        <v>1.17</v>
      </c>
    </row>
    <row r="1183" spans="1:12" x14ac:dyDescent="0.3">
      <c r="A1183" s="1">
        <v>45937</v>
      </c>
      <c r="B1183">
        <v>81883.95</v>
      </c>
      <c r="C1183">
        <v>82309.56</v>
      </c>
      <c r="D1183">
        <v>81787.48</v>
      </c>
      <c r="E1183">
        <v>81926.75</v>
      </c>
      <c r="F1183">
        <v>136.63</v>
      </c>
      <c r="G1183">
        <v>0.17</v>
      </c>
      <c r="H1183">
        <v>1.39</v>
      </c>
      <c r="I1183">
        <v>1192.3699999999999</v>
      </c>
      <c r="J1183">
        <v>22.66</v>
      </c>
      <c r="K1183">
        <v>4.37</v>
      </c>
      <c r="L1183">
        <v>1.17</v>
      </c>
    </row>
    <row r="1184" spans="1:12" x14ac:dyDescent="0.3">
      <c r="A1184" s="1">
        <v>45938</v>
      </c>
      <c r="B1184">
        <v>81899.509999999995</v>
      </c>
      <c r="C1184">
        <v>82257.740000000005</v>
      </c>
      <c r="D1184">
        <v>81646.080000000002</v>
      </c>
      <c r="E1184">
        <v>81773.66</v>
      </c>
      <c r="F1184">
        <v>-153.09</v>
      </c>
      <c r="G1184">
        <v>-0.19</v>
      </c>
      <c r="H1184">
        <v>1.52</v>
      </c>
      <c r="I1184">
        <v>1185.02</v>
      </c>
      <c r="J1184">
        <v>22.62</v>
      </c>
      <c r="K1184">
        <v>4.3600000000000003</v>
      </c>
      <c r="L1184">
        <v>1.17</v>
      </c>
    </row>
    <row r="1185" spans="1:12" x14ac:dyDescent="0.3">
      <c r="A1185" s="1">
        <v>45939</v>
      </c>
      <c r="B1185">
        <v>81900</v>
      </c>
      <c r="C1185">
        <v>82247.73</v>
      </c>
      <c r="D1185">
        <v>81667.679999999993</v>
      </c>
      <c r="E1185">
        <v>82172.100000000006</v>
      </c>
      <c r="F1185">
        <v>398.44</v>
      </c>
      <c r="G1185">
        <v>0.49</v>
      </c>
      <c r="H1185">
        <v>2.3199999999999998</v>
      </c>
      <c r="I1185">
        <v>1829.91</v>
      </c>
      <c r="J1185">
        <v>22.73</v>
      </c>
      <c r="K1185">
        <v>4.38</v>
      </c>
      <c r="L1185">
        <v>1.17</v>
      </c>
    </row>
    <row r="1186" spans="1:12" x14ac:dyDescent="0.3">
      <c r="A1186" s="1">
        <v>45940</v>
      </c>
      <c r="B1186">
        <v>82075.45</v>
      </c>
      <c r="C1186">
        <v>82654.11</v>
      </c>
      <c r="D1186">
        <v>82072.929999999993</v>
      </c>
      <c r="E1186">
        <v>82500.820000000007</v>
      </c>
      <c r="F1186">
        <v>328.72</v>
      </c>
      <c r="G1186">
        <v>0.4</v>
      </c>
      <c r="H1186">
        <v>1.37</v>
      </c>
      <c r="I1186">
        <v>981.4</v>
      </c>
      <c r="J1186">
        <v>22.82</v>
      </c>
      <c r="K1186">
        <v>4.4000000000000004</v>
      </c>
      <c r="L1186">
        <v>1.1599999999999999</v>
      </c>
    </row>
    <row r="1187" spans="1:12" x14ac:dyDescent="0.3">
      <c r="A1187" s="1">
        <v>45943</v>
      </c>
      <c r="B1187">
        <v>82049.16</v>
      </c>
      <c r="C1187">
        <v>82438.5</v>
      </c>
      <c r="D1187">
        <v>82043.14</v>
      </c>
      <c r="E1187">
        <v>82327.05</v>
      </c>
      <c r="F1187">
        <v>-173.77</v>
      </c>
      <c r="G1187">
        <v>-0.21</v>
      </c>
      <c r="H1187">
        <v>0.9</v>
      </c>
      <c r="I1187">
        <v>815.01</v>
      </c>
      <c r="J1187">
        <v>22.77</v>
      </c>
      <c r="K1187">
        <v>4.3899999999999997</v>
      </c>
      <c r="L1187">
        <v>1.17</v>
      </c>
    </row>
    <row r="1188" spans="1:12" x14ac:dyDescent="0.3">
      <c r="A1188" s="1">
        <v>45944</v>
      </c>
      <c r="B1188">
        <v>82404.539999999994</v>
      </c>
      <c r="C1188">
        <v>82573.37</v>
      </c>
      <c r="D1188">
        <v>81781.62</v>
      </c>
      <c r="E1188">
        <v>82029.98</v>
      </c>
      <c r="F1188">
        <v>-297.07</v>
      </c>
      <c r="G1188">
        <v>-0.36</v>
      </c>
      <c r="H1188">
        <v>1.26</v>
      </c>
      <c r="I1188">
        <v>844.54</v>
      </c>
      <c r="J1188">
        <v>22.69</v>
      </c>
      <c r="K1188">
        <v>4.37</v>
      </c>
      <c r="L1188">
        <v>1.17</v>
      </c>
    </row>
    <row r="1189" spans="1:12" x14ac:dyDescent="0.3">
      <c r="A1189" s="1">
        <v>45945</v>
      </c>
      <c r="B1189">
        <v>82197.25</v>
      </c>
      <c r="C1189">
        <v>82727.02</v>
      </c>
      <c r="D1189">
        <v>82084.37</v>
      </c>
      <c r="E1189">
        <v>82605.429999999993</v>
      </c>
      <c r="F1189">
        <v>575.45000000000005</v>
      </c>
      <c r="G1189">
        <v>0.7</v>
      </c>
      <c r="H1189">
        <v>1.06</v>
      </c>
      <c r="I1189">
        <v>1029.45</v>
      </c>
      <c r="J1189">
        <v>22.85</v>
      </c>
      <c r="K1189">
        <v>4.4000000000000004</v>
      </c>
      <c r="L1189">
        <v>1.17</v>
      </c>
    </row>
    <row r="1190" spans="1:12" x14ac:dyDescent="0.3">
      <c r="A1190" s="1">
        <v>45946</v>
      </c>
      <c r="B1190">
        <v>82794.789999999994</v>
      </c>
      <c r="C1190">
        <v>83615.48</v>
      </c>
      <c r="D1190">
        <v>82791.350000000006</v>
      </c>
      <c r="E1190">
        <v>83467.66</v>
      </c>
      <c r="F1190">
        <v>862.23</v>
      </c>
      <c r="G1190">
        <v>1.04</v>
      </c>
      <c r="H1190">
        <v>2.74</v>
      </c>
      <c r="I1190">
        <v>2436.64</v>
      </c>
      <c r="J1190">
        <v>23.09</v>
      </c>
      <c r="K1190">
        <v>4.45</v>
      </c>
      <c r="L1190">
        <v>1.1599999999999999</v>
      </c>
    </row>
    <row r="1191" spans="1:12" x14ac:dyDescent="0.3">
      <c r="A1191" s="1">
        <v>45947</v>
      </c>
      <c r="B1191">
        <v>83331.78</v>
      </c>
      <c r="C1191">
        <v>84172.24</v>
      </c>
      <c r="D1191">
        <v>83206.080000000002</v>
      </c>
      <c r="E1191">
        <v>83952.19</v>
      </c>
      <c r="F1191">
        <v>484.53</v>
      </c>
      <c r="G1191">
        <v>0.57999999999999996</v>
      </c>
      <c r="H1191">
        <v>1.43</v>
      </c>
      <c r="I1191">
        <v>1141.9000000000001</v>
      </c>
      <c r="J1191">
        <v>23.22</v>
      </c>
      <c r="K1191">
        <v>4.47</v>
      </c>
      <c r="L1191">
        <v>1.17</v>
      </c>
    </row>
    <row r="1192" spans="1:12" x14ac:dyDescent="0.3">
      <c r="A1192" s="1">
        <v>45950</v>
      </c>
      <c r="B1192">
        <v>84269.3</v>
      </c>
      <c r="C1192">
        <v>84656.56</v>
      </c>
      <c r="D1192">
        <v>84196.79</v>
      </c>
      <c r="E1192">
        <v>84363.37</v>
      </c>
      <c r="F1192">
        <v>411.18</v>
      </c>
      <c r="G1192">
        <v>0.49</v>
      </c>
      <c r="H1192">
        <v>1.0900000000000001</v>
      </c>
      <c r="I1192">
        <v>1176.44</v>
      </c>
      <c r="J1192">
        <v>23.18</v>
      </c>
      <c r="K1192">
        <v>4.5</v>
      </c>
      <c r="L1192">
        <v>1.1599999999999999</v>
      </c>
    </row>
    <row r="1193" spans="1:12" x14ac:dyDescent="0.3">
      <c r="A1193" s="1">
        <v>45951</v>
      </c>
      <c r="B1193">
        <v>84484.67</v>
      </c>
      <c r="C1193">
        <v>84665.44</v>
      </c>
      <c r="D1193">
        <v>84286.399999999994</v>
      </c>
      <c r="E1193">
        <v>84426.34</v>
      </c>
      <c r="F1193">
        <v>62.97</v>
      </c>
      <c r="G1193">
        <v>7.0000000000000007E-2</v>
      </c>
      <c r="H1193">
        <v>0.34</v>
      </c>
      <c r="I1193">
        <v>315.88</v>
      </c>
      <c r="J1193">
        <v>23.2</v>
      </c>
      <c r="K1193">
        <v>4.5</v>
      </c>
      <c r="L1193">
        <v>1.1599999999999999</v>
      </c>
    </row>
    <row r="1194" spans="1:12" x14ac:dyDescent="0.3">
      <c r="A1194" s="1">
        <v>45953</v>
      </c>
      <c r="B1194">
        <v>85154.15</v>
      </c>
      <c r="C1194">
        <v>85290.06</v>
      </c>
      <c r="D1194">
        <v>84445.25</v>
      </c>
      <c r="E1194">
        <v>84556.4</v>
      </c>
      <c r="F1194">
        <v>130.06</v>
      </c>
      <c r="G1194">
        <v>0.15</v>
      </c>
      <c r="H1194">
        <v>2.57</v>
      </c>
      <c r="I1194">
        <v>2597.04</v>
      </c>
      <c r="J1194">
        <v>23.23</v>
      </c>
      <c r="K1194">
        <v>4.51</v>
      </c>
      <c r="L1194">
        <v>1.1499999999999999</v>
      </c>
    </row>
    <row r="1195" spans="1:12" x14ac:dyDescent="0.3">
      <c r="A1195" s="1">
        <v>45954</v>
      </c>
      <c r="B1195">
        <v>84667.23</v>
      </c>
      <c r="C1195">
        <v>84707.44</v>
      </c>
      <c r="D1195">
        <v>83957.15</v>
      </c>
      <c r="E1195">
        <v>84211.88</v>
      </c>
      <c r="F1195">
        <v>-344.52</v>
      </c>
      <c r="G1195">
        <v>-0.41</v>
      </c>
      <c r="H1195">
        <v>1.36</v>
      </c>
      <c r="I1195">
        <v>896.46</v>
      </c>
      <c r="J1195">
        <v>23.14</v>
      </c>
      <c r="K1195">
        <v>4.49</v>
      </c>
      <c r="L1195">
        <v>1.1499999999999999</v>
      </c>
    </row>
    <row r="1196" spans="1:12" x14ac:dyDescent="0.3">
      <c r="A1196" s="1">
        <v>45957</v>
      </c>
      <c r="B1196">
        <v>84297.39</v>
      </c>
      <c r="C1196">
        <v>84932.08</v>
      </c>
      <c r="D1196">
        <v>84294.2</v>
      </c>
      <c r="E1196">
        <v>84778.84</v>
      </c>
      <c r="F1196">
        <v>566.96</v>
      </c>
      <c r="G1196">
        <v>0.67</v>
      </c>
      <c r="H1196">
        <v>1.2</v>
      </c>
      <c r="I1196">
        <v>1188.3</v>
      </c>
      <c r="J1196">
        <v>23.32</v>
      </c>
      <c r="K1196">
        <v>4.5199999999999996</v>
      </c>
      <c r="L1196">
        <v>1.23</v>
      </c>
    </row>
    <row r="1197" spans="1:12" x14ac:dyDescent="0.3">
      <c r="A1197" s="1">
        <v>45958</v>
      </c>
      <c r="B1197">
        <v>84625.71</v>
      </c>
      <c r="C1197">
        <v>84986.94</v>
      </c>
      <c r="D1197">
        <v>84219.39</v>
      </c>
      <c r="E1197">
        <v>84628.160000000003</v>
      </c>
      <c r="F1197">
        <v>-150.68</v>
      </c>
      <c r="G1197">
        <v>-0.18</v>
      </c>
      <c r="H1197">
        <v>1.29</v>
      </c>
      <c r="I1197">
        <v>1087.98</v>
      </c>
      <c r="J1197">
        <v>23.27</v>
      </c>
      <c r="K1197">
        <v>4.51</v>
      </c>
      <c r="L1197">
        <v>1.23</v>
      </c>
    </row>
    <row r="1198" spans="1:12" x14ac:dyDescent="0.3">
      <c r="A1198" s="1">
        <v>45959</v>
      </c>
      <c r="B1198">
        <v>84663.679999999993</v>
      </c>
      <c r="C1198">
        <v>85105.83</v>
      </c>
      <c r="D1198">
        <v>84638.68</v>
      </c>
      <c r="E1198">
        <v>84997.13</v>
      </c>
      <c r="F1198">
        <v>368.97</v>
      </c>
      <c r="G1198">
        <v>0.44</v>
      </c>
      <c r="H1198">
        <v>1.36</v>
      </c>
      <c r="I1198">
        <v>1048.3399999999999</v>
      </c>
      <c r="J1198">
        <v>23.38</v>
      </c>
      <c r="K1198">
        <v>4.53</v>
      </c>
      <c r="L1198">
        <v>1.22</v>
      </c>
    </row>
    <row r="1199" spans="1:12" x14ac:dyDescent="0.3">
      <c r="A1199" s="1">
        <v>45960</v>
      </c>
      <c r="B1199">
        <v>84750.9</v>
      </c>
      <c r="C1199">
        <v>84906.95</v>
      </c>
      <c r="D1199">
        <v>84312.65</v>
      </c>
      <c r="E1199">
        <v>84404.46</v>
      </c>
      <c r="F1199">
        <v>-592.66999999999996</v>
      </c>
      <c r="G1199">
        <v>-0.7</v>
      </c>
      <c r="H1199">
        <v>1.42</v>
      </c>
      <c r="I1199">
        <v>1651.54</v>
      </c>
      <c r="J1199">
        <v>23.19</v>
      </c>
      <c r="K1199">
        <v>4.5</v>
      </c>
      <c r="L1199">
        <v>1.1599999999999999</v>
      </c>
    </row>
    <row r="1200" spans="1:12" x14ac:dyDescent="0.3">
      <c r="A1200" s="1">
        <v>45961</v>
      </c>
      <c r="B1200">
        <v>84379.79</v>
      </c>
      <c r="C1200">
        <v>84712.79</v>
      </c>
      <c r="D1200">
        <v>83905.66</v>
      </c>
      <c r="E1200">
        <v>83938.71</v>
      </c>
      <c r="F1200">
        <v>-465.75</v>
      </c>
      <c r="G1200">
        <v>-0.55000000000000004</v>
      </c>
      <c r="H1200">
        <v>1.33</v>
      </c>
      <c r="I1200">
        <v>949.06</v>
      </c>
      <c r="J1200">
        <v>23.05</v>
      </c>
      <c r="K1200">
        <v>4.47</v>
      </c>
      <c r="L1200">
        <v>1.1599999999999999</v>
      </c>
    </row>
    <row r="1201" spans="1:12" x14ac:dyDescent="0.3">
      <c r="A1201" s="1">
        <v>45964</v>
      </c>
      <c r="B1201">
        <v>83835.100000000006</v>
      </c>
      <c r="C1201">
        <v>84127</v>
      </c>
      <c r="D1201">
        <v>83609.539999999994</v>
      </c>
      <c r="E1201">
        <v>83978.49</v>
      </c>
      <c r="F1201">
        <v>39.78</v>
      </c>
      <c r="G1201">
        <v>0.05</v>
      </c>
      <c r="H1201">
        <v>1.0900000000000001</v>
      </c>
      <c r="I1201">
        <v>855.39</v>
      </c>
      <c r="J1201">
        <v>23.05</v>
      </c>
      <c r="K1201">
        <v>4.4800000000000004</v>
      </c>
      <c r="L1201">
        <v>1.1399999999999999</v>
      </c>
    </row>
    <row r="1202" spans="1:12" x14ac:dyDescent="0.3">
      <c r="A1202" s="1">
        <v>45965</v>
      </c>
      <c r="B1202">
        <v>84000.639999999999</v>
      </c>
      <c r="C1202">
        <v>84068.01</v>
      </c>
      <c r="D1202">
        <v>83412.77</v>
      </c>
      <c r="E1202">
        <v>83459.149999999994</v>
      </c>
      <c r="F1202">
        <v>-519.34</v>
      </c>
      <c r="G1202">
        <v>-0.62</v>
      </c>
      <c r="H1202">
        <v>0.95</v>
      </c>
      <c r="I1202">
        <v>832.53</v>
      </c>
      <c r="J1202">
        <v>22.77</v>
      </c>
      <c r="K1202">
        <v>4.45</v>
      </c>
      <c r="L1202">
        <v>1.1499999999999999</v>
      </c>
    </row>
    <row r="1203" spans="1:12" x14ac:dyDescent="0.3">
      <c r="A1203" s="1">
        <v>45967</v>
      </c>
      <c r="B1203">
        <v>83516.69</v>
      </c>
      <c r="C1203">
        <v>83846.350000000006</v>
      </c>
      <c r="D1203">
        <v>83237.649999999994</v>
      </c>
      <c r="E1203">
        <v>83311.009999999995</v>
      </c>
      <c r="F1203">
        <v>-148.13999999999999</v>
      </c>
      <c r="G1203">
        <v>-0.18</v>
      </c>
      <c r="H1203">
        <v>1.79</v>
      </c>
      <c r="I1203">
        <v>2187.86</v>
      </c>
      <c r="J1203">
        <v>22.66</v>
      </c>
      <c r="K1203">
        <v>4.4400000000000004</v>
      </c>
      <c r="L1203">
        <v>1.1499999999999999</v>
      </c>
    </row>
    <row r="1204" spans="1:12" x14ac:dyDescent="0.3">
      <c r="A1204" s="1">
        <v>45968</v>
      </c>
      <c r="B1204">
        <v>83150.149999999994</v>
      </c>
      <c r="C1204">
        <v>83390.11</v>
      </c>
      <c r="D1204">
        <v>82670.95</v>
      </c>
      <c r="E1204">
        <v>83216.28</v>
      </c>
      <c r="F1204">
        <v>-94.73</v>
      </c>
      <c r="G1204">
        <v>-0.11</v>
      </c>
      <c r="H1204">
        <v>1.59</v>
      </c>
      <c r="I1204">
        <v>1472.98</v>
      </c>
      <c r="J1204">
        <v>22.63</v>
      </c>
      <c r="K1204">
        <v>4.43</v>
      </c>
      <c r="L1204">
        <v>1.1599999999999999</v>
      </c>
    </row>
    <row r="1205" spans="1:12" x14ac:dyDescent="0.3">
      <c r="A1205" s="1">
        <v>45971</v>
      </c>
      <c r="B1205">
        <v>83198.2</v>
      </c>
      <c r="C1205">
        <v>83754.490000000005</v>
      </c>
      <c r="D1205">
        <v>83197.67</v>
      </c>
      <c r="E1205">
        <v>83535.350000000006</v>
      </c>
      <c r="F1205">
        <v>319.07</v>
      </c>
      <c r="G1205">
        <v>0.38</v>
      </c>
      <c r="H1205">
        <v>1.19</v>
      </c>
      <c r="I1205">
        <v>2115.87</v>
      </c>
      <c r="J1205">
        <v>22.72</v>
      </c>
      <c r="K1205">
        <v>4.45</v>
      </c>
      <c r="L1205">
        <v>1.18</v>
      </c>
    </row>
    <row r="1206" spans="1:12" x14ac:dyDescent="0.3">
      <c r="A1206" s="1">
        <v>45972</v>
      </c>
      <c r="B1206">
        <v>83671.520000000004</v>
      </c>
      <c r="C1206">
        <v>83936.47</v>
      </c>
      <c r="D1206">
        <v>83124.03</v>
      </c>
      <c r="E1206">
        <v>83871.320000000007</v>
      </c>
      <c r="F1206">
        <v>335.97</v>
      </c>
      <c r="G1206">
        <v>0.4</v>
      </c>
      <c r="H1206">
        <v>1.65</v>
      </c>
      <c r="I1206">
        <v>1292.8499999999999</v>
      </c>
      <c r="J1206">
        <v>22.79</v>
      </c>
      <c r="K1206">
        <v>4.47</v>
      </c>
      <c r="L1206">
        <v>1.17</v>
      </c>
    </row>
    <row r="1207" spans="1:12" x14ac:dyDescent="0.3">
      <c r="A1207" s="1">
        <v>45973</v>
      </c>
      <c r="B1207">
        <v>84238.86</v>
      </c>
      <c r="C1207">
        <v>84652.01</v>
      </c>
      <c r="D1207">
        <v>84166.75</v>
      </c>
      <c r="E1207">
        <v>84466.51</v>
      </c>
      <c r="F1207">
        <v>595.19000000000005</v>
      </c>
      <c r="G1207">
        <v>0.71</v>
      </c>
      <c r="H1207">
        <v>1.1299999999999999</v>
      </c>
      <c r="I1207">
        <v>973.52</v>
      </c>
      <c r="J1207">
        <v>22.95</v>
      </c>
      <c r="K1207">
        <v>4.5</v>
      </c>
      <c r="L1207">
        <v>1.17</v>
      </c>
    </row>
    <row r="1208" spans="1:12" x14ac:dyDescent="0.3">
      <c r="A1208" s="1">
        <v>45974</v>
      </c>
      <c r="B1208">
        <v>84525.89</v>
      </c>
      <c r="C1208">
        <v>84919.43</v>
      </c>
      <c r="D1208">
        <v>84253.05</v>
      </c>
      <c r="E1208">
        <v>84478.67</v>
      </c>
      <c r="F1208">
        <v>12.16</v>
      </c>
      <c r="G1208">
        <v>0.01</v>
      </c>
      <c r="H1208">
        <v>2.56</v>
      </c>
      <c r="I1208">
        <v>2265.34</v>
      </c>
      <c r="J1208">
        <v>22.85</v>
      </c>
      <c r="K1208">
        <v>4.5</v>
      </c>
      <c r="L1208">
        <v>1.17</v>
      </c>
    </row>
    <row r="1209" spans="1:12" x14ac:dyDescent="0.3">
      <c r="A1209" s="1">
        <v>45975</v>
      </c>
      <c r="B1209">
        <v>84060.14</v>
      </c>
      <c r="C1209">
        <v>84697.87</v>
      </c>
      <c r="D1209">
        <v>84029.32</v>
      </c>
      <c r="E1209">
        <v>84562.78</v>
      </c>
      <c r="F1209">
        <v>84.11</v>
      </c>
      <c r="G1209">
        <v>0.1</v>
      </c>
      <c r="H1209">
        <v>0.88</v>
      </c>
      <c r="I1209">
        <v>647.5</v>
      </c>
      <c r="J1209">
        <v>23</v>
      </c>
      <c r="K1209">
        <v>4.51</v>
      </c>
      <c r="L1209">
        <v>1.17</v>
      </c>
    </row>
    <row r="1210" spans="1:12" x14ac:dyDescent="0.3">
      <c r="A1210" s="1">
        <v>45978</v>
      </c>
      <c r="B1210">
        <v>84700.5</v>
      </c>
      <c r="C1210">
        <v>84988.09</v>
      </c>
      <c r="D1210">
        <v>84581.08</v>
      </c>
      <c r="E1210">
        <v>84950.95</v>
      </c>
      <c r="F1210">
        <v>388.17</v>
      </c>
      <c r="G1210">
        <v>0.46</v>
      </c>
      <c r="H1210">
        <v>1.05</v>
      </c>
      <c r="I1210">
        <v>819.6</v>
      </c>
      <c r="J1210">
        <v>23.48</v>
      </c>
      <c r="K1210">
        <v>4.5</v>
      </c>
      <c r="L1210">
        <v>1.1499999999999999</v>
      </c>
    </row>
    <row r="1211" spans="1:12" x14ac:dyDescent="0.3">
      <c r="A1211" s="1">
        <v>45979</v>
      </c>
      <c r="B1211">
        <v>85042.37</v>
      </c>
      <c r="C1211">
        <v>85042.41</v>
      </c>
      <c r="D1211">
        <v>84558.36</v>
      </c>
      <c r="E1211">
        <v>84673.02</v>
      </c>
      <c r="F1211">
        <v>-277.93</v>
      </c>
      <c r="G1211">
        <v>-0.33</v>
      </c>
      <c r="H1211">
        <v>1.07</v>
      </c>
      <c r="I1211">
        <v>760.76</v>
      </c>
      <c r="J1211">
        <v>23.1</v>
      </c>
      <c r="K1211">
        <v>4.4800000000000004</v>
      </c>
      <c r="L1211">
        <v>1.1499999999999999</v>
      </c>
    </row>
    <row r="1212" spans="1:12" x14ac:dyDescent="0.3">
      <c r="A1212" s="1">
        <v>45980</v>
      </c>
      <c r="B1212">
        <v>84643.78</v>
      </c>
      <c r="C1212">
        <v>85236.77</v>
      </c>
      <c r="D1212">
        <v>84525.98</v>
      </c>
      <c r="E1212">
        <v>85186.47</v>
      </c>
      <c r="F1212">
        <v>513.45000000000005</v>
      </c>
      <c r="G1212">
        <v>0.61</v>
      </c>
      <c r="H1212">
        <v>0.89</v>
      </c>
      <c r="I1212">
        <v>684.7</v>
      </c>
      <c r="J1212">
        <v>23.24</v>
      </c>
      <c r="K1212">
        <v>4.51</v>
      </c>
      <c r="L1212">
        <v>1.1499999999999999</v>
      </c>
    </row>
    <row r="1213" spans="1:12" x14ac:dyDescent="0.3">
      <c r="A1213" s="1">
        <v>45981</v>
      </c>
      <c r="B1213">
        <v>85470.92</v>
      </c>
      <c r="C1213">
        <v>85801.7</v>
      </c>
      <c r="D1213">
        <v>85201.22</v>
      </c>
      <c r="E1213">
        <v>85632.68</v>
      </c>
      <c r="F1213">
        <v>446.21</v>
      </c>
      <c r="G1213">
        <v>0.52</v>
      </c>
      <c r="H1213">
        <v>2.4300000000000002</v>
      </c>
      <c r="I1213">
        <v>2398.65</v>
      </c>
      <c r="J1213">
        <v>23.36</v>
      </c>
      <c r="K1213">
        <v>4.53</v>
      </c>
      <c r="L1213">
        <v>1.1399999999999999</v>
      </c>
    </row>
    <row r="1214" spans="1:12" x14ac:dyDescent="0.3">
      <c r="A1214" s="1">
        <v>45982</v>
      </c>
      <c r="B1214">
        <v>85347.4</v>
      </c>
      <c r="C1214">
        <v>85609.4</v>
      </c>
      <c r="D1214">
        <v>85187.839999999997</v>
      </c>
      <c r="E1214">
        <v>85231.92</v>
      </c>
      <c r="F1214">
        <v>-400.76</v>
      </c>
      <c r="G1214">
        <v>-0.47</v>
      </c>
      <c r="H1214">
        <v>1.42</v>
      </c>
      <c r="I1214">
        <v>1539.3</v>
      </c>
      <c r="J1214">
        <v>23.25</v>
      </c>
      <c r="K1214">
        <v>4.51</v>
      </c>
      <c r="L1214">
        <v>1.1399999999999999</v>
      </c>
    </row>
    <row r="1215" spans="1:12" x14ac:dyDescent="0.3">
      <c r="A1215" s="1">
        <v>45985</v>
      </c>
      <c r="B1215">
        <v>85320.04</v>
      </c>
      <c r="C1215">
        <v>85473.47</v>
      </c>
      <c r="D1215">
        <v>84710.11</v>
      </c>
      <c r="E1215">
        <v>84900.71</v>
      </c>
      <c r="F1215">
        <v>-331.21</v>
      </c>
      <c r="G1215">
        <v>-0.39</v>
      </c>
      <c r="H1215">
        <v>0.96</v>
      </c>
      <c r="I1215">
        <v>775.9</v>
      </c>
      <c r="J1215">
        <v>23.16</v>
      </c>
      <c r="K1215">
        <v>4.49</v>
      </c>
      <c r="L1215">
        <v>1.1499999999999999</v>
      </c>
    </row>
    <row r="1216" spans="1:12" x14ac:dyDescent="0.3">
      <c r="A1216" s="1">
        <v>45986</v>
      </c>
      <c r="B1216">
        <v>85008.93</v>
      </c>
      <c r="C1216">
        <v>85110.24</v>
      </c>
      <c r="D1216">
        <v>84536.73</v>
      </c>
      <c r="E1216">
        <v>84587.01</v>
      </c>
      <c r="F1216">
        <v>-313.7</v>
      </c>
      <c r="G1216">
        <v>-0.37</v>
      </c>
      <c r="H1216">
        <v>0.62</v>
      </c>
      <c r="I1216">
        <v>526.61</v>
      </c>
      <c r="J1216">
        <v>23.07</v>
      </c>
      <c r="K1216">
        <v>4.4800000000000004</v>
      </c>
      <c r="L1216">
        <v>1.1499999999999999</v>
      </c>
    </row>
    <row r="1217" spans="1:12" x14ac:dyDescent="0.3">
      <c r="A1217" s="1">
        <v>45987</v>
      </c>
      <c r="B1217">
        <v>84503.44</v>
      </c>
      <c r="C1217">
        <v>85644.19</v>
      </c>
      <c r="D1217">
        <v>84478.13</v>
      </c>
      <c r="E1217">
        <v>85609.51</v>
      </c>
      <c r="F1217">
        <v>1022.5</v>
      </c>
      <c r="G1217">
        <v>1.21</v>
      </c>
      <c r="H1217">
        <v>1.38</v>
      </c>
      <c r="I1217">
        <v>1259.02</v>
      </c>
      <c r="J1217">
        <v>23.35</v>
      </c>
      <c r="K1217">
        <v>4.53</v>
      </c>
      <c r="L1217">
        <v>1.1399999999999999</v>
      </c>
    </row>
    <row r="1218" spans="1:12" x14ac:dyDescent="0.3">
      <c r="A1218" s="1">
        <v>45988</v>
      </c>
      <c r="B1218">
        <v>85745.05</v>
      </c>
      <c r="C1218">
        <v>86055.86</v>
      </c>
      <c r="D1218">
        <v>85473.85</v>
      </c>
      <c r="E1218">
        <v>85720.38</v>
      </c>
      <c r="F1218">
        <v>110.87</v>
      </c>
      <c r="G1218">
        <v>0.13</v>
      </c>
      <c r="H1218">
        <v>1.58</v>
      </c>
      <c r="I1218">
        <v>1938.53</v>
      </c>
      <c r="J1218">
        <v>23.38</v>
      </c>
      <c r="K1218">
        <v>4.54</v>
      </c>
      <c r="L1218">
        <v>1.1399999999999999</v>
      </c>
    </row>
    <row r="1219" spans="1:12" x14ac:dyDescent="0.3">
      <c r="A1219" s="1">
        <v>45989</v>
      </c>
      <c r="B1219">
        <v>85791.55</v>
      </c>
      <c r="C1219">
        <v>85969.89</v>
      </c>
      <c r="D1219">
        <v>85577.82</v>
      </c>
      <c r="E1219">
        <v>85706.67</v>
      </c>
      <c r="F1219">
        <v>-13.71</v>
      </c>
      <c r="G1219">
        <v>-0.02</v>
      </c>
      <c r="H1219">
        <v>0.64</v>
      </c>
      <c r="I1219">
        <v>552.79999999999995</v>
      </c>
      <c r="J1219">
        <v>23.38</v>
      </c>
      <c r="K1219">
        <v>4.54</v>
      </c>
      <c r="L1219">
        <v>1.1399999999999999</v>
      </c>
    </row>
    <row r="1220" spans="1:12" x14ac:dyDescent="0.3">
      <c r="A1220" s="1">
        <v>45992</v>
      </c>
      <c r="B1220">
        <v>86065.919999999998</v>
      </c>
      <c r="C1220">
        <v>86159.02</v>
      </c>
      <c r="D1220">
        <v>85489.65</v>
      </c>
      <c r="E1220">
        <v>85641.9</v>
      </c>
      <c r="F1220">
        <v>-64.77</v>
      </c>
      <c r="G1220">
        <v>-0.08</v>
      </c>
      <c r="H1220">
        <v>0.85</v>
      </c>
      <c r="I1220">
        <v>598.37</v>
      </c>
      <c r="J1220">
        <v>23.36</v>
      </c>
      <c r="K1220">
        <v>4.53</v>
      </c>
      <c r="L1220">
        <v>1.1399999999999999</v>
      </c>
    </row>
    <row r="1221" spans="1:12" x14ac:dyDescent="0.3">
      <c r="A1221" s="1">
        <v>45993</v>
      </c>
      <c r="B1221">
        <v>85325.51</v>
      </c>
      <c r="C1221">
        <v>85553.51</v>
      </c>
      <c r="D1221">
        <v>85053</v>
      </c>
      <c r="E1221">
        <v>85138.27</v>
      </c>
      <c r="F1221">
        <v>-503.63</v>
      </c>
      <c r="G1221">
        <v>-0.59</v>
      </c>
      <c r="H1221">
        <v>0.57999999999999996</v>
      </c>
      <c r="I1221">
        <v>501.1</v>
      </c>
      <c r="J1221">
        <v>23.22</v>
      </c>
      <c r="K1221">
        <v>4.51</v>
      </c>
      <c r="L1221">
        <v>1.1399999999999999</v>
      </c>
    </row>
    <row r="1222" spans="1:12" x14ac:dyDescent="0.3">
      <c r="A1222" s="1">
        <v>45994</v>
      </c>
      <c r="B1222">
        <v>85150.64</v>
      </c>
      <c r="C1222">
        <v>85269.68</v>
      </c>
      <c r="D1222">
        <v>84763.64</v>
      </c>
      <c r="E1222">
        <v>85106.81</v>
      </c>
      <c r="F1222">
        <v>-31.46</v>
      </c>
      <c r="G1222">
        <v>-0.04</v>
      </c>
      <c r="H1222">
        <v>1.74</v>
      </c>
      <c r="I1222">
        <v>1165.79</v>
      </c>
      <c r="J1222">
        <v>23.22</v>
      </c>
      <c r="K1222">
        <v>4.5</v>
      </c>
      <c r="L1222">
        <v>1.1499999999999999</v>
      </c>
    </row>
    <row r="1223" spans="1:12" x14ac:dyDescent="0.3">
      <c r="A1223" s="1">
        <v>45995</v>
      </c>
      <c r="B1223">
        <v>84987.56</v>
      </c>
      <c r="C1223">
        <v>85487.21</v>
      </c>
      <c r="D1223">
        <v>84949.98</v>
      </c>
      <c r="E1223">
        <v>85265.32</v>
      </c>
      <c r="F1223">
        <v>158.51</v>
      </c>
      <c r="G1223">
        <v>0.19</v>
      </c>
      <c r="H1223">
        <v>1.79</v>
      </c>
      <c r="I1223">
        <v>2169.6799999999998</v>
      </c>
      <c r="J1223">
        <v>23.26</v>
      </c>
      <c r="K1223">
        <v>4.51</v>
      </c>
      <c r="L1223">
        <v>1.1399999999999999</v>
      </c>
    </row>
    <row r="1224" spans="1:12" x14ac:dyDescent="0.3">
      <c r="A1224" s="1">
        <v>45996</v>
      </c>
      <c r="B1224">
        <v>85125.48</v>
      </c>
      <c r="C1224">
        <v>85796.72</v>
      </c>
      <c r="D1224">
        <v>85078.12</v>
      </c>
      <c r="E1224">
        <v>85712.37</v>
      </c>
      <c r="F1224">
        <v>447.05</v>
      </c>
      <c r="G1224">
        <v>0.52</v>
      </c>
      <c r="H1224">
        <v>0.79</v>
      </c>
      <c r="I1224">
        <v>850.35</v>
      </c>
      <c r="J1224">
        <v>23.38</v>
      </c>
      <c r="K1224">
        <v>4.54</v>
      </c>
      <c r="L1224">
        <v>1.1399999999999999</v>
      </c>
    </row>
    <row r="1225" spans="1:12" x14ac:dyDescent="0.3">
      <c r="A1225" s="1">
        <v>45999</v>
      </c>
      <c r="B1225">
        <v>85624.84</v>
      </c>
      <c r="C1225">
        <v>85722.97</v>
      </c>
      <c r="D1225">
        <v>84875.59</v>
      </c>
      <c r="E1225">
        <v>85102.69</v>
      </c>
      <c r="F1225">
        <v>-609.67999999999995</v>
      </c>
      <c r="G1225">
        <v>-0.71</v>
      </c>
      <c r="H1225">
        <v>1.07</v>
      </c>
      <c r="I1225">
        <v>953.64</v>
      </c>
      <c r="J1225">
        <v>23.21</v>
      </c>
      <c r="K1225">
        <v>4.5</v>
      </c>
      <c r="L1225">
        <v>1.1499999999999999</v>
      </c>
    </row>
    <row r="1226" spans="1:12" x14ac:dyDescent="0.3">
      <c r="A1226" s="1">
        <v>46000</v>
      </c>
      <c r="B1226">
        <v>84742.87</v>
      </c>
      <c r="C1226">
        <v>84947.89</v>
      </c>
      <c r="D1226">
        <v>84382.96</v>
      </c>
      <c r="E1226">
        <v>84666.28</v>
      </c>
      <c r="F1226">
        <v>-436.41</v>
      </c>
      <c r="G1226">
        <v>-0.51</v>
      </c>
      <c r="H1226">
        <v>0.85</v>
      </c>
      <c r="I1226">
        <v>785.59</v>
      </c>
      <c r="J1226">
        <v>23.1</v>
      </c>
      <c r="K1226">
        <v>4.4800000000000004</v>
      </c>
      <c r="L1226">
        <v>1.1499999999999999</v>
      </c>
    </row>
    <row r="1227" spans="1:12" x14ac:dyDescent="0.3">
      <c r="A1227" s="1">
        <v>46001</v>
      </c>
      <c r="B1227">
        <v>84607.49</v>
      </c>
      <c r="C1227">
        <v>85020.34</v>
      </c>
      <c r="D1227">
        <v>84313.62</v>
      </c>
      <c r="E1227">
        <v>84391.27</v>
      </c>
      <c r="F1227">
        <v>-275.01</v>
      </c>
      <c r="G1227">
        <v>-0.32</v>
      </c>
      <c r="H1227">
        <v>0.88</v>
      </c>
      <c r="I1227">
        <v>1054.6600000000001</v>
      </c>
      <c r="J1227">
        <v>23.02</v>
      </c>
      <c r="K1227">
        <v>4.47</v>
      </c>
      <c r="L1227">
        <v>1.1499999999999999</v>
      </c>
    </row>
    <row r="1228" spans="1:12" x14ac:dyDescent="0.3">
      <c r="A1228" s="1">
        <v>46002</v>
      </c>
      <c r="B1228">
        <v>84456.75</v>
      </c>
      <c r="C1228">
        <v>84906.93</v>
      </c>
      <c r="D1228">
        <v>84150.19</v>
      </c>
      <c r="E1228">
        <v>84818.13</v>
      </c>
      <c r="F1228">
        <v>426.86</v>
      </c>
      <c r="G1228">
        <v>0.51</v>
      </c>
      <c r="H1228">
        <v>1.58</v>
      </c>
      <c r="I1228">
        <v>1849.41</v>
      </c>
      <c r="J1228">
        <v>23.14</v>
      </c>
      <c r="K1228">
        <v>4.49</v>
      </c>
      <c r="L1228">
        <v>1.1499999999999999</v>
      </c>
    </row>
    <row r="1229" spans="1:12" x14ac:dyDescent="0.3">
      <c r="A1229" s="1">
        <v>46003</v>
      </c>
      <c r="B1229">
        <v>85051.03</v>
      </c>
      <c r="C1229">
        <v>85320.82</v>
      </c>
      <c r="D1229">
        <v>84956.74</v>
      </c>
      <c r="E1229">
        <v>85267.66</v>
      </c>
      <c r="F1229">
        <v>449.53</v>
      </c>
      <c r="G1229">
        <v>0.53</v>
      </c>
      <c r="H1229">
        <v>0.82</v>
      </c>
      <c r="I1229">
        <v>655.84</v>
      </c>
      <c r="J1229">
        <v>23.26</v>
      </c>
      <c r="K1229">
        <v>4.51</v>
      </c>
      <c r="L1229">
        <v>1.1399999999999999</v>
      </c>
    </row>
    <row r="1230" spans="1:12" x14ac:dyDescent="0.3">
      <c r="A1230" s="1">
        <v>46006</v>
      </c>
      <c r="B1230">
        <v>84891.75</v>
      </c>
      <c r="C1230">
        <v>85278.63</v>
      </c>
      <c r="D1230">
        <v>84840.320000000007</v>
      </c>
      <c r="E1230">
        <v>85213.36</v>
      </c>
      <c r="F1230">
        <v>-54.3</v>
      </c>
      <c r="G1230">
        <v>-0.06</v>
      </c>
      <c r="H1230">
        <v>1.06</v>
      </c>
      <c r="I1230">
        <v>582.69000000000005</v>
      </c>
      <c r="J1230">
        <v>23.25</v>
      </c>
      <c r="K1230">
        <v>4.51</v>
      </c>
      <c r="L1230">
        <v>1.1399999999999999</v>
      </c>
    </row>
    <row r="1231" spans="1:12" x14ac:dyDescent="0.3">
      <c r="A1231" s="1">
        <v>46007</v>
      </c>
      <c r="B1231">
        <v>85025.61</v>
      </c>
      <c r="C1231">
        <v>85059.96</v>
      </c>
      <c r="D1231">
        <v>84620.61</v>
      </c>
      <c r="E1231">
        <v>84679.86</v>
      </c>
      <c r="F1231">
        <v>-533.5</v>
      </c>
      <c r="G1231">
        <v>-0.63</v>
      </c>
      <c r="H1231">
        <v>0.96</v>
      </c>
      <c r="I1231">
        <v>691.5</v>
      </c>
      <c r="J1231">
        <v>23.1</v>
      </c>
      <c r="K1231">
        <v>4.4800000000000004</v>
      </c>
      <c r="L1231">
        <v>1.1499999999999999</v>
      </c>
    </row>
    <row r="1232" spans="1:12" x14ac:dyDescent="0.3">
      <c r="A1232" s="1">
        <v>46008</v>
      </c>
      <c r="B1232">
        <v>84856.26</v>
      </c>
      <c r="C1232">
        <v>84889.45</v>
      </c>
      <c r="D1232">
        <v>84415.98</v>
      </c>
      <c r="E1232">
        <v>84559.65</v>
      </c>
      <c r="F1232">
        <v>-120.21</v>
      </c>
      <c r="G1232">
        <v>-0.14000000000000001</v>
      </c>
      <c r="H1232">
        <v>1.1200000000000001</v>
      </c>
      <c r="I1232">
        <v>796.47</v>
      </c>
      <c r="J1232">
        <v>23.07</v>
      </c>
      <c r="K1232">
        <v>4.4800000000000004</v>
      </c>
      <c r="L1232">
        <v>1.1499999999999999</v>
      </c>
    </row>
    <row r="1233" spans="1:12" x14ac:dyDescent="0.3">
      <c r="A1233" s="1">
        <v>46009</v>
      </c>
      <c r="B1233">
        <v>84518.33</v>
      </c>
      <c r="C1233">
        <v>84780.19</v>
      </c>
      <c r="D1233">
        <v>84238.43</v>
      </c>
      <c r="E1233">
        <v>84481.81</v>
      </c>
      <c r="F1233">
        <v>-77.84</v>
      </c>
      <c r="G1233">
        <v>-0.09</v>
      </c>
      <c r="H1233">
        <v>1.5</v>
      </c>
      <c r="I1233">
        <v>1753.95</v>
      </c>
      <c r="J1233">
        <v>23.05</v>
      </c>
      <c r="K1233">
        <v>4.47</v>
      </c>
      <c r="L1233">
        <v>1.1499999999999999</v>
      </c>
    </row>
    <row r="1234" spans="1:12" x14ac:dyDescent="0.3">
      <c r="A1234" s="1">
        <v>46010</v>
      </c>
      <c r="B1234">
        <v>84756.79</v>
      </c>
      <c r="C1234">
        <v>85067.5</v>
      </c>
      <c r="D1234">
        <v>84734.96</v>
      </c>
      <c r="E1234">
        <v>84929.36</v>
      </c>
      <c r="F1234">
        <v>447.55</v>
      </c>
      <c r="G1234">
        <v>0.53</v>
      </c>
      <c r="H1234">
        <v>0.91</v>
      </c>
      <c r="I1234">
        <v>773.47</v>
      </c>
      <c r="J1234">
        <v>23.17</v>
      </c>
      <c r="K1234">
        <v>4.5</v>
      </c>
      <c r="L1234">
        <v>1.1499999999999999</v>
      </c>
    </row>
    <row r="1235" spans="1:12" x14ac:dyDescent="0.3">
      <c r="A1235" s="1">
        <v>46013</v>
      </c>
      <c r="B1235">
        <v>85145.9</v>
      </c>
      <c r="C1235">
        <v>85601.33</v>
      </c>
      <c r="D1235">
        <v>85145.86</v>
      </c>
      <c r="E1235">
        <v>85567.48</v>
      </c>
      <c r="F1235">
        <v>638.12</v>
      </c>
      <c r="G1235">
        <v>0.75</v>
      </c>
      <c r="H1235">
        <v>0.61</v>
      </c>
      <c r="I1235">
        <v>651</v>
      </c>
      <c r="J1235">
        <v>23.61</v>
      </c>
      <c r="K1235">
        <v>4.59</v>
      </c>
      <c r="L1235">
        <v>1.1200000000000001</v>
      </c>
    </row>
    <row r="1236" spans="1:12" x14ac:dyDescent="0.3">
      <c r="A1236" s="1">
        <v>46014</v>
      </c>
      <c r="B1236">
        <v>85690.1</v>
      </c>
      <c r="C1236">
        <v>85704.93</v>
      </c>
      <c r="D1236">
        <v>85342.99</v>
      </c>
      <c r="E1236">
        <v>85524.84</v>
      </c>
      <c r="F1236">
        <v>-42.64</v>
      </c>
      <c r="G1236">
        <v>-0.05</v>
      </c>
      <c r="H1236">
        <v>0.61</v>
      </c>
      <c r="I1236">
        <v>475.47</v>
      </c>
      <c r="J1236">
        <v>23.6</v>
      </c>
      <c r="K1236">
        <v>4.59</v>
      </c>
      <c r="L1236">
        <v>1.1200000000000001</v>
      </c>
    </row>
    <row r="1237" spans="1:12" x14ac:dyDescent="0.3">
      <c r="A1237" s="1">
        <v>46015</v>
      </c>
      <c r="B1237">
        <v>85533.11</v>
      </c>
      <c r="C1237">
        <v>85738.18</v>
      </c>
      <c r="D1237">
        <v>85342.19</v>
      </c>
      <c r="E1237">
        <v>85408.7</v>
      </c>
      <c r="F1237">
        <v>-116.14</v>
      </c>
      <c r="G1237">
        <v>-0.14000000000000001</v>
      </c>
      <c r="H1237">
        <v>0.84</v>
      </c>
      <c r="I1237">
        <v>888.34</v>
      </c>
      <c r="J1237">
        <v>23.57</v>
      </c>
      <c r="K1237">
        <v>4.58</v>
      </c>
      <c r="L1237">
        <v>1.1200000000000001</v>
      </c>
    </row>
    <row r="1238" spans="1:12" x14ac:dyDescent="0.3">
      <c r="A1238" s="1">
        <v>46017</v>
      </c>
      <c r="B1238">
        <v>85225.279999999999</v>
      </c>
      <c r="C1238">
        <v>85378.51</v>
      </c>
      <c r="D1238">
        <v>84937.82</v>
      </c>
      <c r="E1238">
        <v>85041.45</v>
      </c>
      <c r="F1238">
        <v>-367.25</v>
      </c>
      <c r="G1238">
        <v>-0.43</v>
      </c>
      <c r="H1238">
        <v>0.48</v>
      </c>
      <c r="I1238">
        <v>474.24</v>
      </c>
      <c r="J1238">
        <v>23.46</v>
      </c>
      <c r="K1238">
        <v>4.5599999999999996</v>
      </c>
      <c r="L1238">
        <v>1.1299999999999999</v>
      </c>
    </row>
    <row r="1239" spans="1:12" x14ac:dyDescent="0.3">
      <c r="A1239" s="1">
        <v>46020</v>
      </c>
      <c r="B1239">
        <v>85004.75</v>
      </c>
      <c r="C1239">
        <v>85250</v>
      </c>
      <c r="D1239">
        <v>84637.86</v>
      </c>
      <c r="E1239">
        <v>84695.54</v>
      </c>
      <c r="F1239">
        <v>-345.91</v>
      </c>
      <c r="G1239">
        <v>-0.41</v>
      </c>
      <c r="H1239">
        <v>5.33</v>
      </c>
      <c r="I1239">
        <v>2407.4</v>
      </c>
      <c r="J1239">
        <v>23.37</v>
      </c>
      <c r="K1239">
        <v>4.54</v>
      </c>
      <c r="L1239">
        <v>1.1299999999999999</v>
      </c>
    </row>
    <row r="1240" spans="1:12" x14ac:dyDescent="0.3">
      <c r="A1240" s="1">
        <v>46021</v>
      </c>
      <c r="B1240">
        <v>84600.99</v>
      </c>
      <c r="C1240">
        <v>84806.99</v>
      </c>
      <c r="D1240">
        <v>84470.94</v>
      </c>
      <c r="E1240">
        <v>84675.08</v>
      </c>
      <c r="F1240">
        <v>-20.46</v>
      </c>
      <c r="G1240">
        <v>-0.02</v>
      </c>
      <c r="H1240">
        <v>0.69</v>
      </c>
      <c r="I1240">
        <v>626.91999999999996</v>
      </c>
      <c r="J1240">
        <v>23.36</v>
      </c>
      <c r="K1240">
        <v>4.54</v>
      </c>
      <c r="L1240">
        <v>1.1299999999999999</v>
      </c>
    </row>
    <row r="1241" spans="1:12" x14ac:dyDescent="0.3">
      <c r="A1241" s="1">
        <v>46022</v>
      </c>
      <c r="B1241">
        <v>84793.58</v>
      </c>
      <c r="C1241">
        <v>85437.17</v>
      </c>
      <c r="D1241">
        <v>84705.57</v>
      </c>
      <c r="E1241">
        <v>85220.6</v>
      </c>
      <c r="F1241">
        <v>545.52</v>
      </c>
      <c r="G1241">
        <v>0.64</v>
      </c>
      <c r="H1241">
        <v>1.1599999999999999</v>
      </c>
      <c r="I1241">
        <v>1084.8699999999999</v>
      </c>
      <c r="J1241">
        <v>23.51</v>
      </c>
      <c r="K1241">
        <v>4.57</v>
      </c>
      <c r="L1241">
        <v>1.1299999999999999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A68EC-EC27-4A6C-9677-7B0F25C6F30A}">
  <dimension ref="A1:AZ1241"/>
  <sheetViews>
    <sheetView tabSelected="1" topLeftCell="AC7" zoomScaleNormal="100" workbookViewId="0">
      <selection activeCell="AM22" sqref="AM22"/>
    </sheetView>
  </sheetViews>
  <sheetFormatPr defaultRowHeight="14.4" x14ac:dyDescent="0.3"/>
  <cols>
    <col min="1" max="1" width="12.21875"/>
    <col min="2" max="2" width="12.88671875" customWidth="1"/>
    <col min="3" max="3" width="20.6640625" customWidth="1"/>
    <col min="4" max="4" width="21.21875" customWidth="1"/>
    <col min="5" max="5" width="36.5546875" customWidth="1"/>
    <col min="8" max="8" width="33" customWidth="1"/>
    <col min="9" max="9" width="18.109375" customWidth="1"/>
    <col min="15" max="15" width="12.33203125" customWidth="1"/>
    <col min="16" max="16" width="13.44140625" customWidth="1"/>
    <col min="17" max="17" width="21.77734375" customWidth="1"/>
    <col min="18" max="18" width="22.6640625" customWidth="1"/>
    <col min="20" max="20" width="53.6640625" customWidth="1"/>
    <col min="25" max="25" width="62.33203125" customWidth="1"/>
    <col min="26" max="26" width="12" bestFit="1" customWidth="1"/>
    <col min="35" max="35" width="14" customWidth="1"/>
    <col min="37" max="37" width="29.21875" customWidth="1"/>
    <col min="40" max="40" width="20.109375" customWidth="1"/>
    <col min="42" max="42" width="17.109375" customWidth="1"/>
    <col min="43" max="43" width="14.6640625" customWidth="1"/>
    <col min="44" max="44" width="14.109375" customWidth="1"/>
    <col min="45" max="45" width="18.44140625" customWidth="1"/>
    <col min="46" max="46" width="13.88671875" customWidth="1"/>
    <col min="47" max="47" width="15.6640625" customWidth="1"/>
    <col min="48" max="48" width="13.77734375" customWidth="1"/>
    <col min="49" max="49" width="14.44140625" customWidth="1"/>
    <col min="51" max="51" width="14.109375" customWidth="1"/>
    <col min="52" max="52" width="12.33203125" customWidth="1"/>
    <col min="53" max="53" width="12.5546875" customWidth="1"/>
    <col min="54" max="54" width="18.6640625" customWidth="1"/>
    <col min="55" max="55" width="13.33203125" customWidth="1"/>
  </cols>
  <sheetData>
    <row r="1" spans="1:52" x14ac:dyDescent="0.3">
      <c r="A1" s="3" t="s">
        <v>0</v>
      </c>
      <c r="B1" s="3" t="s">
        <v>4</v>
      </c>
      <c r="C1" s="3" t="s">
        <v>16</v>
      </c>
      <c r="D1" s="3" t="s">
        <v>17</v>
      </c>
      <c r="E1" s="17"/>
      <c r="F1" s="17"/>
      <c r="G1" s="17"/>
      <c r="H1" s="17"/>
      <c r="I1" s="17"/>
      <c r="J1" s="17"/>
      <c r="K1" s="17"/>
      <c r="L1" s="17"/>
      <c r="O1" t="s">
        <v>0</v>
      </c>
      <c r="P1" t="s">
        <v>4</v>
      </c>
      <c r="Q1" t="s">
        <v>15</v>
      </c>
      <c r="R1" t="s">
        <v>19</v>
      </c>
      <c r="S1" s="17"/>
      <c r="T1" s="17"/>
      <c r="U1" s="17"/>
      <c r="V1" s="17"/>
      <c r="W1" s="17"/>
      <c r="X1" s="17"/>
      <c r="Y1" s="22"/>
      <c r="Z1" s="22"/>
      <c r="AA1" s="22"/>
      <c r="AB1" s="22"/>
      <c r="AC1" s="22"/>
      <c r="AD1" s="22"/>
      <c r="AE1" s="22"/>
      <c r="AF1" s="22"/>
      <c r="AG1" s="22"/>
    </row>
    <row r="2" spans="1:52" ht="18" customHeight="1" x14ac:dyDescent="0.7">
      <c r="A2" s="1">
        <v>44197</v>
      </c>
      <c r="B2">
        <v>33.1</v>
      </c>
      <c r="C2" t="s">
        <v>13</v>
      </c>
      <c r="D2" t="s">
        <v>13</v>
      </c>
      <c r="E2" s="17"/>
      <c r="F2" s="18"/>
      <c r="G2" s="17"/>
      <c r="H2" s="17"/>
      <c r="I2" s="17"/>
      <c r="J2" s="17"/>
      <c r="K2" s="17"/>
      <c r="L2" s="17"/>
      <c r="O2" s="1">
        <v>44197</v>
      </c>
      <c r="P2">
        <v>47868.98</v>
      </c>
      <c r="Q2" t="s">
        <v>13</v>
      </c>
      <c r="S2" s="17"/>
      <c r="T2" s="17"/>
      <c r="U2" s="17"/>
      <c r="V2" s="17"/>
      <c r="W2" s="17"/>
      <c r="X2" s="17"/>
      <c r="Y2" s="22"/>
      <c r="Z2" s="22"/>
      <c r="AA2" s="22"/>
      <c r="AB2" s="22"/>
      <c r="AC2" s="22"/>
      <c r="AD2" s="22"/>
      <c r="AE2" s="22"/>
      <c r="AF2" s="22"/>
      <c r="AG2" s="22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</row>
    <row r="3" spans="1:52" x14ac:dyDescent="0.3">
      <c r="A3" s="1">
        <v>44200</v>
      </c>
      <c r="B3">
        <v>32.200000000000003</v>
      </c>
      <c r="C3">
        <f>(B3-B2)/B2</f>
        <v>-2.7190332326283945E-2</v>
      </c>
      <c r="D3" s="2">
        <f>(B3-B2)/B2</f>
        <v>-2.7190332326283945E-2</v>
      </c>
      <c r="E3" s="17"/>
      <c r="F3" s="17"/>
      <c r="G3" s="17"/>
      <c r="H3" s="17"/>
      <c r="I3" s="17"/>
      <c r="J3" s="17"/>
      <c r="K3" s="17"/>
      <c r="L3" s="17"/>
      <c r="O3" s="1">
        <v>44200</v>
      </c>
      <c r="P3">
        <v>48176.800000000003</v>
      </c>
      <c r="Q3">
        <f>(P3-P2)/P2</f>
        <v>6.4304691681335109E-3</v>
      </c>
      <c r="R3" s="2">
        <f>(P3-P2)/P2</f>
        <v>6.4304691681335109E-3</v>
      </c>
      <c r="S3" s="17"/>
      <c r="T3" s="17"/>
      <c r="U3" s="19" t="s">
        <v>20</v>
      </c>
      <c r="V3" s="19" t="s">
        <v>21</v>
      </c>
      <c r="W3" s="17"/>
      <c r="X3" s="17"/>
      <c r="Y3" s="22"/>
      <c r="Z3" s="22"/>
      <c r="AA3" s="22"/>
      <c r="AB3" s="22"/>
      <c r="AC3" s="22"/>
      <c r="AD3" s="22"/>
      <c r="AE3" s="22"/>
      <c r="AF3" s="22"/>
      <c r="AG3" s="22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</row>
    <row r="4" spans="1:52" x14ac:dyDescent="0.3">
      <c r="A4" s="1">
        <v>44201</v>
      </c>
      <c r="B4">
        <v>31.95</v>
      </c>
      <c r="C4">
        <f t="shared" ref="C4:C67" si="0">(B4-B3)/B3</f>
        <v>-7.7639751552796132E-3</v>
      </c>
      <c r="D4" s="2">
        <f t="shared" ref="D4:D67" si="1">(B4-B3)/B3</f>
        <v>-7.7639751552796132E-3</v>
      </c>
      <c r="E4" s="17"/>
      <c r="F4" s="19" t="s">
        <v>20</v>
      </c>
      <c r="G4" s="19" t="s">
        <v>21</v>
      </c>
      <c r="H4" s="17"/>
      <c r="I4" s="17"/>
      <c r="J4" s="17"/>
      <c r="K4" s="17"/>
      <c r="L4" s="17"/>
      <c r="O4" s="1">
        <v>44201</v>
      </c>
      <c r="P4">
        <v>48437.78</v>
      </c>
      <c r="Q4">
        <f t="shared" ref="Q4:Q67" si="2">(P4-P3)/P3</f>
        <v>5.4171302369604435E-3</v>
      </c>
      <c r="R4" s="2">
        <f t="shared" ref="R4:R67" si="3">(P4-P3)/P3</f>
        <v>5.4171302369604435E-3</v>
      </c>
      <c r="S4" s="17"/>
      <c r="T4" s="19" t="s">
        <v>24</v>
      </c>
      <c r="U4" s="21">
        <f>AVERAGE(Q3:Q1241)</f>
        <v>5.0461517469639399E-4</v>
      </c>
      <c r="V4" s="20">
        <f>AVERAGE(Q3:Q1241)</f>
        <v>5.0461517469639399E-4</v>
      </c>
      <c r="W4" s="17"/>
      <c r="X4" s="17"/>
      <c r="Y4" s="22"/>
      <c r="Z4" s="22"/>
      <c r="AA4" s="22"/>
      <c r="AB4" s="22"/>
      <c r="AC4" s="22"/>
      <c r="AD4" s="22"/>
      <c r="AE4" s="22"/>
      <c r="AF4" s="22"/>
      <c r="AG4" s="22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</row>
    <row r="5" spans="1:52" x14ac:dyDescent="0.3">
      <c r="A5" s="1">
        <v>44202</v>
      </c>
      <c r="B5">
        <v>30.9</v>
      </c>
      <c r="C5">
        <f t="shared" si="0"/>
        <v>-3.2863849765258239E-2</v>
      </c>
      <c r="D5" s="2">
        <f t="shared" si="1"/>
        <v>-3.2863849765258239E-2</v>
      </c>
      <c r="E5" s="19" t="s">
        <v>14</v>
      </c>
      <c r="F5" s="17">
        <f>AVERAGE(C3:C1241)</f>
        <v>2.6696663149423545E-3</v>
      </c>
      <c r="G5" s="20">
        <f>AVERAGE(C3:C1241)</f>
        <v>2.6696663149423545E-3</v>
      </c>
      <c r="H5" s="17"/>
      <c r="I5" s="17"/>
      <c r="J5" s="17"/>
      <c r="K5" s="17"/>
      <c r="L5" s="17"/>
      <c r="O5" s="1">
        <v>44202</v>
      </c>
      <c r="P5">
        <v>48174.06</v>
      </c>
      <c r="Q5">
        <f t="shared" si="2"/>
        <v>-5.444510462700833E-3</v>
      </c>
      <c r="R5" s="2">
        <f t="shared" si="3"/>
        <v>-5.444510462700833E-3</v>
      </c>
      <c r="S5" s="17"/>
      <c r="T5" s="19" t="s">
        <v>25</v>
      </c>
      <c r="U5" s="17">
        <f>_xlfn.STDEV.S(Q3:Q1241)</f>
        <v>8.8282244368571971E-3</v>
      </c>
      <c r="V5" s="20">
        <f>_xlfn.STDEV.S(Q3:Q1241)</f>
        <v>8.8282244368571971E-3</v>
      </c>
      <c r="W5" s="17"/>
      <c r="X5" s="17"/>
      <c r="Y5" s="22"/>
      <c r="Z5" s="22"/>
      <c r="AA5" s="22"/>
      <c r="AB5" s="22"/>
      <c r="AC5" s="22"/>
      <c r="AD5" s="22"/>
      <c r="AE5" s="22"/>
      <c r="AF5" s="22"/>
      <c r="AG5" s="22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</row>
    <row r="6" spans="1:52" x14ac:dyDescent="0.3">
      <c r="A6" s="1">
        <v>44203</v>
      </c>
      <c r="B6">
        <v>33.9</v>
      </c>
      <c r="C6">
        <f t="shared" si="0"/>
        <v>9.7087378640776698E-2</v>
      </c>
      <c r="D6" s="2">
        <f t="shared" si="1"/>
        <v>9.7087378640776698E-2</v>
      </c>
      <c r="E6" s="19" t="s">
        <v>18</v>
      </c>
      <c r="F6" s="17">
        <f>_xlfn.STDEV.S(C3:C1241)</f>
        <v>3.9014628088536028E-2</v>
      </c>
      <c r="G6" s="20">
        <f>_xlfn.STDEV.S(C3:C1241)</f>
        <v>3.9014628088536028E-2</v>
      </c>
      <c r="H6" s="17"/>
      <c r="I6" s="17"/>
      <c r="J6" s="17"/>
      <c r="K6" s="17"/>
      <c r="L6" s="17"/>
      <c r="O6" s="1">
        <v>44203</v>
      </c>
      <c r="P6">
        <v>48093.32</v>
      </c>
      <c r="Q6">
        <f t="shared" si="2"/>
        <v>-1.6760057175998445E-3</v>
      </c>
      <c r="R6" s="2">
        <f t="shared" si="3"/>
        <v>-1.6760057175998445E-3</v>
      </c>
      <c r="S6" s="17"/>
      <c r="T6" s="17"/>
      <c r="U6" s="17"/>
      <c r="V6" s="17"/>
      <c r="W6" s="17"/>
      <c r="X6" s="17"/>
      <c r="Y6" s="23" t="s">
        <v>22</v>
      </c>
      <c r="Z6" s="24">
        <f>_xlfn.COVARIANCE.S(C3:C1241,Q3:Q1241)</f>
        <v>7.3291549940789237E-5</v>
      </c>
      <c r="AA6" s="22"/>
      <c r="AB6" s="22"/>
      <c r="AC6" s="22"/>
      <c r="AD6" s="22"/>
      <c r="AE6" s="22"/>
      <c r="AF6" s="22"/>
      <c r="AG6" s="22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</row>
    <row r="7" spans="1:52" x14ac:dyDescent="0.3">
      <c r="A7" s="1">
        <v>44204</v>
      </c>
      <c r="B7">
        <v>33.049999999999997</v>
      </c>
      <c r="C7">
        <f t="shared" si="0"/>
        <v>-2.5073746312684407E-2</v>
      </c>
      <c r="D7" s="2">
        <f t="shared" si="1"/>
        <v>-2.5073746312684407E-2</v>
      </c>
      <c r="E7" s="17"/>
      <c r="F7" s="17"/>
      <c r="G7" s="17"/>
      <c r="H7" s="17"/>
      <c r="I7" s="17"/>
      <c r="J7" s="17"/>
      <c r="K7" s="17"/>
      <c r="L7" s="17"/>
      <c r="O7" s="1">
        <v>44204</v>
      </c>
      <c r="P7">
        <v>48782.51</v>
      </c>
      <c r="Q7">
        <f t="shared" si="2"/>
        <v>1.4330264577284379E-2</v>
      </c>
      <c r="R7" s="2">
        <f t="shared" si="3"/>
        <v>1.4330264577284379E-2</v>
      </c>
      <c r="S7" s="17"/>
      <c r="T7" s="17"/>
      <c r="U7" s="17"/>
      <c r="V7" s="17"/>
      <c r="W7" s="17"/>
      <c r="X7" s="17"/>
      <c r="Y7" s="23" t="s">
        <v>23</v>
      </c>
      <c r="Z7" s="22">
        <f>CORREL(C3:C1241,Q3:Q1241)</f>
        <v>0.21279090872192671</v>
      </c>
      <c r="AA7" s="22"/>
      <c r="AB7" s="22"/>
      <c r="AC7" s="22"/>
      <c r="AD7" s="22"/>
      <c r="AE7" s="22"/>
      <c r="AF7" s="22"/>
      <c r="AG7" s="22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</row>
    <row r="8" spans="1:52" x14ac:dyDescent="0.3">
      <c r="A8" s="1">
        <v>44207</v>
      </c>
      <c r="B8">
        <v>32.85</v>
      </c>
      <c r="C8">
        <f t="shared" si="0"/>
        <v>-6.0514372163387523E-3</v>
      </c>
      <c r="D8" s="2">
        <f t="shared" si="1"/>
        <v>-6.0514372163387523E-3</v>
      </c>
      <c r="E8" s="17"/>
      <c r="F8" s="17"/>
      <c r="G8" s="17"/>
      <c r="H8" s="17"/>
      <c r="I8" s="17"/>
      <c r="J8" s="17"/>
      <c r="K8" s="17"/>
      <c r="L8" s="17"/>
      <c r="O8" s="1">
        <v>44207</v>
      </c>
      <c r="P8">
        <v>49269.32</v>
      </c>
      <c r="Q8">
        <f t="shared" si="2"/>
        <v>9.9791913126240864E-3</v>
      </c>
      <c r="R8" s="2">
        <f t="shared" si="3"/>
        <v>9.9791913126240864E-3</v>
      </c>
      <c r="S8" s="17"/>
      <c r="T8" s="19" t="s">
        <v>53</v>
      </c>
      <c r="U8" s="19" t="s">
        <v>79</v>
      </c>
      <c r="V8" s="19" t="s">
        <v>81</v>
      </c>
      <c r="W8" s="17"/>
      <c r="X8" s="17"/>
      <c r="Y8" s="22"/>
      <c r="Z8" s="22"/>
      <c r="AA8" s="22"/>
      <c r="AB8" s="22"/>
      <c r="AC8" s="22"/>
      <c r="AD8" s="22"/>
      <c r="AE8" s="22"/>
      <c r="AF8" s="22"/>
      <c r="AG8" s="22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</row>
    <row r="9" spans="1:52" x14ac:dyDescent="0.3">
      <c r="A9" s="1">
        <v>44208</v>
      </c>
      <c r="B9">
        <v>32.049999999999997</v>
      </c>
      <c r="C9">
        <f t="shared" si="0"/>
        <v>-2.4353120243531329E-2</v>
      </c>
      <c r="D9" s="2">
        <f t="shared" si="1"/>
        <v>-2.4353120243531329E-2</v>
      </c>
      <c r="E9" s="17"/>
      <c r="F9" s="17"/>
      <c r="G9" s="17"/>
      <c r="H9" s="19" t="s">
        <v>72</v>
      </c>
      <c r="I9" s="19" t="s">
        <v>77</v>
      </c>
      <c r="J9" s="19" t="s">
        <v>78</v>
      </c>
      <c r="K9" s="17"/>
      <c r="L9" s="17"/>
      <c r="O9" s="1">
        <v>44208</v>
      </c>
      <c r="P9">
        <v>49517.11</v>
      </c>
      <c r="Q9">
        <f t="shared" si="2"/>
        <v>5.0292961218056367E-3</v>
      </c>
      <c r="R9" s="2">
        <f t="shared" si="3"/>
        <v>5.0292961218056367E-3</v>
      </c>
      <c r="S9" s="17"/>
      <c r="T9" s="19" t="s">
        <v>54</v>
      </c>
      <c r="U9" s="17">
        <f>AVERAGE(Q3:Q249)</f>
        <v>8.4485718755751311E-4</v>
      </c>
      <c r="V9" s="17">
        <f>(1+U9)^252-1</f>
        <v>0.23715467392650158</v>
      </c>
      <c r="W9" s="17"/>
      <c r="X9" s="17"/>
      <c r="Y9" s="22"/>
      <c r="Z9" s="22"/>
      <c r="AA9" s="22"/>
      <c r="AB9" s="22"/>
      <c r="AC9" s="22"/>
      <c r="AD9" s="22"/>
      <c r="AE9" s="22"/>
      <c r="AF9" s="22"/>
      <c r="AG9" s="22"/>
      <c r="AI9" s="26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</row>
    <row r="10" spans="1:52" x14ac:dyDescent="0.3">
      <c r="A10" s="1">
        <v>44209</v>
      </c>
      <c r="B10">
        <v>31.2</v>
      </c>
      <c r="C10">
        <f t="shared" si="0"/>
        <v>-2.6521060842433632E-2</v>
      </c>
      <c r="D10" s="2">
        <f t="shared" si="1"/>
        <v>-2.6521060842433632E-2</v>
      </c>
      <c r="E10" s="17"/>
      <c r="F10" s="17"/>
      <c r="G10" s="17"/>
      <c r="H10" s="19" t="s">
        <v>54</v>
      </c>
      <c r="I10" s="17">
        <f>AVERAGE(C3:C249)</f>
        <v>4.6625504095424404E-3</v>
      </c>
      <c r="J10" s="17">
        <f>(1+I10)^252-1</f>
        <v>2.2291922431642353</v>
      </c>
      <c r="K10" s="17"/>
      <c r="L10" s="17"/>
      <c r="O10" s="1">
        <v>44209</v>
      </c>
      <c r="P10">
        <v>49492.32</v>
      </c>
      <c r="Q10">
        <f t="shared" si="2"/>
        <v>-5.0063503302193667E-4</v>
      </c>
      <c r="R10" s="2">
        <f t="shared" si="3"/>
        <v>-5.0063503302193667E-4</v>
      </c>
      <c r="S10" s="17"/>
      <c r="T10" s="19" t="s">
        <v>55</v>
      </c>
      <c r="U10" s="17">
        <f>AVERAGE(Q250:Q497)</f>
        <v>2.3578934537817853E-4</v>
      </c>
      <c r="V10" s="17">
        <f t="shared" ref="V10:V13" si="4">(1+U10)^252-1</f>
        <v>6.1212275694364271E-2</v>
      </c>
      <c r="W10" s="17"/>
      <c r="X10" s="17"/>
      <c r="Y10" s="22"/>
      <c r="Z10" s="22"/>
      <c r="AA10" s="22"/>
      <c r="AB10" s="22"/>
      <c r="AC10" s="22"/>
      <c r="AD10" s="22"/>
      <c r="AE10" s="22"/>
      <c r="AF10" s="22"/>
      <c r="AG10" s="22"/>
      <c r="AI10" s="25"/>
      <c r="AJ10" s="25"/>
      <c r="AK10" s="25"/>
      <c r="AL10" s="25"/>
      <c r="AM10" s="25"/>
      <c r="AN10" s="25"/>
      <c r="AO10" s="25" t="s">
        <v>49</v>
      </c>
      <c r="AP10" s="25"/>
      <c r="AQ10" s="25"/>
      <c r="AR10" s="25"/>
      <c r="AS10" s="25"/>
      <c r="AT10" s="25"/>
      <c r="AU10" s="25"/>
    </row>
    <row r="11" spans="1:52" x14ac:dyDescent="0.3">
      <c r="A11" s="1">
        <v>44210</v>
      </c>
      <c r="B11">
        <v>29.75</v>
      </c>
      <c r="C11">
        <f t="shared" si="0"/>
        <v>-4.6474358974358955E-2</v>
      </c>
      <c r="D11" s="2">
        <f t="shared" si="1"/>
        <v>-4.6474358974358955E-2</v>
      </c>
      <c r="E11" s="17"/>
      <c r="F11" s="17"/>
      <c r="G11" s="17"/>
      <c r="H11" s="19" t="s">
        <v>55</v>
      </c>
      <c r="I11" s="17">
        <f>AVERAGE(C250:C497)</f>
        <v>3.7158649862353904E-3</v>
      </c>
      <c r="J11" s="17">
        <f>(1+I11)^252-1</f>
        <v>1.5463539440931893</v>
      </c>
      <c r="K11" s="17"/>
      <c r="L11" s="17"/>
      <c r="O11" s="1">
        <v>44210</v>
      </c>
      <c r="P11">
        <v>49584.160000000003</v>
      </c>
      <c r="Q11">
        <f t="shared" si="2"/>
        <v>1.8556414409347508E-3</v>
      </c>
      <c r="R11" s="2">
        <f t="shared" si="3"/>
        <v>1.8556414409347508E-3</v>
      </c>
      <c r="S11" s="17"/>
      <c r="T11" s="19" t="s">
        <v>56</v>
      </c>
      <c r="U11" s="17">
        <f>AVERAGE(Q498:Q743)</f>
        <v>7.1776647734053635E-4</v>
      </c>
      <c r="V11" s="17">
        <f t="shared" si="4"/>
        <v>0.19819022139689579</v>
      </c>
      <c r="W11" s="17"/>
      <c r="X11" s="17"/>
      <c r="Y11" s="22"/>
      <c r="Z11" s="22"/>
      <c r="AA11" s="22"/>
      <c r="AB11" s="22"/>
      <c r="AC11" s="22"/>
      <c r="AD11" s="22"/>
      <c r="AE11" s="22"/>
      <c r="AF11" s="22"/>
      <c r="AG11" s="22"/>
      <c r="AI11" s="25"/>
      <c r="AJ11" s="25"/>
      <c r="AK11" s="25"/>
      <c r="AL11" s="25"/>
      <c r="AM11" s="25"/>
      <c r="AN11" s="25"/>
      <c r="AO11" s="25" t="s">
        <v>50</v>
      </c>
      <c r="AP11" s="25"/>
      <c r="AQ11" s="25"/>
      <c r="AR11" s="25"/>
      <c r="AS11" s="25"/>
      <c r="AT11" s="25"/>
      <c r="AU11" s="25"/>
    </row>
    <row r="12" spans="1:52" x14ac:dyDescent="0.3">
      <c r="A12" s="1">
        <v>44211</v>
      </c>
      <c r="B12">
        <v>29.25</v>
      </c>
      <c r="C12">
        <f t="shared" si="0"/>
        <v>-1.680672268907563E-2</v>
      </c>
      <c r="D12" s="2">
        <f t="shared" si="1"/>
        <v>-1.680672268907563E-2</v>
      </c>
      <c r="E12" s="17"/>
      <c r="F12" s="17"/>
      <c r="G12" s="17"/>
      <c r="H12" s="19" t="s">
        <v>56</v>
      </c>
      <c r="I12" s="17">
        <f>AVERAGE(C498:C743)</f>
        <v>3.9596793948336474E-3</v>
      </c>
      <c r="J12" s="17">
        <f>(1+I12)^252-1</f>
        <v>1.7070753498880826</v>
      </c>
      <c r="K12" s="17"/>
      <c r="L12" s="17"/>
      <c r="O12" s="1">
        <v>44211</v>
      </c>
      <c r="P12">
        <v>49034.67</v>
      </c>
      <c r="Q12">
        <f t="shared" si="2"/>
        <v>-1.1081966498978812E-2</v>
      </c>
      <c r="R12" s="2">
        <f t="shared" si="3"/>
        <v>-1.1081966498978812E-2</v>
      </c>
      <c r="S12" s="17"/>
      <c r="T12" s="19" t="s">
        <v>57</v>
      </c>
      <c r="U12" s="17">
        <f>AVERAGE(Q744:Q992)</f>
        <v>3.5357752904206303E-4</v>
      </c>
      <c r="V12" s="17">
        <f t="shared" si="4"/>
        <v>9.3174434514059934E-2</v>
      </c>
      <c r="W12" s="17"/>
      <c r="X12" s="17"/>
      <c r="Y12" s="22"/>
      <c r="Z12" s="22"/>
      <c r="AA12" s="22"/>
      <c r="AB12" s="22"/>
      <c r="AC12" s="22"/>
      <c r="AD12" s="22"/>
      <c r="AE12" s="22"/>
      <c r="AF12" s="22"/>
      <c r="AG12" s="22"/>
      <c r="AI12" s="25" t="s">
        <v>48</v>
      </c>
      <c r="AJ12" s="25"/>
      <c r="AK12" s="25"/>
      <c r="AL12" s="25" t="s">
        <v>74</v>
      </c>
      <c r="AM12" s="25"/>
      <c r="AN12" s="25"/>
      <c r="AO12" s="25" t="s">
        <v>51</v>
      </c>
      <c r="AP12" s="25"/>
      <c r="AQ12" s="25"/>
      <c r="AR12" s="25"/>
      <c r="AS12" s="25"/>
      <c r="AT12" s="25"/>
      <c r="AU12" s="25"/>
    </row>
    <row r="13" spans="1:52" x14ac:dyDescent="0.3">
      <c r="A13" s="1">
        <v>44214</v>
      </c>
      <c r="B13">
        <v>29.1</v>
      </c>
      <c r="C13">
        <f t="shared" si="0"/>
        <v>-5.1282051282050796E-3</v>
      </c>
      <c r="D13" s="2">
        <f t="shared" si="1"/>
        <v>-5.1282051282050796E-3</v>
      </c>
      <c r="E13" s="17"/>
      <c r="F13" s="17"/>
      <c r="G13" s="17"/>
      <c r="H13" s="19" t="s">
        <v>57</v>
      </c>
      <c r="I13" s="17">
        <f>AVERAGE(C744:C992)</f>
        <v>3.8448172376974042E-3</v>
      </c>
      <c r="J13" s="17">
        <f>(1+I13)^252-1</f>
        <v>1.6301374163037772</v>
      </c>
      <c r="K13" s="17"/>
      <c r="L13" s="17"/>
      <c r="O13" s="1">
        <v>44214</v>
      </c>
      <c r="P13">
        <v>48564.27</v>
      </c>
      <c r="Q13">
        <f t="shared" si="2"/>
        <v>-9.5932123128390882E-3</v>
      </c>
      <c r="R13" s="2">
        <f t="shared" si="3"/>
        <v>-9.5932123128390882E-3</v>
      </c>
      <c r="S13" s="17"/>
      <c r="T13" s="19" t="s">
        <v>58</v>
      </c>
      <c r="U13" s="17">
        <f>AVERAGE(Q993:Q1241)</f>
        <v>3.7530666791603574E-4</v>
      </c>
      <c r="V13" s="17">
        <f t="shared" si="4"/>
        <v>9.9174602756621821E-2</v>
      </c>
      <c r="W13" s="17"/>
      <c r="X13" s="17"/>
      <c r="Y13" s="22"/>
      <c r="Z13" s="22"/>
      <c r="AA13" s="22"/>
      <c r="AB13" s="22"/>
      <c r="AC13" s="22"/>
      <c r="AD13" s="22"/>
      <c r="AE13" s="22"/>
      <c r="AF13" s="22"/>
      <c r="AG13" s="22"/>
      <c r="AI13" s="25"/>
      <c r="AJ13" s="25"/>
      <c r="AK13" s="25"/>
      <c r="AL13" s="25"/>
      <c r="AM13" s="25"/>
      <c r="AN13" s="27">
        <v>6.7199999999999996E-2</v>
      </c>
      <c r="AO13" s="25" t="s">
        <v>52</v>
      </c>
      <c r="AP13" s="25"/>
      <c r="AQ13" s="25"/>
      <c r="AR13" s="25"/>
      <c r="AS13" s="25"/>
      <c r="AT13" s="25"/>
      <c r="AU13" s="25"/>
      <c r="AX13" s="3"/>
    </row>
    <row r="14" spans="1:52" x14ac:dyDescent="0.3">
      <c r="A14" s="1">
        <v>44215</v>
      </c>
      <c r="B14">
        <v>30.2</v>
      </c>
      <c r="C14">
        <f t="shared" si="0"/>
        <v>3.7800687285223296E-2</v>
      </c>
      <c r="D14" s="2">
        <f t="shared" si="1"/>
        <v>3.7800687285223296E-2</v>
      </c>
      <c r="E14" s="17"/>
      <c r="F14" s="17"/>
      <c r="G14" s="17"/>
      <c r="H14" s="19" t="s">
        <v>58</v>
      </c>
      <c r="I14" s="17">
        <f>AVERAGE(C994:C1242)</f>
        <v>-2.850038374776335E-3</v>
      </c>
      <c r="J14" s="17">
        <f>(1+I14)^252-1</f>
        <v>-0.512875275933109</v>
      </c>
      <c r="K14" s="17"/>
      <c r="L14" s="17"/>
      <c r="O14" s="1">
        <v>44215</v>
      </c>
      <c r="P14">
        <v>49398.29</v>
      </c>
      <c r="Q14">
        <f t="shared" si="2"/>
        <v>1.7173531075418288E-2</v>
      </c>
      <c r="R14" s="2">
        <f t="shared" si="3"/>
        <v>1.7173531075418288E-2</v>
      </c>
      <c r="Y14" s="22"/>
      <c r="Z14" s="22"/>
      <c r="AA14" s="22"/>
      <c r="AB14" s="22"/>
      <c r="AC14" s="22"/>
      <c r="AD14" s="22"/>
      <c r="AE14" s="22"/>
      <c r="AF14" s="22"/>
      <c r="AG14" s="22"/>
      <c r="AI14" s="28"/>
      <c r="AJ14" s="28"/>
      <c r="AK14" s="28"/>
      <c r="AL14" s="28"/>
      <c r="AM14" s="28"/>
      <c r="AN14" s="28"/>
      <c r="AO14" s="25"/>
      <c r="AP14" s="25"/>
      <c r="AQ14" s="25"/>
      <c r="AR14" s="28"/>
      <c r="AS14" s="28"/>
      <c r="AT14" s="25"/>
      <c r="AU14" s="25"/>
      <c r="AZ14" s="3"/>
    </row>
    <row r="15" spans="1:52" x14ac:dyDescent="0.3">
      <c r="A15" s="1">
        <v>44216</v>
      </c>
      <c r="B15">
        <v>30.15</v>
      </c>
      <c r="C15">
        <f t="shared" si="0"/>
        <v>-1.6556291390728713E-3</v>
      </c>
      <c r="D15" s="2">
        <f t="shared" si="1"/>
        <v>-1.6556291390728713E-3</v>
      </c>
      <c r="E15" s="17"/>
      <c r="F15" s="17"/>
      <c r="G15" s="17"/>
      <c r="H15" s="17"/>
      <c r="I15" s="17"/>
      <c r="J15" s="17"/>
      <c r="K15" s="17"/>
      <c r="L15" s="17"/>
      <c r="O15" s="1">
        <v>44216</v>
      </c>
      <c r="P15">
        <v>49792.12</v>
      </c>
      <c r="Q15">
        <f t="shared" si="2"/>
        <v>7.9725431791262766E-3</v>
      </c>
      <c r="R15" s="2">
        <f t="shared" si="3"/>
        <v>7.9725431791262766E-3</v>
      </c>
      <c r="Y15" s="22"/>
      <c r="Z15" s="22"/>
      <c r="AA15" s="22"/>
      <c r="AB15" s="22"/>
      <c r="AC15" s="22"/>
      <c r="AD15" s="22"/>
      <c r="AE15" s="22"/>
      <c r="AF15" s="22"/>
      <c r="AG15" s="22"/>
      <c r="AI15" s="25"/>
      <c r="AJ15" s="25"/>
      <c r="AK15" s="25"/>
      <c r="AL15" s="25"/>
      <c r="AM15" s="25"/>
      <c r="AN15" s="25"/>
      <c r="AO15" s="25" t="s">
        <v>48</v>
      </c>
      <c r="AP15" s="25"/>
      <c r="AQ15" s="25"/>
      <c r="AR15" s="25"/>
      <c r="AS15" s="25"/>
      <c r="AT15" s="25"/>
      <c r="AU15" s="28"/>
      <c r="AV15" s="3"/>
      <c r="AW15" s="3"/>
    </row>
    <row r="16" spans="1:52" ht="16.2" customHeight="1" x14ac:dyDescent="0.3">
      <c r="A16" s="1">
        <v>44217</v>
      </c>
      <c r="B16">
        <v>29</v>
      </c>
      <c r="C16">
        <f t="shared" si="0"/>
        <v>-3.8142620232172422E-2</v>
      </c>
      <c r="D16" s="2">
        <f t="shared" si="1"/>
        <v>-3.8142620232172422E-2</v>
      </c>
      <c r="O16" s="1">
        <v>44217</v>
      </c>
      <c r="P16">
        <v>49624.76</v>
      </c>
      <c r="Q16">
        <f t="shared" si="2"/>
        <v>-3.3611744187634625E-3</v>
      </c>
      <c r="R16" s="2">
        <f t="shared" si="3"/>
        <v>-3.3611744187634625E-3</v>
      </c>
      <c r="Y16" s="22"/>
      <c r="Z16" s="22"/>
      <c r="AA16" s="22"/>
      <c r="AB16" s="22"/>
      <c r="AC16" s="22"/>
      <c r="AD16" s="22"/>
      <c r="AE16" s="22"/>
      <c r="AF16" s="22"/>
      <c r="AG16" s="22"/>
      <c r="AI16" s="32" t="s">
        <v>67</v>
      </c>
      <c r="AJ16" s="32" t="s">
        <v>37</v>
      </c>
      <c r="AK16" s="32" t="s">
        <v>61</v>
      </c>
      <c r="AL16" s="33"/>
      <c r="AM16" s="32" t="s">
        <v>80</v>
      </c>
      <c r="AN16" s="33"/>
      <c r="AO16" s="32" t="s">
        <v>82</v>
      </c>
      <c r="AP16" s="33"/>
      <c r="AQ16" s="34" t="s">
        <v>60</v>
      </c>
      <c r="AR16" s="35" t="s">
        <v>61</v>
      </c>
      <c r="AS16" s="25"/>
      <c r="AT16" s="25"/>
      <c r="AU16" s="25"/>
      <c r="AW16" s="12"/>
    </row>
    <row r="17" spans="1:52" x14ac:dyDescent="0.3">
      <c r="A17" s="1">
        <v>44218</v>
      </c>
      <c r="B17">
        <v>27.8</v>
      </c>
      <c r="C17">
        <f t="shared" si="0"/>
        <v>-4.1379310344827565E-2</v>
      </c>
      <c r="D17" s="2">
        <f t="shared" si="1"/>
        <v>-4.1379310344827565E-2</v>
      </c>
      <c r="O17" s="1">
        <v>44218</v>
      </c>
      <c r="P17">
        <v>48878.54</v>
      </c>
      <c r="Q17">
        <f t="shared" si="2"/>
        <v>-1.5037251565549156E-2</v>
      </c>
      <c r="R17" s="2">
        <f t="shared" si="3"/>
        <v>-1.5037251565549156E-2</v>
      </c>
      <c r="Y17" s="22"/>
      <c r="Z17" s="22"/>
      <c r="AA17" s="22"/>
      <c r="AB17" s="22"/>
      <c r="AC17" s="22"/>
      <c r="AD17" s="22"/>
      <c r="AE17" s="22"/>
      <c r="AF17" s="22"/>
      <c r="AG17" s="22"/>
      <c r="AI17" s="33">
        <v>2021</v>
      </c>
      <c r="AJ17" s="33">
        <f>_xlfn.COVARIANCE.S(C3:C249,Q3:Q249)/_xlfn.VAR.S(Q3:Q249)</f>
        <v>0.59135390870636806</v>
      </c>
      <c r="AK17" s="33" t="s">
        <v>69</v>
      </c>
      <c r="AL17" s="33"/>
      <c r="AM17" s="33">
        <f>V9</f>
        <v>0.23715467392650158</v>
      </c>
      <c r="AN17" s="33"/>
      <c r="AO17" s="33">
        <f>J10</f>
        <v>2.2291922431642353</v>
      </c>
      <c r="AP17" s="33"/>
      <c r="AQ17" s="36">
        <f>$AN$13 + AJ17 * (AM17 - $AN$13)</f>
        <v>0.16770336072935299</v>
      </c>
      <c r="AR17" s="33" t="s">
        <v>84</v>
      </c>
      <c r="AS17" s="25"/>
      <c r="AT17" s="25"/>
      <c r="AU17" s="25"/>
      <c r="AW17" s="12"/>
    </row>
    <row r="18" spans="1:52" x14ac:dyDescent="0.3">
      <c r="A18" s="1">
        <v>44221</v>
      </c>
      <c r="B18">
        <v>27.05</v>
      </c>
      <c r="C18">
        <f t="shared" si="0"/>
        <v>-2.6978417266187049E-2</v>
      </c>
      <c r="D18" s="2">
        <f t="shared" si="1"/>
        <v>-2.6978417266187049E-2</v>
      </c>
      <c r="O18" s="1">
        <v>44221</v>
      </c>
      <c r="P18">
        <v>48347.59</v>
      </c>
      <c r="Q18">
        <f t="shared" si="2"/>
        <v>-1.0862640332546847E-2</v>
      </c>
      <c r="R18" s="2">
        <f t="shared" si="3"/>
        <v>-1.0862640332546847E-2</v>
      </c>
      <c r="Y18" s="22"/>
      <c r="Z18" s="22"/>
      <c r="AA18" s="22"/>
      <c r="AB18" s="22"/>
      <c r="AC18" s="22"/>
      <c r="AD18" s="22"/>
      <c r="AE18" s="22"/>
      <c r="AF18" s="22"/>
      <c r="AG18" s="22"/>
      <c r="AI18" s="33">
        <v>2022</v>
      </c>
      <c r="AJ18" s="33">
        <f>_xlfn.COVARIANCE.S(C250:C497,Q250:Q497)/_xlfn.VAR.S(Q250:Q497)</f>
        <v>0.85889437147699732</v>
      </c>
      <c r="AK18" s="33" t="s">
        <v>69</v>
      </c>
      <c r="AL18" s="33"/>
      <c r="AM18" s="33">
        <f>V10</f>
        <v>6.1212275694364271E-2</v>
      </c>
      <c r="AN18" s="33"/>
      <c r="AO18" s="33">
        <f>J11</f>
        <v>1.5463539440931893</v>
      </c>
      <c r="AP18" s="33"/>
      <c r="AQ18" s="36">
        <f>$AN$13 + AJ18 * (AM18 - $AN$13)</f>
        <v>6.2057177295933463E-2</v>
      </c>
      <c r="AR18" s="33" t="s">
        <v>84</v>
      </c>
      <c r="AS18" s="25"/>
      <c r="AT18" s="25"/>
      <c r="AU18" s="25"/>
      <c r="AW18" s="12"/>
    </row>
    <row r="19" spans="1:52" x14ac:dyDescent="0.3">
      <c r="A19" s="1">
        <v>44223</v>
      </c>
      <c r="B19">
        <v>28.35</v>
      </c>
      <c r="C19">
        <f t="shared" si="0"/>
        <v>4.80591497227357E-2</v>
      </c>
      <c r="D19" s="2">
        <f t="shared" si="1"/>
        <v>4.80591497227357E-2</v>
      </c>
      <c r="H19" s="3"/>
      <c r="O19" s="1">
        <v>44223</v>
      </c>
      <c r="P19">
        <v>47409.93</v>
      </c>
      <c r="Q19">
        <f t="shared" si="2"/>
        <v>-1.9394141465996471E-2</v>
      </c>
      <c r="R19" s="2">
        <f t="shared" si="3"/>
        <v>-1.9394141465996471E-2</v>
      </c>
      <c r="Y19" s="22"/>
      <c r="Z19" s="22"/>
      <c r="AA19" s="22"/>
      <c r="AB19" s="22"/>
      <c r="AC19" s="22"/>
      <c r="AD19" s="22"/>
      <c r="AE19" s="22"/>
      <c r="AF19" s="22"/>
      <c r="AG19" s="22"/>
      <c r="AI19" s="33">
        <v>2023</v>
      </c>
      <c r="AJ19" s="33">
        <f>_xlfn.COVARIANCE.S(C498:C743,Q498:Q743)/_xlfn.VAR.S(Q498:Q743)</f>
        <v>0.73274518947967426</v>
      </c>
      <c r="AK19" s="33" t="s">
        <v>69</v>
      </c>
      <c r="AL19" s="33"/>
      <c r="AM19" s="33">
        <f>V11</f>
        <v>0.19819022139689579</v>
      </c>
      <c r="AN19" s="33"/>
      <c r="AO19" s="33">
        <f>J12</f>
        <v>1.7070753498880826</v>
      </c>
      <c r="AP19" s="33"/>
      <c r="AQ19" s="36">
        <f>$AN$13 + AJ19 * (AM19 - $AN$13)</f>
        <v>0.1631824545974529</v>
      </c>
      <c r="AR19" s="33" t="s">
        <v>84</v>
      </c>
      <c r="AS19" s="25"/>
      <c r="AT19" s="25"/>
      <c r="AU19" s="25"/>
      <c r="AW19" s="12"/>
    </row>
    <row r="20" spans="1:52" x14ac:dyDescent="0.3">
      <c r="A20" s="1">
        <v>44224</v>
      </c>
      <c r="B20">
        <v>27.65</v>
      </c>
      <c r="C20">
        <f t="shared" si="0"/>
        <v>-2.4691358024691457E-2</v>
      </c>
      <c r="D20" s="2">
        <f t="shared" si="1"/>
        <v>-2.4691358024691457E-2</v>
      </c>
      <c r="O20" s="1">
        <v>44224</v>
      </c>
      <c r="P20">
        <v>46874.36</v>
      </c>
      <c r="Q20">
        <f t="shared" si="2"/>
        <v>-1.1296578585962893E-2</v>
      </c>
      <c r="R20" s="2">
        <f t="shared" si="3"/>
        <v>-1.1296578585962893E-2</v>
      </c>
      <c r="Y20" s="22"/>
      <c r="Z20" s="22"/>
      <c r="AA20" s="22"/>
      <c r="AB20" s="22"/>
      <c r="AC20" s="22"/>
      <c r="AD20" s="22"/>
      <c r="AE20" s="22"/>
      <c r="AF20" s="22"/>
      <c r="AG20" s="22"/>
      <c r="AI20" s="33">
        <v>2024</v>
      </c>
      <c r="AJ20" s="33">
        <f>_xlfn.COVARIANCE.S(C744:C992,Q744:Q992)/_xlfn.VAR.S(Q744:Q992)</f>
        <v>1.0117773369796181</v>
      </c>
      <c r="AK20" s="33" t="s">
        <v>70</v>
      </c>
      <c r="AL20" s="33"/>
      <c r="AM20" s="33">
        <f>V12</f>
        <v>9.3174434514059934E-2</v>
      </c>
      <c r="AN20" s="33"/>
      <c r="AO20" s="33">
        <f>J13</f>
        <v>1.6301374163037772</v>
      </c>
      <c r="AP20" s="33"/>
      <c r="AQ20" s="36">
        <f>$AN$13 + AJ20 * (AM20 - $AN$13)</f>
        <v>9.3480344182187036E-2</v>
      </c>
      <c r="AR20" s="33" t="s">
        <v>84</v>
      </c>
      <c r="AS20" s="25"/>
      <c r="AT20" s="25"/>
      <c r="AU20" s="25"/>
      <c r="AW20" s="12"/>
    </row>
    <row r="21" spans="1:52" x14ac:dyDescent="0.3">
      <c r="A21" s="1">
        <v>44225</v>
      </c>
      <c r="B21">
        <v>28.1</v>
      </c>
      <c r="C21">
        <f t="shared" si="0"/>
        <v>1.6274864376130304E-2</v>
      </c>
      <c r="D21" s="2">
        <f t="shared" si="1"/>
        <v>1.6274864376130304E-2</v>
      </c>
      <c r="O21" s="1">
        <v>44225</v>
      </c>
      <c r="P21">
        <v>46285.77</v>
      </c>
      <c r="Q21">
        <f t="shared" si="2"/>
        <v>-1.2556758108270786E-2</v>
      </c>
      <c r="R21" s="2">
        <f t="shared" si="3"/>
        <v>-1.2556758108270786E-2</v>
      </c>
      <c r="Y21" s="22"/>
      <c r="Z21" s="22"/>
      <c r="AA21" s="22"/>
      <c r="AB21" s="22"/>
      <c r="AC21" s="22"/>
      <c r="AD21" s="22"/>
      <c r="AE21" s="22"/>
      <c r="AF21" s="22"/>
      <c r="AG21" s="22"/>
      <c r="AI21" s="33">
        <v>2025</v>
      </c>
      <c r="AJ21" s="33">
        <f>_xlfn.COVARIANCE.S(C993:C1241,Q993:Q1241)/_xlfn.VAR.S(Q993:Q1241)</f>
        <v>1.7914054278162732</v>
      </c>
      <c r="AK21" s="33" t="s">
        <v>71</v>
      </c>
      <c r="AL21" s="33"/>
      <c r="AM21" s="33">
        <f>V13</f>
        <v>9.9174602756621821E-2</v>
      </c>
      <c r="AN21" s="33"/>
      <c r="AO21" s="33">
        <f>J14</f>
        <v>-0.512875275933109</v>
      </c>
      <c r="AP21" s="33"/>
      <c r="AQ21" s="36">
        <f>$AN$13 + AJ21 * (AM21 - $AN$13)</f>
        <v>0.1244794769304815</v>
      </c>
      <c r="AR21" s="33" t="s">
        <v>85</v>
      </c>
      <c r="AS21" s="25"/>
      <c r="AT21" s="25"/>
      <c r="AU21" s="25"/>
    </row>
    <row r="22" spans="1:52" x14ac:dyDescent="0.3">
      <c r="A22" s="1">
        <v>44228</v>
      </c>
      <c r="B22">
        <v>28.2</v>
      </c>
      <c r="C22">
        <f t="shared" si="0"/>
        <v>3.5587188612098883E-3</v>
      </c>
      <c r="D22" s="2">
        <f t="shared" si="1"/>
        <v>3.5587188612098883E-3</v>
      </c>
      <c r="O22" s="1">
        <v>44228</v>
      </c>
      <c r="P22">
        <v>48600.61</v>
      </c>
      <c r="Q22">
        <f t="shared" si="2"/>
        <v>5.0011915109114617E-2</v>
      </c>
      <c r="R22" s="2">
        <f t="shared" si="3"/>
        <v>5.0011915109114617E-2</v>
      </c>
      <c r="Y22" s="22"/>
      <c r="Z22" s="22"/>
      <c r="AA22" s="22"/>
      <c r="AB22" s="22"/>
      <c r="AC22" s="22"/>
      <c r="AD22" s="22"/>
      <c r="AE22" s="22"/>
      <c r="AF22" s="22"/>
      <c r="AG22" s="22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</row>
    <row r="23" spans="1:52" x14ac:dyDescent="0.3">
      <c r="A23" s="1">
        <v>44229</v>
      </c>
      <c r="B23">
        <v>28.2</v>
      </c>
      <c r="C23">
        <f t="shared" si="0"/>
        <v>0</v>
      </c>
      <c r="D23" s="2">
        <f t="shared" si="1"/>
        <v>0</v>
      </c>
      <c r="O23" s="1">
        <v>44229</v>
      </c>
      <c r="P23">
        <v>49797.72</v>
      </c>
      <c r="Q23">
        <f t="shared" si="2"/>
        <v>2.4631583842260427E-2</v>
      </c>
      <c r="R23" s="2">
        <f t="shared" si="3"/>
        <v>2.4631583842260427E-2</v>
      </c>
      <c r="Y23" s="22"/>
      <c r="Z23" s="22"/>
      <c r="AA23" s="22"/>
      <c r="AB23" s="22"/>
      <c r="AC23" s="22"/>
      <c r="AD23" s="22"/>
      <c r="AE23" s="22"/>
      <c r="AF23" s="22"/>
      <c r="AG23" s="22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8"/>
    </row>
    <row r="24" spans="1:52" x14ac:dyDescent="0.3">
      <c r="A24" s="1">
        <v>44230</v>
      </c>
      <c r="B24">
        <v>27.95</v>
      </c>
      <c r="C24">
        <f t="shared" si="0"/>
        <v>-8.8652482269503553E-3</v>
      </c>
      <c r="D24" s="2">
        <f t="shared" si="1"/>
        <v>-8.8652482269503553E-3</v>
      </c>
      <c r="O24" s="1">
        <v>44230</v>
      </c>
      <c r="P24">
        <v>50255.75</v>
      </c>
      <c r="Q24">
        <f t="shared" si="2"/>
        <v>9.19781066281747E-3</v>
      </c>
      <c r="R24" s="2">
        <f t="shared" si="3"/>
        <v>9.19781066281747E-3</v>
      </c>
      <c r="Y24" s="22"/>
      <c r="Z24" s="22"/>
      <c r="AA24" s="22"/>
      <c r="AB24" s="22"/>
      <c r="AC24" s="22"/>
      <c r="AD24" s="22"/>
      <c r="AE24" s="22"/>
      <c r="AF24" s="22"/>
      <c r="AG24" s="22"/>
      <c r="AI24" s="30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9"/>
      <c r="AV24" s="3"/>
      <c r="AW24" s="9"/>
      <c r="AX24" s="3"/>
      <c r="AY24" s="3"/>
      <c r="AZ24" s="3"/>
    </row>
    <row r="25" spans="1:52" x14ac:dyDescent="0.3">
      <c r="A25" s="1">
        <v>44231</v>
      </c>
      <c r="B25">
        <v>28.5</v>
      </c>
      <c r="C25">
        <f t="shared" si="0"/>
        <v>1.9677996422182494E-2</v>
      </c>
      <c r="D25" s="2">
        <f t="shared" si="1"/>
        <v>1.9677996422182494E-2</v>
      </c>
      <c r="O25" s="1">
        <v>44231</v>
      </c>
      <c r="P25">
        <v>50614.29</v>
      </c>
      <c r="Q25">
        <f t="shared" si="2"/>
        <v>7.13430801450582E-3</v>
      </c>
      <c r="R25" s="2">
        <f t="shared" si="3"/>
        <v>7.13430801450582E-3</v>
      </c>
      <c r="Y25" s="22"/>
      <c r="Z25" s="22"/>
      <c r="AA25" s="22"/>
      <c r="AB25" s="22"/>
      <c r="AC25" s="22"/>
      <c r="AD25" s="22"/>
      <c r="AE25" s="22"/>
      <c r="AF25" s="22"/>
      <c r="AG25" s="22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31"/>
      <c r="AW25" s="13"/>
      <c r="AX25" s="14"/>
      <c r="AZ25" s="15"/>
    </row>
    <row r="26" spans="1:52" x14ac:dyDescent="0.3">
      <c r="A26" s="1">
        <v>44232</v>
      </c>
      <c r="B26">
        <v>28.3</v>
      </c>
      <c r="C26">
        <f t="shared" si="0"/>
        <v>-7.0175438596490978E-3</v>
      </c>
      <c r="D26" s="2">
        <f t="shared" si="1"/>
        <v>-7.0175438596490978E-3</v>
      </c>
      <c r="O26" s="1">
        <v>44232</v>
      </c>
      <c r="P26">
        <v>50731.63</v>
      </c>
      <c r="Q26">
        <f t="shared" si="2"/>
        <v>2.3183176134644289E-3</v>
      </c>
      <c r="R26" s="2">
        <f t="shared" si="3"/>
        <v>2.3183176134644289E-3</v>
      </c>
      <c r="Y26" s="22"/>
      <c r="Z26" s="22"/>
      <c r="AA26" s="22"/>
      <c r="AB26" s="22"/>
      <c r="AC26" s="22"/>
      <c r="AD26" s="22"/>
      <c r="AE26" s="22"/>
      <c r="AF26" s="22"/>
      <c r="AG26" s="22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31"/>
      <c r="AW26" s="13"/>
      <c r="AX26" s="14"/>
      <c r="AZ26" s="15"/>
    </row>
    <row r="27" spans="1:52" x14ac:dyDescent="0.3">
      <c r="A27" s="1">
        <v>44235</v>
      </c>
      <c r="B27">
        <v>30.25</v>
      </c>
      <c r="C27">
        <f t="shared" si="0"/>
        <v>6.8904593639575948E-2</v>
      </c>
      <c r="D27" s="2">
        <f t="shared" si="1"/>
        <v>6.8904593639575948E-2</v>
      </c>
      <c r="O27" s="1">
        <v>44235</v>
      </c>
      <c r="P27">
        <v>51348.77</v>
      </c>
      <c r="Q27">
        <f t="shared" si="2"/>
        <v>1.2164797385772927E-2</v>
      </c>
      <c r="R27" s="2">
        <f t="shared" si="3"/>
        <v>1.2164797385772927E-2</v>
      </c>
      <c r="Y27" s="22"/>
      <c r="Z27" s="22"/>
      <c r="AA27" s="22"/>
      <c r="AB27" s="22"/>
      <c r="AC27" s="22"/>
      <c r="AD27" s="22"/>
      <c r="AE27" s="22"/>
      <c r="AF27" s="22"/>
      <c r="AG27" s="22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31"/>
      <c r="AW27" s="13"/>
      <c r="AX27" s="14"/>
      <c r="AZ27" s="15"/>
    </row>
    <row r="28" spans="1:52" x14ac:dyDescent="0.3">
      <c r="A28" s="1">
        <v>44236</v>
      </c>
      <c r="B28">
        <v>30.25</v>
      </c>
      <c r="C28">
        <f t="shared" si="0"/>
        <v>0</v>
      </c>
      <c r="D28" s="2">
        <f t="shared" si="1"/>
        <v>0</v>
      </c>
      <c r="O28" s="1">
        <v>44236</v>
      </c>
      <c r="P28">
        <v>51329.08</v>
      </c>
      <c r="Q28">
        <f t="shared" si="2"/>
        <v>-3.8345611783875358E-4</v>
      </c>
      <c r="R28" s="2">
        <f t="shared" si="3"/>
        <v>-3.8345611783875358E-4</v>
      </c>
      <c r="Y28" s="22"/>
      <c r="Z28" s="22"/>
      <c r="AA28" s="22"/>
      <c r="AB28" s="22"/>
      <c r="AC28" s="22"/>
      <c r="AD28" s="22"/>
      <c r="AE28" s="22"/>
      <c r="AF28" s="22"/>
      <c r="AG28" s="22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31"/>
      <c r="AW28" s="13"/>
      <c r="AX28" s="14"/>
      <c r="AZ28" s="15"/>
    </row>
    <row r="29" spans="1:52" x14ac:dyDescent="0.3">
      <c r="A29" s="1">
        <v>44237</v>
      </c>
      <c r="B29">
        <v>28.8</v>
      </c>
      <c r="C29">
        <f t="shared" si="0"/>
        <v>-4.7933884297520636E-2</v>
      </c>
      <c r="D29" s="2">
        <f t="shared" si="1"/>
        <v>-4.7933884297520636E-2</v>
      </c>
      <c r="O29" s="1">
        <v>44237</v>
      </c>
      <c r="P29">
        <v>51309.39</v>
      </c>
      <c r="Q29">
        <f t="shared" si="2"/>
        <v>-3.8360321283768047E-4</v>
      </c>
      <c r="R29" s="2">
        <f t="shared" si="3"/>
        <v>-3.8360321283768047E-4</v>
      </c>
      <c r="Y29" s="22"/>
      <c r="Z29" s="22"/>
      <c r="AA29" s="22"/>
      <c r="AB29" s="22"/>
      <c r="AC29" s="22"/>
      <c r="AD29" s="22"/>
      <c r="AE29" s="22"/>
      <c r="AF29" s="22"/>
      <c r="AG29" s="22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31"/>
      <c r="AW29" s="13"/>
      <c r="AX29" s="14"/>
      <c r="AZ29" s="15"/>
    </row>
    <row r="30" spans="1:52" x14ac:dyDescent="0.3">
      <c r="A30" s="1">
        <v>44238</v>
      </c>
      <c r="B30">
        <v>29.9</v>
      </c>
      <c r="C30">
        <f t="shared" si="0"/>
        <v>3.8194444444444371E-2</v>
      </c>
      <c r="D30" s="2">
        <f t="shared" si="1"/>
        <v>3.8194444444444371E-2</v>
      </c>
      <c r="O30" s="1">
        <v>44238</v>
      </c>
      <c r="P30">
        <v>51531.519999999997</v>
      </c>
      <c r="Q30">
        <f t="shared" si="2"/>
        <v>4.3292270674041801E-3</v>
      </c>
      <c r="R30" s="2">
        <f t="shared" si="3"/>
        <v>4.3292270674041801E-3</v>
      </c>
      <c r="Y30" s="22"/>
      <c r="Z30" s="22"/>
      <c r="AA30" s="22"/>
      <c r="AB30" s="22"/>
      <c r="AC30" s="22"/>
      <c r="AD30" s="22"/>
      <c r="AE30" s="22"/>
      <c r="AF30" s="22"/>
      <c r="AG30" s="22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</row>
    <row r="31" spans="1:52" x14ac:dyDescent="0.3">
      <c r="A31" s="1">
        <v>44239</v>
      </c>
      <c r="B31">
        <v>29.65</v>
      </c>
      <c r="C31">
        <f t="shared" si="0"/>
        <v>-8.3612040133779261E-3</v>
      </c>
      <c r="D31" s="2">
        <f t="shared" si="1"/>
        <v>-8.3612040133779261E-3</v>
      </c>
      <c r="O31" s="1">
        <v>44239</v>
      </c>
      <c r="P31">
        <v>51544.3</v>
      </c>
      <c r="Q31">
        <f t="shared" si="2"/>
        <v>2.4800355200091346E-4</v>
      </c>
      <c r="R31" s="2">
        <f t="shared" si="3"/>
        <v>2.4800355200091346E-4</v>
      </c>
      <c r="Y31" s="22"/>
      <c r="Z31" s="22"/>
      <c r="AA31" s="22"/>
      <c r="AB31" s="22"/>
      <c r="AC31" s="22"/>
      <c r="AD31" s="22"/>
      <c r="AE31" s="22"/>
      <c r="AF31" s="22"/>
      <c r="AG31" s="22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</row>
    <row r="32" spans="1:52" x14ac:dyDescent="0.3">
      <c r="A32" s="1">
        <v>44242</v>
      </c>
      <c r="B32">
        <v>27.25</v>
      </c>
      <c r="C32">
        <f t="shared" si="0"/>
        <v>-8.0944350758853242E-2</v>
      </c>
      <c r="D32" s="2">
        <f t="shared" si="1"/>
        <v>-8.0944350758853242E-2</v>
      </c>
      <c r="O32" s="1">
        <v>44242</v>
      </c>
      <c r="P32">
        <v>52154.13</v>
      </c>
      <c r="Q32">
        <f t="shared" si="2"/>
        <v>1.1831182109369891E-2</v>
      </c>
      <c r="R32" s="2">
        <f t="shared" si="3"/>
        <v>1.1831182109369891E-2</v>
      </c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</row>
    <row r="33" spans="1:47" x14ac:dyDescent="0.3">
      <c r="A33" s="1">
        <v>44243</v>
      </c>
      <c r="B33">
        <v>26.45</v>
      </c>
      <c r="C33">
        <f t="shared" si="0"/>
        <v>-2.9357798165137641E-2</v>
      </c>
      <c r="D33" s="2">
        <f t="shared" si="1"/>
        <v>-2.9357798165137641E-2</v>
      </c>
      <c r="O33" s="1">
        <v>44243</v>
      </c>
      <c r="P33">
        <v>52104.17</v>
      </c>
      <c r="Q33">
        <f t="shared" si="2"/>
        <v>-9.579298897325893E-4</v>
      </c>
      <c r="R33" s="2">
        <f t="shared" si="3"/>
        <v>-9.579298897325893E-4</v>
      </c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</row>
    <row r="34" spans="1:47" x14ac:dyDescent="0.3">
      <c r="A34" s="1">
        <v>44244</v>
      </c>
      <c r="B34">
        <v>25.95</v>
      </c>
      <c r="C34">
        <f t="shared" si="0"/>
        <v>-1.890359168241966E-2</v>
      </c>
      <c r="D34" s="2">
        <f t="shared" si="1"/>
        <v>-1.890359168241966E-2</v>
      </c>
      <c r="O34" s="1">
        <v>44244</v>
      </c>
      <c r="P34">
        <v>51703.83</v>
      </c>
      <c r="Q34">
        <f t="shared" si="2"/>
        <v>-7.6834541266082258E-3</v>
      </c>
      <c r="R34" s="2">
        <f t="shared" si="3"/>
        <v>-7.6834541266082258E-3</v>
      </c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</row>
    <row r="35" spans="1:47" x14ac:dyDescent="0.3">
      <c r="A35" s="1">
        <v>44245</v>
      </c>
      <c r="B35">
        <v>24.95</v>
      </c>
      <c r="C35">
        <f t="shared" si="0"/>
        <v>-3.8535645472061661E-2</v>
      </c>
      <c r="D35" s="2">
        <f t="shared" si="1"/>
        <v>-3.8535645472061661E-2</v>
      </c>
      <c r="O35" s="1">
        <v>44245</v>
      </c>
      <c r="P35">
        <v>51324.69</v>
      </c>
      <c r="Q35">
        <f t="shared" si="2"/>
        <v>-7.3329190506776654E-3</v>
      </c>
      <c r="R35" s="2">
        <f t="shared" si="3"/>
        <v>-7.3329190506776654E-3</v>
      </c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</row>
    <row r="36" spans="1:47" x14ac:dyDescent="0.3">
      <c r="A36" s="1">
        <v>44246</v>
      </c>
      <c r="B36">
        <v>25.85</v>
      </c>
      <c r="C36">
        <f t="shared" si="0"/>
        <v>3.6072144288577239E-2</v>
      </c>
      <c r="D36" s="2">
        <f t="shared" si="1"/>
        <v>3.6072144288577239E-2</v>
      </c>
      <c r="O36" s="1">
        <v>44246</v>
      </c>
      <c r="P36">
        <v>50889.760000000002</v>
      </c>
      <c r="Q36">
        <f t="shared" si="2"/>
        <v>-8.4740891761840211E-3</v>
      </c>
      <c r="R36" s="2">
        <f t="shared" si="3"/>
        <v>-8.4740891761840211E-3</v>
      </c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</row>
    <row r="37" spans="1:47" x14ac:dyDescent="0.3">
      <c r="A37" s="1">
        <v>44249</v>
      </c>
      <c r="B37">
        <v>25.45</v>
      </c>
      <c r="C37">
        <f t="shared" si="0"/>
        <v>-1.5473887814313428E-2</v>
      </c>
      <c r="D37" s="2">
        <f t="shared" si="1"/>
        <v>-1.5473887814313428E-2</v>
      </c>
      <c r="O37" s="1">
        <v>44249</v>
      </c>
      <c r="P37">
        <v>49744.32</v>
      </c>
      <c r="Q37">
        <f t="shared" si="2"/>
        <v>-2.2508260993960322E-2</v>
      </c>
      <c r="R37" s="2">
        <f t="shared" si="3"/>
        <v>-2.2508260993960322E-2</v>
      </c>
    </row>
    <row r="38" spans="1:47" x14ac:dyDescent="0.3">
      <c r="A38" s="1">
        <v>44250</v>
      </c>
      <c r="B38">
        <v>25.2</v>
      </c>
      <c r="C38">
        <f t="shared" si="0"/>
        <v>-9.823182711198428E-3</v>
      </c>
      <c r="D38" s="2">
        <f t="shared" si="1"/>
        <v>-9.823182711198428E-3</v>
      </c>
      <c r="O38" s="1">
        <v>44250</v>
      </c>
      <c r="P38">
        <v>49751.41</v>
      </c>
      <c r="Q38">
        <f t="shared" si="2"/>
        <v>1.4252883545304838E-4</v>
      </c>
      <c r="R38" s="2">
        <f t="shared" si="3"/>
        <v>1.4252883545304838E-4</v>
      </c>
    </row>
    <row r="39" spans="1:47" x14ac:dyDescent="0.3">
      <c r="A39" s="1">
        <v>44251</v>
      </c>
      <c r="B39">
        <v>26.05</v>
      </c>
      <c r="C39">
        <f t="shared" si="0"/>
        <v>3.3730158730158791E-2</v>
      </c>
      <c r="D39" s="2">
        <f t="shared" si="1"/>
        <v>3.3730158730158791E-2</v>
      </c>
      <c r="O39" s="1">
        <v>44251</v>
      </c>
      <c r="P39">
        <v>50781.69</v>
      </c>
      <c r="Q39">
        <f t="shared" si="2"/>
        <v>2.0708558812704982E-2</v>
      </c>
      <c r="R39" s="2">
        <f t="shared" si="3"/>
        <v>2.0708558812704982E-2</v>
      </c>
    </row>
    <row r="40" spans="1:47" x14ac:dyDescent="0.3">
      <c r="A40" s="1">
        <v>44252</v>
      </c>
      <c r="B40">
        <v>25.65</v>
      </c>
      <c r="C40">
        <f t="shared" si="0"/>
        <v>-1.5355086372360926E-2</v>
      </c>
      <c r="D40" s="2">
        <f t="shared" si="1"/>
        <v>-1.5355086372360926E-2</v>
      </c>
      <c r="O40" s="1">
        <v>44252</v>
      </c>
      <c r="P40">
        <v>51039.31</v>
      </c>
      <c r="Q40">
        <f t="shared" si="2"/>
        <v>5.0730883513328395E-3</v>
      </c>
      <c r="R40" s="2">
        <f t="shared" si="3"/>
        <v>5.0730883513328395E-3</v>
      </c>
    </row>
    <row r="41" spans="1:47" x14ac:dyDescent="0.3">
      <c r="A41" s="1">
        <v>44253</v>
      </c>
      <c r="B41">
        <v>25.85</v>
      </c>
      <c r="C41">
        <f t="shared" si="0"/>
        <v>7.7972709551658035E-3</v>
      </c>
      <c r="D41" s="2">
        <f t="shared" si="1"/>
        <v>7.7972709551658035E-3</v>
      </c>
      <c r="O41" s="1">
        <v>44253</v>
      </c>
      <c r="P41">
        <v>49099.99</v>
      </c>
      <c r="Q41">
        <f t="shared" si="2"/>
        <v>-3.7996595173406533E-2</v>
      </c>
      <c r="R41" s="2">
        <f t="shared" si="3"/>
        <v>-3.7996595173406533E-2</v>
      </c>
    </row>
    <row r="42" spans="1:47" x14ac:dyDescent="0.3">
      <c r="A42" s="1">
        <v>44256</v>
      </c>
      <c r="B42">
        <v>25.7</v>
      </c>
      <c r="C42">
        <f t="shared" si="0"/>
        <v>-5.8027079303675866E-3</v>
      </c>
      <c r="D42" s="2">
        <f t="shared" si="1"/>
        <v>-5.8027079303675866E-3</v>
      </c>
      <c r="O42" s="1">
        <v>44256</v>
      </c>
      <c r="P42">
        <v>49849.84</v>
      </c>
      <c r="Q42">
        <f t="shared" si="2"/>
        <v>1.5271897204052354E-2</v>
      </c>
      <c r="R42" s="2">
        <f t="shared" si="3"/>
        <v>1.5271897204052354E-2</v>
      </c>
    </row>
    <row r="43" spans="1:47" x14ac:dyDescent="0.3">
      <c r="A43" s="1">
        <v>44257</v>
      </c>
      <c r="B43">
        <v>25.7</v>
      </c>
      <c r="C43">
        <f t="shared" si="0"/>
        <v>0</v>
      </c>
      <c r="D43" s="2">
        <f t="shared" si="1"/>
        <v>0</v>
      </c>
      <c r="O43" s="1">
        <v>44257</v>
      </c>
      <c r="P43">
        <v>50296.89</v>
      </c>
      <c r="Q43">
        <f t="shared" si="2"/>
        <v>8.9679324948686492E-3</v>
      </c>
      <c r="R43" s="2">
        <f t="shared" si="3"/>
        <v>8.9679324948686492E-3</v>
      </c>
    </row>
    <row r="44" spans="1:47" x14ac:dyDescent="0.3">
      <c r="A44" s="1">
        <v>44258</v>
      </c>
      <c r="B44">
        <v>25.7</v>
      </c>
      <c r="C44">
        <f t="shared" si="0"/>
        <v>0</v>
      </c>
      <c r="D44" s="2">
        <f t="shared" si="1"/>
        <v>0</v>
      </c>
      <c r="O44" s="1">
        <v>44258</v>
      </c>
      <c r="P44">
        <v>51444.65</v>
      </c>
      <c r="Q44">
        <f t="shared" si="2"/>
        <v>2.2819701178343275E-2</v>
      </c>
      <c r="R44" s="2">
        <f t="shared" si="3"/>
        <v>2.2819701178343275E-2</v>
      </c>
    </row>
    <row r="45" spans="1:47" x14ac:dyDescent="0.3">
      <c r="A45" s="1">
        <v>44259</v>
      </c>
      <c r="B45">
        <v>25.1</v>
      </c>
      <c r="C45">
        <f t="shared" si="0"/>
        <v>-2.3346303501945442E-2</v>
      </c>
      <c r="D45" s="2">
        <f t="shared" si="1"/>
        <v>-2.3346303501945442E-2</v>
      </c>
      <c r="O45" s="1">
        <v>44259</v>
      </c>
      <c r="P45">
        <v>50846.080000000002</v>
      </c>
      <c r="Q45">
        <f t="shared" si="2"/>
        <v>-1.1635223487767915E-2</v>
      </c>
      <c r="R45" s="2">
        <f t="shared" si="3"/>
        <v>-1.1635223487767915E-2</v>
      </c>
    </row>
    <row r="46" spans="1:47" x14ac:dyDescent="0.3">
      <c r="A46" s="1">
        <v>44260</v>
      </c>
      <c r="B46">
        <v>25.1</v>
      </c>
      <c r="C46">
        <f t="shared" si="0"/>
        <v>0</v>
      </c>
      <c r="D46" s="2">
        <f t="shared" si="1"/>
        <v>0</v>
      </c>
      <c r="O46" s="1">
        <v>44260</v>
      </c>
      <c r="P46">
        <v>50405.32</v>
      </c>
      <c r="Q46">
        <f t="shared" si="2"/>
        <v>-8.6685148589626185E-3</v>
      </c>
      <c r="R46" s="2">
        <f t="shared" si="3"/>
        <v>-8.6685148589626185E-3</v>
      </c>
    </row>
    <row r="47" spans="1:47" x14ac:dyDescent="0.3">
      <c r="A47" s="1">
        <v>44263</v>
      </c>
      <c r="B47">
        <v>26.05</v>
      </c>
      <c r="C47">
        <f t="shared" si="0"/>
        <v>3.7848605577689209E-2</v>
      </c>
      <c r="D47" s="2">
        <f t="shared" si="1"/>
        <v>3.7848605577689209E-2</v>
      </c>
      <c r="O47" s="1">
        <v>44263</v>
      </c>
      <c r="P47">
        <v>50441.07</v>
      </c>
      <c r="Q47">
        <f t="shared" si="2"/>
        <v>7.0925053149151717E-4</v>
      </c>
      <c r="R47" s="2">
        <f t="shared" si="3"/>
        <v>7.0925053149151717E-4</v>
      </c>
    </row>
    <row r="48" spans="1:47" x14ac:dyDescent="0.3">
      <c r="A48" s="1">
        <v>44264</v>
      </c>
      <c r="B48">
        <v>24.95</v>
      </c>
      <c r="C48">
        <f t="shared" si="0"/>
        <v>-4.2226487523992377E-2</v>
      </c>
      <c r="D48" s="2">
        <f t="shared" si="1"/>
        <v>-4.2226487523992377E-2</v>
      </c>
      <c r="O48" s="1">
        <v>44264</v>
      </c>
      <c r="P48">
        <v>51025.48</v>
      </c>
      <c r="Q48">
        <f t="shared" si="2"/>
        <v>1.1585995301051375E-2</v>
      </c>
      <c r="R48" s="2">
        <f t="shared" si="3"/>
        <v>1.1585995301051375E-2</v>
      </c>
    </row>
    <row r="49" spans="1:18" x14ac:dyDescent="0.3">
      <c r="A49" s="1">
        <v>44265</v>
      </c>
      <c r="B49">
        <v>25.2</v>
      </c>
      <c r="C49">
        <f t="shared" si="0"/>
        <v>1.002004008016032E-2</v>
      </c>
      <c r="D49" s="2">
        <f t="shared" si="1"/>
        <v>1.002004008016032E-2</v>
      </c>
      <c r="O49" s="1">
        <v>44265</v>
      </c>
      <c r="P49">
        <v>51279.51</v>
      </c>
      <c r="Q49">
        <f t="shared" si="2"/>
        <v>4.9784930979580953E-3</v>
      </c>
      <c r="R49" s="2">
        <f t="shared" si="3"/>
        <v>4.9784930979580953E-3</v>
      </c>
    </row>
    <row r="50" spans="1:18" x14ac:dyDescent="0.3">
      <c r="A50" s="1">
        <v>44267</v>
      </c>
      <c r="B50">
        <v>25</v>
      </c>
      <c r="C50">
        <f t="shared" si="0"/>
        <v>-7.9365079365079083E-3</v>
      </c>
      <c r="D50" s="2">
        <f t="shared" si="1"/>
        <v>-7.9365079365079083E-3</v>
      </c>
      <c r="O50" s="1">
        <v>44267</v>
      </c>
      <c r="P50">
        <v>50792.08</v>
      </c>
      <c r="Q50">
        <f t="shared" si="2"/>
        <v>-9.5053560379184648E-3</v>
      </c>
      <c r="R50" s="2">
        <f t="shared" si="3"/>
        <v>-9.5053560379184648E-3</v>
      </c>
    </row>
    <row r="51" spans="1:18" x14ac:dyDescent="0.3">
      <c r="A51" s="1">
        <v>44270</v>
      </c>
      <c r="B51">
        <v>24.85</v>
      </c>
      <c r="C51">
        <f t="shared" si="0"/>
        <v>-5.9999999999999429E-3</v>
      </c>
      <c r="D51" s="2">
        <f t="shared" si="1"/>
        <v>-5.9999999999999429E-3</v>
      </c>
      <c r="O51" s="1">
        <v>44270</v>
      </c>
      <c r="P51">
        <v>50395.08</v>
      </c>
      <c r="Q51">
        <f t="shared" si="2"/>
        <v>-7.8161792153422349E-3</v>
      </c>
      <c r="R51" s="2">
        <f t="shared" si="3"/>
        <v>-7.8161792153422349E-3</v>
      </c>
    </row>
    <row r="52" spans="1:18" x14ac:dyDescent="0.3">
      <c r="A52" s="1">
        <v>44271</v>
      </c>
      <c r="B52">
        <v>25.3</v>
      </c>
      <c r="C52">
        <f t="shared" si="0"/>
        <v>1.8108651911468782E-2</v>
      </c>
      <c r="D52" s="2">
        <f t="shared" si="1"/>
        <v>1.8108651911468782E-2</v>
      </c>
      <c r="O52" s="1">
        <v>44271</v>
      </c>
      <c r="P52">
        <v>50363.96</v>
      </c>
      <c r="Q52">
        <f t="shared" si="2"/>
        <v>-6.1752059923315169E-4</v>
      </c>
      <c r="R52" s="2">
        <f t="shared" si="3"/>
        <v>-6.1752059923315169E-4</v>
      </c>
    </row>
    <row r="53" spans="1:18" x14ac:dyDescent="0.3">
      <c r="A53" s="1">
        <v>44272</v>
      </c>
      <c r="B53">
        <v>25.7</v>
      </c>
      <c r="C53">
        <f t="shared" si="0"/>
        <v>1.5810276679841841E-2</v>
      </c>
      <c r="D53" s="2">
        <f t="shared" si="1"/>
        <v>1.5810276679841841E-2</v>
      </c>
      <c r="O53" s="1">
        <v>44272</v>
      </c>
      <c r="P53">
        <v>49801.62</v>
      </c>
      <c r="Q53">
        <f t="shared" si="2"/>
        <v>-1.1165523918293885E-2</v>
      </c>
      <c r="R53" s="2">
        <f t="shared" si="3"/>
        <v>-1.1165523918293885E-2</v>
      </c>
    </row>
    <row r="54" spans="1:18" x14ac:dyDescent="0.3">
      <c r="A54" s="1">
        <v>44273</v>
      </c>
      <c r="B54">
        <v>25.8</v>
      </c>
      <c r="C54">
        <f t="shared" si="0"/>
        <v>3.8910505836576431E-3</v>
      </c>
      <c r="D54" s="2">
        <f t="shared" si="1"/>
        <v>3.8910505836576431E-3</v>
      </c>
      <c r="O54" s="1">
        <v>44273</v>
      </c>
      <c r="P54">
        <v>49216.52</v>
      </c>
      <c r="Q54">
        <f t="shared" si="2"/>
        <v>-1.1748613800113446E-2</v>
      </c>
      <c r="R54" s="2">
        <f t="shared" si="3"/>
        <v>-1.1748613800113446E-2</v>
      </c>
    </row>
    <row r="55" spans="1:18" x14ac:dyDescent="0.3">
      <c r="A55" s="1">
        <v>44274</v>
      </c>
      <c r="B55">
        <v>23.55</v>
      </c>
      <c r="C55">
        <f t="shared" si="0"/>
        <v>-8.7209302325581398E-2</v>
      </c>
      <c r="D55" s="2">
        <f t="shared" si="1"/>
        <v>-8.7209302325581398E-2</v>
      </c>
      <c r="O55" s="1">
        <v>44274</v>
      </c>
      <c r="P55">
        <v>49858.239999999998</v>
      </c>
      <c r="Q55">
        <f t="shared" si="2"/>
        <v>1.3038711392028555E-2</v>
      </c>
      <c r="R55" s="2">
        <f t="shared" si="3"/>
        <v>1.3038711392028555E-2</v>
      </c>
    </row>
    <row r="56" spans="1:18" x14ac:dyDescent="0.3">
      <c r="A56" s="1">
        <v>44277</v>
      </c>
      <c r="B56">
        <v>23.3</v>
      </c>
      <c r="C56">
        <f t="shared" si="0"/>
        <v>-1.0615711252653927E-2</v>
      </c>
      <c r="D56" s="2">
        <f t="shared" si="1"/>
        <v>-1.0615711252653927E-2</v>
      </c>
      <c r="O56" s="1">
        <v>44277</v>
      </c>
      <c r="P56">
        <v>49771.29</v>
      </c>
      <c r="Q56">
        <f t="shared" si="2"/>
        <v>-1.7439444312514259E-3</v>
      </c>
      <c r="R56" s="2">
        <f t="shared" si="3"/>
        <v>-1.7439444312514259E-3</v>
      </c>
    </row>
    <row r="57" spans="1:18" x14ac:dyDescent="0.3">
      <c r="A57" s="1">
        <v>44278</v>
      </c>
      <c r="B57">
        <v>23.95</v>
      </c>
      <c r="C57">
        <f t="shared" si="0"/>
        <v>2.7896995708154446E-2</v>
      </c>
      <c r="D57" s="2">
        <f t="shared" si="1"/>
        <v>2.7896995708154446E-2</v>
      </c>
      <c r="O57" s="1">
        <v>44278</v>
      </c>
      <c r="P57">
        <v>50051.44</v>
      </c>
      <c r="Q57">
        <f t="shared" si="2"/>
        <v>5.628747014594186E-3</v>
      </c>
      <c r="R57" s="2">
        <f t="shared" si="3"/>
        <v>5.628747014594186E-3</v>
      </c>
    </row>
    <row r="58" spans="1:18" x14ac:dyDescent="0.3">
      <c r="A58" s="1">
        <v>44279</v>
      </c>
      <c r="B58">
        <v>24.15</v>
      </c>
      <c r="C58">
        <f t="shared" si="0"/>
        <v>8.3507306889352532E-3</v>
      </c>
      <c r="D58" s="2">
        <f t="shared" si="1"/>
        <v>8.3507306889352532E-3</v>
      </c>
      <c r="O58" s="1">
        <v>44279</v>
      </c>
      <c r="P58">
        <v>49180.31</v>
      </c>
      <c r="Q58">
        <f t="shared" si="2"/>
        <v>-1.7404694050760668E-2</v>
      </c>
      <c r="R58" s="2">
        <f t="shared" si="3"/>
        <v>-1.7404694050760668E-2</v>
      </c>
    </row>
    <row r="59" spans="1:18" x14ac:dyDescent="0.3">
      <c r="A59" s="1">
        <v>44280</v>
      </c>
      <c r="B59">
        <v>23</v>
      </c>
      <c r="C59">
        <f t="shared" si="0"/>
        <v>-4.7619047619047561E-2</v>
      </c>
      <c r="D59" s="2">
        <f t="shared" si="1"/>
        <v>-4.7619047619047561E-2</v>
      </c>
      <c r="O59" s="1">
        <v>44280</v>
      </c>
      <c r="P59">
        <v>48440.12</v>
      </c>
      <c r="Q59">
        <f t="shared" si="2"/>
        <v>-1.5050535468361121E-2</v>
      </c>
      <c r="R59" s="2">
        <f t="shared" si="3"/>
        <v>-1.5050535468361121E-2</v>
      </c>
    </row>
    <row r="60" spans="1:18" x14ac:dyDescent="0.3">
      <c r="A60" s="1">
        <v>44281</v>
      </c>
      <c r="B60">
        <v>23.45</v>
      </c>
      <c r="C60">
        <f t="shared" si="0"/>
        <v>1.9565217391304318E-2</v>
      </c>
      <c r="D60" s="2">
        <f t="shared" si="1"/>
        <v>1.9565217391304318E-2</v>
      </c>
      <c r="O60" s="1">
        <v>44281</v>
      </c>
      <c r="P60">
        <v>49008.5</v>
      </c>
      <c r="Q60">
        <f t="shared" si="2"/>
        <v>1.1733662096625635E-2</v>
      </c>
      <c r="R60" s="2">
        <f t="shared" si="3"/>
        <v>1.1733662096625635E-2</v>
      </c>
    </row>
    <row r="61" spans="1:18" x14ac:dyDescent="0.3">
      <c r="A61" s="1">
        <v>44285</v>
      </c>
      <c r="B61">
        <v>24.2</v>
      </c>
      <c r="C61">
        <f t="shared" si="0"/>
        <v>3.1982942430703626E-2</v>
      </c>
      <c r="D61" s="2">
        <f t="shared" si="1"/>
        <v>3.1982942430703626E-2</v>
      </c>
      <c r="O61" s="1">
        <v>44285</v>
      </c>
      <c r="P61">
        <v>50136.58</v>
      </c>
      <c r="Q61">
        <f t="shared" si="2"/>
        <v>2.3018047889651831E-2</v>
      </c>
      <c r="R61" s="2">
        <f t="shared" si="3"/>
        <v>2.3018047889651831E-2</v>
      </c>
    </row>
    <row r="62" spans="1:18" x14ac:dyDescent="0.3">
      <c r="A62" s="1">
        <v>44286</v>
      </c>
      <c r="B62">
        <v>23.9</v>
      </c>
      <c r="C62">
        <f t="shared" si="0"/>
        <v>-1.2396694214876063E-2</v>
      </c>
      <c r="D62" s="2">
        <f t="shared" si="1"/>
        <v>-1.2396694214876063E-2</v>
      </c>
      <c r="O62" s="1">
        <v>44286</v>
      </c>
      <c r="P62">
        <v>49509.15</v>
      </c>
      <c r="Q62">
        <f t="shared" si="2"/>
        <v>-1.2514415622286168E-2</v>
      </c>
      <c r="R62" s="2">
        <f t="shared" si="3"/>
        <v>-1.2514415622286168E-2</v>
      </c>
    </row>
    <row r="63" spans="1:18" x14ac:dyDescent="0.3">
      <c r="A63" s="1">
        <v>44287</v>
      </c>
      <c r="B63">
        <v>23.5</v>
      </c>
      <c r="C63">
        <f t="shared" si="0"/>
        <v>-1.673640167364011E-2</v>
      </c>
      <c r="D63" s="2">
        <f t="shared" si="1"/>
        <v>-1.673640167364011E-2</v>
      </c>
      <c r="O63" s="1">
        <v>44287</v>
      </c>
      <c r="P63">
        <v>50029.83</v>
      </c>
      <c r="Q63">
        <f t="shared" si="2"/>
        <v>1.051684385613569E-2</v>
      </c>
      <c r="R63" s="2">
        <f t="shared" si="3"/>
        <v>1.051684385613569E-2</v>
      </c>
    </row>
    <row r="64" spans="1:18" x14ac:dyDescent="0.3">
      <c r="A64" s="1">
        <v>44291</v>
      </c>
      <c r="B64">
        <v>23.7</v>
      </c>
      <c r="C64">
        <f t="shared" si="0"/>
        <v>8.5106382978723093E-3</v>
      </c>
      <c r="D64" s="2">
        <f t="shared" si="1"/>
        <v>8.5106382978723093E-3</v>
      </c>
      <c r="O64" s="1">
        <v>44291</v>
      </c>
      <c r="P64">
        <v>49159.32</v>
      </c>
      <c r="Q64">
        <f t="shared" si="2"/>
        <v>-1.7399819267824856E-2</v>
      </c>
      <c r="R64" s="2">
        <f t="shared" si="3"/>
        <v>-1.7399819267824856E-2</v>
      </c>
    </row>
    <row r="65" spans="1:18" x14ac:dyDescent="0.3">
      <c r="A65" s="1">
        <v>44292</v>
      </c>
      <c r="B65">
        <v>24.3</v>
      </c>
      <c r="C65">
        <f t="shared" si="0"/>
        <v>2.5316455696202594E-2</v>
      </c>
      <c r="D65" s="2">
        <f t="shared" si="1"/>
        <v>2.5316455696202594E-2</v>
      </c>
      <c r="O65" s="1">
        <v>44292</v>
      </c>
      <c r="P65">
        <v>49201.39</v>
      </c>
      <c r="Q65">
        <f t="shared" si="2"/>
        <v>8.5578889211648389E-4</v>
      </c>
      <c r="R65" s="2">
        <f t="shared" si="3"/>
        <v>8.5578889211648389E-4</v>
      </c>
    </row>
    <row r="66" spans="1:18" x14ac:dyDescent="0.3">
      <c r="A66" s="1">
        <v>44293</v>
      </c>
      <c r="B66">
        <v>23</v>
      </c>
      <c r="C66">
        <f t="shared" si="0"/>
        <v>-5.3497942386831303E-2</v>
      </c>
      <c r="D66" s="2">
        <f t="shared" si="1"/>
        <v>-5.3497942386831303E-2</v>
      </c>
      <c r="O66" s="1">
        <v>44293</v>
      </c>
      <c r="P66">
        <v>49661.760000000002</v>
      </c>
      <c r="Q66">
        <f t="shared" si="2"/>
        <v>9.3568494711227194E-3</v>
      </c>
      <c r="R66" s="2">
        <f t="shared" si="3"/>
        <v>9.3568494711227194E-3</v>
      </c>
    </row>
    <row r="67" spans="1:18" x14ac:dyDescent="0.3">
      <c r="A67" s="1">
        <v>44294</v>
      </c>
      <c r="B67">
        <v>23.55</v>
      </c>
      <c r="C67">
        <f t="shared" si="0"/>
        <v>2.3913043478260902E-2</v>
      </c>
      <c r="D67" s="2">
        <f t="shared" si="1"/>
        <v>2.3913043478260902E-2</v>
      </c>
      <c r="O67" s="1">
        <v>44294</v>
      </c>
      <c r="P67">
        <v>49746.21</v>
      </c>
      <c r="Q67">
        <f t="shared" si="2"/>
        <v>1.700503566526782E-3</v>
      </c>
      <c r="R67" s="2">
        <f t="shared" si="3"/>
        <v>1.700503566526782E-3</v>
      </c>
    </row>
    <row r="68" spans="1:18" x14ac:dyDescent="0.3">
      <c r="A68" s="1">
        <v>44295</v>
      </c>
      <c r="B68">
        <v>23.4</v>
      </c>
      <c r="C68">
        <f t="shared" ref="C68:C131" si="5">(B68-B67)/B67</f>
        <v>-6.3694267515924472E-3</v>
      </c>
      <c r="D68" s="2">
        <f t="shared" ref="D68:D131" si="6">(B68-B67)/B67</f>
        <v>-6.3694267515924472E-3</v>
      </c>
      <c r="O68" s="1">
        <v>44295</v>
      </c>
      <c r="P68">
        <v>49591.32</v>
      </c>
      <c r="Q68">
        <f t="shared" ref="Q68:Q131" si="7">(P68-P67)/P67</f>
        <v>-3.1136040313422754E-3</v>
      </c>
      <c r="R68" s="2">
        <f t="shared" ref="R68:R131" si="8">(P68-P67)/P67</f>
        <v>-3.1136040313422754E-3</v>
      </c>
    </row>
    <row r="69" spans="1:18" x14ac:dyDescent="0.3">
      <c r="A69" s="1">
        <v>44298</v>
      </c>
      <c r="B69">
        <v>24.65</v>
      </c>
      <c r="C69">
        <f t="shared" si="5"/>
        <v>5.3418803418803423E-2</v>
      </c>
      <c r="D69" s="2">
        <f t="shared" si="6"/>
        <v>5.3418803418803423E-2</v>
      </c>
      <c r="O69" s="1">
        <v>44298</v>
      </c>
      <c r="P69">
        <v>47883.38</v>
      </c>
      <c r="Q69">
        <f t="shared" si="7"/>
        <v>-3.4440301246266528E-2</v>
      </c>
      <c r="R69" s="2">
        <f t="shared" si="8"/>
        <v>-3.4440301246266528E-2</v>
      </c>
    </row>
    <row r="70" spans="1:18" x14ac:dyDescent="0.3">
      <c r="A70" s="1">
        <v>44299</v>
      </c>
      <c r="B70">
        <v>25</v>
      </c>
      <c r="C70">
        <f t="shared" si="5"/>
        <v>1.4198782961460505E-2</v>
      </c>
      <c r="D70" s="2">
        <f t="shared" si="6"/>
        <v>1.4198782961460505E-2</v>
      </c>
      <c r="O70" s="1">
        <v>44299</v>
      </c>
      <c r="P70">
        <v>48544.06</v>
      </c>
      <c r="Q70">
        <f t="shared" si="7"/>
        <v>1.3797689302634867E-2</v>
      </c>
      <c r="R70" s="2">
        <f t="shared" si="8"/>
        <v>1.3797689302634867E-2</v>
      </c>
    </row>
    <row r="71" spans="1:18" x14ac:dyDescent="0.3">
      <c r="A71" s="1">
        <v>44301</v>
      </c>
      <c r="B71">
        <v>25.45</v>
      </c>
      <c r="C71">
        <f t="shared" si="5"/>
        <v>1.7999999999999971E-2</v>
      </c>
      <c r="D71" s="2">
        <f t="shared" si="6"/>
        <v>1.7999999999999971E-2</v>
      </c>
      <c r="O71" s="1">
        <v>44301</v>
      </c>
      <c r="P71">
        <v>48803.68</v>
      </c>
      <c r="Q71">
        <f t="shared" si="7"/>
        <v>5.3481311616705041E-3</v>
      </c>
      <c r="R71" s="2">
        <f t="shared" si="8"/>
        <v>5.3481311616705041E-3</v>
      </c>
    </row>
    <row r="72" spans="1:18" x14ac:dyDescent="0.3">
      <c r="A72" s="1">
        <v>44302</v>
      </c>
      <c r="B72">
        <v>24.3</v>
      </c>
      <c r="C72">
        <f t="shared" si="5"/>
        <v>-4.5186640471512718E-2</v>
      </c>
      <c r="D72" s="2">
        <f t="shared" si="6"/>
        <v>-4.5186640471512718E-2</v>
      </c>
      <c r="O72" s="1">
        <v>44302</v>
      </c>
      <c r="P72">
        <v>48832.03</v>
      </c>
      <c r="Q72">
        <f t="shared" si="7"/>
        <v>5.8089881746619407E-4</v>
      </c>
      <c r="R72" s="2">
        <f t="shared" si="8"/>
        <v>5.8089881746619407E-4</v>
      </c>
    </row>
    <row r="73" spans="1:18" x14ac:dyDescent="0.3">
      <c r="A73" s="1">
        <v>44305</v>
      </c>
      <c r="B73">
        <v>23.05</v>
      </c>
      <c r="C73">
        <f t="shared" si="5"/>
        <v>-5.1440329218106998E-2</v>
      </c>
      <c r="D73" s="2">
        <f t="shared" si="6"/>
        <v>-5.1440329218106998E-2</v>
      </c>
      <c r="O73" s="1">
        <v>44305</v>
      </c>
      <c r="P73">
        <v>47949.42</v>
      </c>
      <c r="Q73">
        <f t="shared" si="7"/>
        <v>-1.8074407310120031E-2</v>
      </c>
      <c r="R73" s="2">
        <f t="shared" si="8"/>
        <v>-1.8074407310120031E-2</v>
      </c>
    </row>
    <row r="74" spans="1:18" x14ac:dyDescent="0.3">
      <c r="A74" s="1">
        <v>44306</v>
      </c>
      <c r="B74">
        <v>24.05</v>
      </c>
      <c r="C74">
        <f t="shared" si="5"/>
        <v>4.3383947939262472E-2</v>
      </c>
      <c r="D74" s="2">
        <f t="shared" si="6"/>
        <v>4.3383947939262472E-2</v>
      </c>
      <c r="O74" s="1">
        <v>44306</v>
      </c>
      <c r="P74">
        <v>47705.8</v>
      </c>
      <c r="Q74">
        <f t="shared" si="7"/>
        <v>-5.0807705286110942E-3</v>
      </c>
      <c r="R74" s="2">
        <f t="shared" si="8"/>
        <v>-5.0807705286110942E-3</v>
      </c>
    </row>
    <row r="75" spans="1:18" x14ac:dyDescent="0.3">
      <c r="A75" s="1">
        <v>44308</v>
      </c>
      <c r="B75">
        <v>24.4</v>
      </c>
      <c r="C75">
        <f t="shared" si="5"/>
        <v>1.4553014553014464E-2</v>
      </c>
      <c r="D75" s="2">
        <f t="shared" si="6"/>
        <v>1.4553014553014464E-2</v>
      </c>
      <c r="O75" s="1">
        <v>44308</v>
      </c>
      <c r="P75">
        <v>48080.67</v>
      </c>
      <c r="Q75">
        <f t="shared" si="7"/>
        <v>7.8579543787127629E-3</v>
      </c>
      <c r="R75" s="2">
        <f t="shared" si="8"/>
        <v>7.8579543787127629E-3</v>
      </c>
    </row>
    <row r="76" spans="1:18" x14ac:dyDescent="0.3">
      <c r="A76" s="1">
        <v>44309</v>
      </c>
      <c r="B76">
        <v>24.6</v>
      </c>
      <c r="C76">
        <f t="shared" si="5"/>
        <v>8.1967213114755265E-3</v>
      </c>
      <c r="D76" s="2">
        <f t="shared" si="6"/>
        <v>8.1967213114755265E-3</v>
      </c>
      <c r="O76" s="1">
        <v>44309</v>
      </c>
      <c r="P76">
        <v>47878.45</v>
      </c>
      <c r="Q76">
        <f t="shared" si="7"/>
        <v>-4.2058482130136951E-3</v>
      </c>
      <c r="R76" s="2">
        <f t="shared" si="8"/>
        <v>-4.2058482130136951E-3</v>
      </c>
    </row>
    <row r="77" spans="1:18" x14ac:dyDescent="0.3">
      <c r="A77" s="1">
        <v>44312</v>
      </c>
      <c r="B77">
        <v>24.25</v>
      </c>
      <c r="C77">
        <f t="shared" si="5"/>
        <v>-1.4227642276422821E-2</v>
      </c>
      <c r="D77" s="2">
        <f t="shared" si="6"/>
        <v>-1.4227642276422821E-2</v>
      </c>
      <c r="O77" s="1">
        <v>44312</v>
      </c>
      <c r="P77">
        <v>48386.51</v>
      </c>
      <c r="Q77">
        <f t="shared" si="7"/>
        <v>1.0611454631467915E-2</v>
      </c>
      <c r="R77" s="2">
        <f t="shared" si="8"/>
        <v>1.0611454631467915E-2</v>
      </c>
    </row>
    <row r="78" spans="1:18" x14ac:dyDescent="0.3">
      <c r="A78" s="1">
        <v>44313</v>
      </c>
      <c r="B78">
        <v>23.6</v>
      </c>
      <c r="C78">
        <f t="shared" si="5"/>
        <v>-2.6804123711340149E-2</v>
      </c>
      <c r="D78" s="2">
        <f t="shared" si="6"/>
        <v>-2.6804123711340149E-2</v>
      </c>
      <c r="O78" s="1">
        <v>44313</v>
      </c>
      <c r="P78">
        <v>48944.14</v>
      </c>
      <c r="Q78">
        <f t="shared" si="7"/>
        <v>1.1524493087019447E-2</v>
      </c>
      <c r="R78" s="2">
        <f t="shared" si="8"/>
        <v>1.1524493087019447E-2</v>
      </c>
    </row>
    <row r="79" spans="1:18" x14ac:dyDescent="0.3">
      <c r="A79" s="1">
        <v>44314</v>
      </c>
      <c r="B79">
        <v>28.3</v>
      </c>
      <c r="C79">
        <f t="shared" si="5"/>
        <v>0.19915254237288132</v>
      </c>
      <c r="D79" s="2">
        <f t="shared" si="6"/>
        <v>0.19915254237288132</v>
      </c>
      <c r="O79" s="1">
        <v>44314</v>
      </c>
      <c r="P79">
        <v>49733.84</v>
      </c>
      <c r="Q79">
        <f t="shared" si="7"/>
        <v>1.6134720111539342E-2</v>
      </c>
      <c r="R79" s="2">
        <f t="shared" si="8"/>
        <v>1.6134720111539342E-2</v>
      </c>
    </row>
    <row r="80" spans="1:18" x14ac:dyDescent="0.3">
      <c r="A80" s="1">
        <v>44315</v>
      </c>
      <c r="B80">
        <v>29.2</v>
      </c>
      <c r="C80">
        <f t="shared" si="5"/>
        <v>3.1802120141342705E-2</v>
      </c>
      <c r="D80" s="2">
        <f t="shared" si="6"/>
        <v>3.1802120141342705E-2</v>
      </c>
      <c r="O80" s="1">
        <v>44315</v>
      </c>
      <c r="P80">
        <v>49765.94</v>
      </c>
      <c r="Q80">
        <f t="shared" si="7"/>
        <v>6.4543578376425031E-4</v>
      </c>
      <c r="R80" s="2">
        <f t="shared" si="8"/>
        <v>6.4543578376425031E-4</v>
      </c>
    </row>
    <row r="81" spans="1:18" x14ac:dyDescent="0.3">
      <c r="A81" s="1">
        <v>44316</v>
      </c>
      <c r="B81">
        <v>27.55</v>
      </c>
      <c r="C81">
        <f t="shared" si="5"/>
        <v>-5.6506849315068448E-2</v>
      </c>
      <c r="D81" s="2">
        <f t="shared" si="6"/>
        <v>-5.6506849315068448E-2</v>
      </c>
      <c r="O81" s="1">
        <v>44316</v>
      </c>
      <c r="P81">
        <v>48782.36</v>
      </c>
      <c r="Q81">
        <f t="shared" si="7"/>
        <v>-1.9764119797596544E-2</v>
      </c>
      <c r="R81" s="2">
        <f t="shared" si="8"/>
        <v>-1.9764119797596544E-2</v>
      </c>
    </row>
    <row r="82" spans="1:18" x14ac:dyDescent="0.3">
      <c r="A82" s="1">
        <v>44319</v>
      </c>
      <c r="B82">
        <v>26.85</v>
      </c>
      <c r="C82">
        <f t="shared" si="5"/>
        <v>-2.5408348457350245E-2</v>
      </c>
      <c r="D82" s="2">
        <f t="shared" si="6"/>
        <v>-2.5408348457350245E-2</v>
      </c>
      <c r="O82" s="1">
        <v>44319</v>
      </c>
      <c r="P82">
        <v>48718.52</v>
      </c>
      <c r="Q82">
        <f t="shared" si="7"/>
        <v>-1.30866977325418E-3</v>
      </c>
      <c r="R82" s="2">
        <f t="shared" si="8"/>
        <v>-1.30866977325418E-3</v>
      </c>
    </row>
    <row r="83" spans="1:18" x14ac:dyDescent="0.3">
      <c r="A83" s="1">
        <v>44320</v>
      </c>
      <c r="B83">
        <v>27.9</v>
      </c>
      <c r="C83">
        <f t="shared" si="5"/>
        <v>3.9106145251396537E-2</v>
      </c>
      <c r="D83" s="2">
        <f t="shared" si="6"/>
        <v>3.9106145251396537E-2</v>
      </c>
      <c r="O83" s="1">
        <v>44320</v>
      </c>
      <c r="P83">
        <v>48253.51</v>
      </c>
      <c r="Q83">
        <f t="shared" si="7"/>
        <v>-9.5448301795702083E-3</v>
      </c>
      <c r="R83" s="2">
        <f t="shared" si="8"/>
        <v>-9.5448301795702083E-3</v>
      </c>
    </row>
    <row r="84" spans="1:18" x14ac:dyDescent="0.3">
      <c r="A84" s="1">
        <v>44321</v>
      </c>
      <c r="B84">
        <v>28.75</v>
      </c>
      <c r="C84">
        <f t="shared" si="5"/>
        <v>3.0465949820788582E-2</v>
      </c>
      <c r="D84" s="2">
        <f t="shared" si="6"/>
        <v>3.0465949820788582E-2</v>
      </c>
      <c r="O84" s="1">
        <v>44321</v>
      </c>
      <c r="P84">
        <v>48677.55</v>
      </c>
      <c r="Q84">
        <f t="shared" si="7"/>
        <v>8.7877545073923296E-3</v>
      </c>
      <c r="R84" s="2">
        <f t="shared" si="8"/>
        <v>8.7877545073923296E-3</v>
      </c>
    </row>
    <row r="85" spans="1:18" x14ac:dyDescent="0.3">
      <c r="A85" s="1">
        <v>44322</v>
      </c>
      <c r="B85">
        <v>28</v>
      </c>
      <c r="C85">
        <f t="shared" si="5"/>
        <v>-2.6086956521739129E-2</v>
      </c>
      <c r="D85" s="2">
        <f t="shared" si="6"/>
        <v>-2.6086956521739129E-2</v>
      </c>
      <c r="O85" s="1">
        <v>44322</v>
      </c>
      <c r="P85">
        <v>48949.760000000002</v>
      </c>
      <c r="Q85">
        <f t="shared" si="7"/>
        <v>5.5921056010419402E-3</v>
      </c>
      <c r="R85" s="2">
        <f t="shared" si="8"/>
        <v>5.5921056010419402E-3</v>
      </c>
    </row>
    <row r="86" spans="1:18" x14ac:dyDescent="0.3">
      <c r="A86" s="1">
        <v>44323</v>
      </c>
      <c r="B86">
        <v>27.65</v>
      </c>
      <c r="C86">
        <f t="shared" si="5"/>
        <v>-1.2500000000000051E-2</v>
      </c>
      <c r="D86" s="2">
        <f t="shared" si="6"/>
        <v>-1.2500000000000051E-2</v>
      </c>
      <c r="O86" s="1">
        <v>44323</v>
      </c>
      <c r="P86">
        <v>49206.47</v>
      </c>
      <c r="Q86">
        <f t="shared" si="7"/>
        <v>5.2443566628314238E-3</v>
      </c>
      <c r="R86" s="2">
        <f t="shared" si="8"/>
        <v>5.2443566628314238E-3</v>
      </c>
    </row>
    <row r="87" spans="1:18" x14ac:dyDescent="0.3">
      <c r="A87" s="1">
        <v>44326</v>
      </c>
      <c r="B87">
        <v>26.6</v>
      </c>
      <c r="C87">
        <f t="shared" si="5"/>
        <v>-3.7974683544303695E-2</v>
      </c>
      <c r="D87" s="2">
        <f t="shared" si="6"/>
        <v>-3.7974683544303695E-2</v>
      </c>
      <c r="O87" s="1">
        <v>44326</v>
      </c>
      <c r="P87">
        <v>49502.41</v>
      </c>
      <c r="Q87">
        <f t="shared" si="7"/>
        <v>6.0142497521159782E-3</v>
      </c>
      <c r="R87" s="2">
        <f t="shared" si="8"/>
        <v>6.0142497521159782E-3</v>
      </c>
    </row>
    <row r="88" spans="1:18" x14ac:dyDescent="0.3">
      <c r="A88" s="1">
        <v>44327</v>
      </c>
      <c r="B88">
        <v>27.05</v>
      </c>
      <c r="C88">
        <f t="shared" si="5"/>
        <v>1.6917293233082678E-2</v>
      </c>
      <c r="D88" s="2">
        <f t="shared" si="6"/>
        <v>1.6917293233082678E-2</v>
      </c>
      <c r="O88" s="1">
        <v>44327</v>
      </c>
      <c r="P88">
        <v>49161.81</v>
      </c>
      <c r="Q88">
        <f t="shared" si="7"/>
        <v>-6.8804730921182581E-3</v>
      </c>
      <c r="R88" s="2">
        <f t="shared" si="8"/>
        <v>-6.8804730921182581E-3</v>
      </c>
    </row>
    <row r="89" spans="1:18" x14ac:dyDescent="0.3">
      <c r="A89" s="1">
        <v>44328</v>
      </c>
      <c r="B89">
        <v>26.65</v>
      </c>
      <c r="C89">
        <f t="shared" si="5"/>
        <v>-1.4787430683918747E-2</v>
      </c>
      <c r="D89" s="2">
        <f t="shared" si="6"/>
        <v>-1.4787430683918747E-2</v>
      </c>
      <c r="O89" s="1">
        <v>44328</v>
      </c>
      <c r="P89">
        <v>48690.8</v>
      </c>
      <c r="Q89">
        <f t="shared" si="7"/>
        <v>-9.5808107960222537E-3</v>
      </c>
      <c r="R89" s="2">
        <f t="shared" si="8"/>
        <v>-9.5808107960222537E-3</v>
      </c>
    </row>
    <row r="90" spans="1:18" x14ac:dyDescent="0.3">
      <c r="A90" s="1">
        <v>44330</v>
      </c>
      <c r="B90">
        <v>26.1</v>
      </c>
      <c r="C90">
        <f t="shared" si="5"/>
        <v>-2.063789868667907E-2</v>
      </c>
      <c r="D90" s="2">
        <f t="shared" si="6"/>
        <v>-2.063789868667907E-2</v>
      </c>
      <c r="O90" s="1">
        <v>44330</v>
      </c>
      <c r="P90">
        <v>48732.55</v>
      </c>
      <c r="Q90">
        <f t="shared" si="7"/>
        <v>8.5745151034692375E-4</v>
      </c>
      <c r="R90" s="2">
        <f t="shared" si="8"/>
        <v>8.5745151034692375E-4</v>
      </c>
    </row>
    <row r="91" spans="1:18" x14ac:dyDescent="0.3">
      <c r="A91" s="1">
        <v>44333</v>
      </c>
      <c r="B91">
        <v>26.95</v>
      </c>
      <c r="C91">
        <f t="shared" si="5"/>
        <v>3.2567049808429033E-2</v>
      </c>
      <c r="D91" s="2">
        <f t="shared" si="6"/>
        <v>3.2567049808429033E-2</v>
      </c>
      <c r="O91" s="1">
        <v>44333</v>
      </c>
      <c r="P91">
        <v>49580.73</v>
      </c>
      <c r="Q91">
        <f t="shared" si="7"/>
        <v>1.7404794126307781E-2</v>
      </c>
      <c r="R91" s="2">
        <f t="shared" si="8"/>
        <v>1.7404794126307781E-2</v>
      </c>
    </row>
    <row r="92" spans="1:18" x14ac:dyDescent="0.3">
      <c r="A92" s="1">
        <v>44334</v>
      </c>
      <c r="B92">
        <v>26.5</v>
      </c>
      <c r="C92">
        <f t="shared" si="5"/>
        <v>-1.669758812615953E-2</v>
      </c>
      <c r="D92" s="2">
        <f t="shared" si="6"/>
        <v>-1.669758812615953E-2</v>
      </c>
      <c r="O92" s="1">
        <v>44334</v>
      </c>
      <c r="P92">
        <v>50193.33</v>
      </c>
      <c r="Q92">
        <f t="shared" si="7"/>
        <v>1.2355606704459544E-2</v>
      </c>
      <c r="R92" s="2">
        <f t="shared" si="8"/>
        <v>1.2355606704459544E-2</v>
      </c>
    </row>
    <row r="93" spans="1:18" x14ac:dyDescent="0.3">
      <c r="A93" s="1">
        <v>44335</v>
      </c>
      <c r="B93">
        <v>27.3</v>
      </c>
      <c r="C93">
        <f t="shared" si="5"/>
        <v>3.0188679245283047E-2</v>
      </c>
      <c r="D93" s="2">
        <f t="shared" si="6"/>
        <v>3.0188679245283047E-2</v>
      </c>
      <c r="O93" s="1">
        <v>44335</v>
      </c>
      <c r="P93">
        <v>49902.64</v>
      </c>
      <c r="Q93">
        <f t="shared" si="7"/>
        <v>-5.791406945903018E-3</v>
      </c>
      <c r="R93" s="2">
        <f t="shared" si="8"/>
        <v>-5.791406945903018E-3</v>
      </c>
    </row>
    <row r="94" spans="1:18" x14ac:dyDescent="0.3">
      <c r="A94" s="1">
        <v>44336</v>
      </c>
      <c r="B94">
        <v>27.2</v>
      </c>
      <c r="C94">
        <f t="shared" si="5"/>
        <v>-3.663003663003715E-3</v>
      </c>
      <c r="D94" s="2">
        <f t="shared" si="6"/>
        <v>-3.663003663003715E-3</v>
      </c>
      <c r="O94" s="1">
        <v>44336</v>
      </c>
      <c r="P94">
        <v>49564.86</v>
      </c>
      <c r="Q94">
        <f t="shared" si="7"/>
        <v>-6.7687801687445559E-3</v>
      </c>
      <c r="R94" s="2">
        <f t="shared" si="8"/>
        <v>-6.7687801687445559E-3</v>
      </c>
    </row>
    <row r="95" spans="1:18" x14ac:dyDescent="0.3">
      <c r="A95" s="1">
        <v>44337</v>
      </c>
      <c r="B95">
        <v>30.15</v>
      </c>
      <c r="C95">
        <f t="shared" si="5"/>
        <v>0.10845588235294115</v>
      </c>
      <c r="D95" s="2">
        <f t="shared" si="6"/>
        <v>0.10845588235294115</v>
      </c>
      <c r="O95" s="1">
        <v>44337</v>
      </c>
      <c r="P95">
        <v>50540.480000000003</v>
      </c>
      <c r="Q95">
        <f t="shared" si="7"/>
        <v>1.9683703333369704E-2</v>
      </c>
      <c r="R95" s="2">
        <f t="shared" si="8"/>
        <v>1.9683703333369704E-2</v>
      </c>
    </row>
    <row r="96" spans="1:18" x14ac:dyDescent="0.3">
      <c r="A96" s="1">
        <v>44340</v>
      </c>
      <c r="B96">
        <v>36.15</v>
      </c>
      <c r="C96">
        <f t="shared" si="5"/>
        <v>0.19900497512437812</v>
      </c>
      <c r="D96" s="2">
        <f t="shared" si="6"/>
        <v>0.19900497512437812</v>
      </c>
      <c r="O96" s="1">
        <v>44340</v>
      </c>
      <c r="P96">
        <v>50651.9</v>
      </c>
      <c r="Q96">
        <f t="shared" si="7"/>
        <v>2.2045694856874776E-3</v>
      </c>
      <c r="R96" s="2">
        <f t="shared" si="8"/>
        <v>2.2045694856874776E-3</v>
      </c>
    </row>
    <row r="97" spans="1:18" x14ac:dyDescent="0.3">
      <c r="A97" s="1">
        <v>44341</v>
      </c>
      <c r="B97">
        <v>41.95</v>
      </c>
      <c r="C97">
        <f t="shared" si="5"/>
        <v>0.1604426002766253</v>
      </c>
      <c r="D97" s="2">
        <f t="shared" si="6"/>
        <v>0.1604426002766253</v>
      </c>
      <c r="O97" s="1">
        <v>44341</v>
      </c>
      <c r="P97">
        <v>50637.53</v>
      </c>
      <c r="Q97">
        <f t="shared" si="7"/>
        <v>-2.8370110499315168E-4</v>
      </c>
      <c r="R97" s="2">
        <f t="shared" si="8"/>
        <v>-2.8370110499315168E-4</v>
      </c>
    </row>
    <row r="98" spans="1:18" x14ac:dyDescent="0.3">
      <c r="A98" s="1">
        <v>44342</v>
      </c>
      <c r="B98">
        <v>43</v>
      </c>
      <c r="C98">
        <f t="shared" si="5"/>
        <v>2.5029797377830683E-2</v>
      </c>
      <c r="D98" s="2">
        <f t="shared" si="6"/>
        <v>2.5029797377830683E-2</v>
      </c>
      <c r="O98" s="1">
        <v>44342</v>
      </c>
      <c r="P98">
        <v>51017.52</v>
      </c>
      <c r="Q98">
        <f t="shared" si="7"/>
        <v>7.5041179931169232E-3</v>
      </c>
      <c r="R98" s="2">
        <f t="shared" si="8"/>
        <v>7.5041179931169232E-3</v>
      </c>
    </row>
    <row r="99" spans="1:18" x14ac:dyDescent="0.3">
      <c r="A99" s="1">
        <v>44343</v>
      </c>
      <c r="B99">
        <v>40.1</v>
      </c>
      <c r="C99">
        <f t="shared" si="5"/>
        <v>-6.7441860465116243E-2</v>
      </c>
      <c r="D99" s="2">
        <f t="shared" si="6"/>
        <v>-6.7441860465116243E-2</v>
      </c>
      <c r="O99" s="1">
        <v>44343</v>
      </c>
      <c r="P99">
        <v>51115.22</v>
      </c>
      <c r="Q99">
        <f t="shared" si="7"/>
        <v>1.9150284059280885E-3</v>
      </c>
      <c r="R99" s="2">
        <f t="shared" si="8"/>
        <v>1.9150284059280885E-3</v>
      </c>
    </row>
    <row r="100" spans="1:18" x14ac:dyDescent="0.3">
      <c r="A100" s="1">
        <v>44344</v>
      </c>
      <c r="B100">
        <v>38.549999999999997</v>
      </c>
      <c r="C100">
        <f t="shared" si="5"/>
        <v>-3.8653366583541252E-2</v>
      </c>
      <c r="D100" s="2">
        <f t="shared" si="6"/>
        <v>-3.8653366583541252E-2</v>
      </c>
      <c r="O100" s="1">
        <v>44344</v>
      </c>
      <c r="P100">
        <v>51422.879999999997</v>
      </c>
      <c r="Q100">
        <f t="shared" si="7"/>
        <v>6.0189509112940571E-3</v>
      </c>
      <c r="R100" s="2">
        <f t="shared" si="8"/>
        <v>6.0189509112940571E-3</v>
      </c>
    </row>
    <row r="101" spans="1:18" x14ac:dyDescent="0.3">
      <c r="A101" s="1">
        <v>44347</v>
      </c>
      <c r="B101">
        <v>39.35</v>
      </c>
      <c r="C101">
        <f t="shared" si="5"/>
        <v>2.0752269779507247E-2</v>
      </c>
      <c r="D101" s="2">
        <f t="shared" si="6"/>
        <v>2.0752269779507247E-2</v>
      </c>
      <c r="O101" s="1">
        <v>44347</v>
      </c>
      <c r="P101">
        <v>51937.440000000002</v>
      </c>
      <c r="Q101">
        <f t="shared" si="7"/>
        <v>1.000644071277231E-2</v>
      </c>
      <c r="R101" s="2">
        <f t="shared" si="8"/>
        <v>1.000644071277231E-2</v>
      </c>
    </row>
    <row r="102" spans="1:18" x14ac:dyDescent="0.3">
      <c r="A102" s="1">
        <v>44348</v>
      </c>
      <c r="B102">
        <v>39.200000000000003</v>
      </c>
      <c r="C102">
        <f t="shared" si="5"/>
        <v>-3.8119440914866219E-3</v>
      </c>
      <c r="D102" s="2">
        <f t="shared" si="6"/>
        <v>-3.8119440914866219E-3</v>
      </c>
      <c r="O102" s="1">
        <v>44348</v>
      </c>
      <c r="P102">
        <v>51934.879999999997</v>
      </c>
      <c r="Q102">
        <f t="shared" si="7"/>
        <v>-4.9290068975385534E-5</v>
      </c>
      <c r="R102" s="2">
        <f t="shared" si="8"/>
        <v>-4.9290068975385534E-5</v>
      </c>
    </row>
    <row r="103" spans="1:18" x14ac:dyDescent="0.3">
      <c r="A103" s="1">
        <v>44349</v>
      </c>
      <c r="B103">
        <v>38.799999999999997</v>
      </c>
      <c r="C103">
        <f t="shared" si="5"/>
        <v>-1.0204081632653206E-2</v>
      </c>
      <c r="D103" s="2">
        <f t="shared" si="6"/>
        <v>-1.0204081632653206E-2</v>
      </c>
      <c r="O103" s="1">
        <v>44349</v>
      </c>
      <c r="P103">
        <v>51849.48</v>
      </c>
      <c r="Q103">
        <f t="shared" si="7"/>
        <v>-1.6443669456826353E-3</v>
      </c>
      <c r="R103" s="2">
        <f t="shared" si="8"/>
        <v>-1.6443669456826353E-3</v>
      </c>
    </row>
    <row r="104" spans="1:18" x14ac:dyDescent="0.3">
      <c r="A104" s="1">
        <v>44350</v>
      </c>
      <c r="B104">
        <v>42.65</v>
      </c>
      <c r="C104">
        <f t="shared" si="5"/>
        <v>9.922680412371139E-2</v>
      </c>
      <c r="D104" s="2">
        <f t="shared" si="6"/>
        <v>9.922680412371139E-2</v>
      </c>
      <c r="O104" s="1">
        <v>44350</v>
      </c>
      <c r="P104">
        <v>52232.43</v>
      </c>
      <c r="Q104">
        <f t="shared" si="7"/>
        <v>7.3858021334061033E-3</v>
      </c>
      <c r="R104" s="2">
        <f t="shared" si="8"/>
        <v>7.3858021334061033E-3</v>
      </c>
    </row>
    <row r="105" spans="1:18" x14ac:dyDescent="0.3">
      <c r="A105" s="1">
        <v>44351</v>
      </c>
      <c r="B105">
        <v>44.3</v>
      </c>
      <c r="C105">
        <f t="shared" si="5"/>
        <v>3.86869871043376E-2</v>
      </c>
      <c r="D105" s="2">
        <f t="shared" si="6"/>
        <v>3.86869871043376E-2</v>
      </c>
      <c r="O105" s="1">
        <v>44351</v>
      </c>
      <c r="P105">
        <v>52100.05</v>
      </c>
      <c r="Q105">
        <f t="shared" si="7"/>
        <v>-2.5344407679289932E-3</v>
      </c>
      <c r="R105" s="2">
        <f t="shared" si="8"/>
        <v>-2.5344407679289932E-3</v>
      </c>
    </row>
    <row r="106" spans="1:18" x14ac:dyDescent="0.3">
      <c r="A106" s="1">
        <v>44354</v>
      </c>
      <c r="B106">
        <v>48.7</v>
      </c>
      <c r="C106">
        <f t="shared" si="5"/>
        <v>9.9322799097065595E-2</v>
      </c>
      <c r="D106" s="2">
        <f t="shared" si="6"/>
        <v>9.9322799097065595E-2</v>
      </c>
      <c r="O106" s="1">
        <v>44354</v>
      </c>
      <c r="P106">
        <v>52328.51</v>
      </c>
      <c r="Q106">
        <f t="shared" si="7"/>
        <v>4.3850245825099807E-3</v>
      </c>
      <c r="R106" s="2">
        <f t="shared" si="8"/>
        <v>4.3850245825099807E-3</v>
      </c>
    </row>
    <row r="107" spans="1:18" x14ac:dyDescent="0.3">
      <c r="A107" s="1">
        <v>44355</v>
      </c>
      <c r="B107">
        <v>52.3</v>
      </c>
      <c r="C107">
        <f t="shared" si="5"/>
        <v>7.392197125256661E-2</v>
      </c>
      <c r="D107" s="2">
        <f t="shared" si="6"/>
        <v>7.392197125256661E-2</v>
      </c>
      <c r="O107" s="1">
        <v>44355</v>
      </c>
      <c r="P107">
        <v>52275.57</v>
      </c>
      <c r="Q107">
        <f t="shared" si="7"/>
        <v>-1.0116855993033689E-3</v>
      </c>
      <c r="R107" s="2">
        <f t="shared" si="8"/>
        <v>-1.0116855993033689E-3</v>
      </c>
    </row>
    <row r="108" spans="1:18" x14ac:dyDescent="0.3">
      <c r="A108" s="1">
        <v>44356</v>
      </c>
      <c r="B108">
        <v>49.7</v>
      </c>
      <c r="C108">
        <f t="shared" si="5"/>
        <v>-4.9713193116634691E-2</v>
      </c>
      <c r="D108" s="2">
        <f t="shared" si="6"/>
        <v>-4.9713193116634691E-2</v>
      </c>
      <c r="O108" s="1">
        <v>44356</v>
      </c>
      <c r="P108">
        <v>51941.64</v>
      </c>
      <c r="Q108">
        <f t="shared" si="7"/>
        <v>-6.387878697448929E-3</v>
      </c>
      <c r="R108" s="2">
        <f t="shared" si="8"/>
        <v>-6.387878697448929E-3</v>
      </c>
    </row>
    <row r="109" spans="1:18" x14ac:dyDescent="0.3">
      <c r="A109" s="1">
        <v>44357</v>
      </c>
      <c r="B109">
        <v>50.55</v>
      </c>
      <c r="C109">
        <f t="shared" si="5"/>
        <v>1.7102615694164873E-2</v>
      </c>
      <c r="D109" s="2">
        <f t="shared" si="6"/>
        <v>1.7102615694164873E-2</v>
      </c>
      <c r="O109" s="1">
        <v>44357</v>
      </c>
      <c r="P109">
        <v>52300.47</v>
      </c>
      <c r="Q109">
        <f t="shared" si="7"/>
        <v>6.9083301951960267E-3</v>
      </c>
      <c r="R109" s="2">
        <f t="shared" si="8"/>
        <v>6.9083301951960267E-3</v>
      </c>
    </row>
    <row r="110" spans="1:18" x14ac:dyDescent="0.3">
      <c r="A110" s="1">
        <v>44358</v>
      </c>
      <c r="B110">
        <v>49.55</v>
      </c>
      <c r="C110">
        <f t="shared" si="5"/>
        <v>-1.9782393669634028E-2</v>
      </c>
      <c r="D110" s="2">
        <f t="shared" si="6"/>
        <v>-1.9782393669634028E-2</v>
      </c>
      <c r="O110" s="1">
        <v>44358</v>
      </c>
      <c r="P110">
        <v>52474.76</v>
      </c>
      <c r="Q110">
        <f t="shared" si="7"/>
        <v>3.3324748324441611E-3</v>
      </c>
      <c r="R110" s="2">
        <f t="shared" si="8"/>
        <v>3.3324748324441611E-3</v>
      </c>
    </row>
    <row r="111" spans="1:18" x14ac:dyDescent="0.3">
      <c r="A111" s="1">
        <v>44361</v>
      </c>
      <c r="B111">
        <v>48.6</v>
      </c>
      <c r="C111">
        <f t="shared" si="5"/>
        <v>-1.9172552976791036E-2</v>
      </c>
      <c r="D111" s="2">
        <f t="shared" si="6"/>
        <v>-1.9172552976791036E-2</v>
      </c>
      <c r="O111" s="1">
        <v>44361</v>
      </c>
      <c r="P111">
        <v>52551.53</v>
      </c>
      <c r="Q111">
        <f t="shared" si="7"/>
        <v>1.462989063694561E-3</v>
      </c>
      <c r="R111" s="2">
        <f t="shared" si="8"/>
        <v>1.462989063694561E-3</v>
      </c>
    </row>
    <row r="112" spans="1:18" x14ac:dyDescent="0.3">
      <c r="A112" s="1">
        <v>44362</v>
      </c>
      <c r="B112">
        <v>49.95</v>
      </c>
      <c r="C112">
        <f t="shared" si="5"/>
        <v>2.7777777777777807E-2</v>
      </c>
      <c r="D112" s="2">
        <f t="shared" si="6"/>
        <v>2.7777777777777807E-2</v>
      </c>
      <c r="O112" s="1">
        <v>44362</v>
      </c>
      <c r="P112">
        <v>52773.05</v>
      </c>
      <c r="Q112">
        <f t="shared" si="7"/>
        <v>4.2152911627882971E-3</v>
      </c>
      <c r="R112" s="2">
        <f t="shared" si="8"/>
        <v>4.2152911627882971E-3</v>
      </c>
    </row>
    <row r="113" spans="1:18" x14ac:dyDescent="0.3">
      <c r="A113" s="1">
        <v>44363</v>
      </c>
      <c r="B113">
        <v>48.5</v>
      </c>
      <c r="C113">
        <f t="shared" si="5"/>
        <v>-2.9029029029029083E-2</v>
      </c>
      <c r="D113" s="2">
        <f t="shared" si="6"/>
        <v>-2.9029029029029083E-2</v>
      </c>
      <c r="O113" s="1">
        <v>44363</v>
      </c>
      <c r="P113">
        <v>52501.98</v>
      </c>
      <c r="Q113">
        <f t="shared" si="7"/>
        <v>-5.1365232822434877E-3</v>
      </c>
      <c r="R113" s="2">
        <f t="shared" si="8"/>
        <v>-5.1365232822434877E-3</v>
      </c>
    </row>
    <row r="114" spans="1:18" x14ac:dyDescent="0.3">
      <c r="A114" s="1">
        <v>44364</v>
      </c>
      <c r="B114">
        <v>48.3</v>
      </c>
      <c r="C114">
        <f t="shared" si="5"/>
        <v>-4.1237113402062438E-3</v>
      </c>
      <c r="D114" s="2">
        <f t="shared" si="6"/>
        <v>-4.1237113402062438E-3</v>
      </c>
      <c r="O114" s="1">
        <v>44364</v>
      </c>
      <c r="P114">
        <v>52323.33</v>
      </c>
      <c r="Q114">
        <f t="shared" si="7"/>
        <v>-3.40272881137057E-3</v>
      </c>
      <c r="R114" s="2">
        <f t="shared" si="8"/>
        <v>-3.40272881137057E-3</v>
      </c>
    </row>
    <row r="115" spans="1:18" x14ac:dyDescent="0.3">
      <c r="A115" s="1">
        <v>44365</v>
      </c>
      <c r="B115">
        <v>47.45</v>
      </c>
      <c r="C115">
        <f t="shared" si="5"/>
        <v>-1.759834368530009E-2</v>
      </c>
      <c r="D115" s="2">
        <f t="shared" si="6"/>
        <v>-1.759834368530009E-2</v>
      </c>
      <c r="O115" s="1">
        <v>44365</v>
      </c>
      <c r="P115">
        <v>52344.45</v>
      </c>
      <c r="Q115">
        <f t="shared" si="7"/>
        <v>4.0364403412388589E-4</v>
      </c>
      <c r="R115" s="2">
        <f t="shared" si="8"/>
        <v>4.0364403412388589E-4</v>
      </c>
    </row>
    <row r="116" spans="1:18" x14ac:dyDescent="0.3">
      <c r="A116" s="1">
        <v>44368</v>
      </c>
      <c r="B116">
        <v>49.1</v>
      </c>
      <c r="C116">
        <f t="shared" si="5"/>
        <v>3.4773445732349813E-2</v>
      </c>
      <c r="D116" s="2">
        <f t="shared" si="6"/>
        <v>3.4773445732349813E-2</v>
      </c>
      <c r="O116" s="1">
        <v>44368</v>
      </c>
      <c r="P116">
        <v>52574.46</v>
      </c>
      <c r="Q116">
        <f t="shared" si="7"/>
        <v>4.3941621318019783E-3</v>
      </c>
      <c r="R116" s="2">
        <f t="shared" si="8"/>
        <v>4.3941621318019783E-3</v>
      </c>
    </row>
    <row r="117" spans="1:18" x14ac:dyDescent="0.3">
      <c r="A117" s="1">
        <v>44369</v>
      </c>
      <c r="B117">
        <v>51.2</v>
      </c>
      <c r="C117">
        <f t="shared" si="5"/>
        <v>4.2769857433808581E-2</v>
      </c>
      <c r="D117" s="2">
        <f t="shared" si="6"/>
        <v>4.2769857433808581E-2</v>
      </c>
      <c r="O117" s="1">
        <v>44369</v>
      </c>
      <c r="P117">
        <v>52588.71</v>
      </c>
      <c r="Q117">
        <f t="shared" si="7"/>
        <v>2.7104415337789487E-4</v>
      </c>
      <c r="R117" s="2">
        <f t="shared" si="8"/>
        <v>2.7104415337789487E-4</v>
      </c>
    </row>
    <row r="118" spans="1:18" x14ac:dyDescent="0.3">
      <c r="A118" s="1">
        <v>44370</v>
      </c>
      <c r="B118">
        <v>50.35</v>
      </c>
      <c r="C118">
        <f t="shared" si="5"/>
        <v>-1.6601562500000028E-2</v>
      </c>
      <c r="D118" s="2">
        <f t="shared" si="6"/>
        <v>-1.6601562500000028E-2</v>
      </c>
      <c r="O118" s="1">
        <v>44370</v>
      </c>
      <c r="P118">
        <v>52306.080000000002</v>
      </c>
      <c r="Q118">
        <f t="shared" si="7"/>
        <v>-5.3743474597493911E-3</v>
      </c>
      <c r="R118" s="2">
        <f t="shared" si="8"/>
        <v>-5.3743474597493911E-3</v>
      </c>
    </row>
    <row r="119" spans="1:18" x14ac:dyDescent="0.3">
      <c r="A119" s="1">
        <v>44371</v>
      </c>
      <c r="B119">
        <v>49</v>
      </c>
      <c r="C119">
        <f t="shared" si="5"/>
        <v>-2.6812313803376394E-2</v>
      </c>
      <c r="D119" s="2">
        <f t="shared" si="6"/>
        <v>-2.6812313803376394E-2</v>
      </c>
      <c r="O119" s="1">
        <v>44371</v>
      </c>
      <c r="P119">
        <v>52699</v>
      </c>
      <c r="Q119">
        <f t="shared" si="7"/>
        <v>7.5119374267771212E-3</v>
      </c>
      <c r="R119" s="2">
        <f t="shared" si="8"/>
        <v>7.5119374267771212E-3</v>
      </c>
    </row>
    <row r="120" spans="1:18" x14ac:dyDescent="0.3">
      <c r="A120" s="1">
        <v>44372</v>
      </c>
      <c r="B120">
        <v>48.75</v>
      </c>
      <c r="C120">
        <f t="shared" si="5"/>
        <v>-5.1020408163265302E-3</v>
      </c>
      <c r="D120" s="2">
        <f t="shared" si="6"/>
        <v>-5.1020408163265302E-3</v>
      </c>
      <c r="O120" s="1">
        <v>44372</v>
      </c>
      <c r="P120">
        <v>52925.04</v>
      </c>
      <c r="Q120">
        <f t="shared" si="7"/>
        <v>4.2892654509573405E-3</v>
      </c>
      <c r="R120" s="2">
        <f t="shared" si="8"/>
        <v>4.2892654509573405E-3</v>
      </c>
    </row>
    <row r="121" spans="1:18" x14ac:dyDescent="0.3">
      <c r="A121" s="1">
        <v>44375</v>
      </c>
      <c r="B121">
        <v>48.85</v>
      </c>
      <c r="C121">
        <f t="shared" si="5"/>
        <v>2.0512820512820803E-3</v>
      </c>
      <c r="D121" s="2">
        <f t="shared" si="6"/>
        <v>2.0512820512820803E-3</v>
      </c>
      <c r="O121" s="1">
        <v>44375</v>
      </c>
      <c r="P121">
        <v>52735.59</v>
      </c>
      <c r="Q121">
        <f t="shared" si="7"/>
        <v>-3.5795910593549736E-3</v>
      </c>
      <c r="R121" s="2">
        <f t="shared" si="8"/>
        <v>-3.5795910593549736E-3</v>
      </c>
    </row>
    <row r="122" spans="1:18" x14ac:dyDescent="0.3">
      <c r="A122" s="1">
        <v>44376</v>
      </c>
      <c r="B122">
        <v>48.6</v>
      </c>
      <c r="C122">
        <f t="shared" si="5"/>
        <v>-5.1177072671443188E-3</v>
      </c>
      <c r="D122" s="2">
        <f t="shared" si="6"/>
        <v>-5.1177072671443188E-3</v>
      </c>
      <c r="O122" s="1">
        <v>44376</v>
      </c>
      <c r="P122">
        <v>52549.66</v>
      </c>
      <c r="Q122">
        <f t="shared" si="7"/>
        <v>-3.5257024715186279E-3</v>
      </c>
      <c r="R122" s="2">
        <f t="shared" si="8"/>
        <v>-3.5257024715186279E-3</v>
      </c>
    </row>
    <row r="123" spans="1:18" x14ac:dyDescent="0.3">
      <c r="A123" s="1">
        <v>44377</v>
      </c>
      <c r="B123">
        <v>48.3</v>
      </c>
      <c r="C123">
        <f t="shared" si="5"/>
        <v>-6.1728395061729268E-3</v>
      </c>
      <c r="D123" s="2">
        <f t="shared" si="6"/>
        <v>-6.1728395061729268E-3</v>
      </c>
      <c r="O123" s="1">
        <v>44377</v>
      </c>
      <c r="P123">
        <v>52482.71</v>
      </c>
      <c r="Q123">
        <f t="shared" si="7"/>
        <v>-1.2740329813742727E-3</v>
      </c>
      <c r="R123" s="2">
        <f t="shared" si="8"/>
        <v>-1.2740329813742727E-3</v>
      </c>
    </row>
    <row r="124" spans="1:18" x14ac:dyDescent="0.3">
      <c r="A124" s="1">
        <v>44378</v>
      </c>
      <c r="B124">
        <v>47.15</v>
      </c>
      <c r="C124">
        <f t="shared" si="5"/>
        <v>-2.380952380952378E-2</v>
      </c>
      <c r="D124" s="2">
        <f t="shared" si="6"/>
        <v>-2.380952380952378E-2</v>
      </c>
      <c r="O124" s="1">
        <v>44378</v>
      </c>
      <c r="P124">
        <v>52318.6</v>
      </c>
      <c r="Q124">
        <f t="shared" si="7"/>
        <v>-3.1269345656884063E-3</v>
      </c>
      <c r="R124" s="2">
        <f t="shared" si="8"/>
        <v>-3.1269345656884063E-3</v>
      </c>
    </row>
    <row r="125" spans="1:18" x14ac:dyDescent="0.3">
      <c r="A125" s="1">
        <v>44379</v>
      </c>
      <c r="B125">
        <v>47.3</v>
      </c>
      <c r="C125">
        <f t="shared" si="5"/>
        <v>3.181336161187669E-3</v>
      </c>
      <c r="D125" s="2">
        <f t="shared" si="6"/>
        <v>3.181336161187669E-3</v>
      </c>
      <c r="O125" s="1">
        <v>44379</v>
      </c>
      <c r="P125">
        <v>52484.67</v>
      </c>
      <c r="Q125">
        <f t="shared" si="7"/>
        <v>3.1742057318047447E-3</v>
      </c>
      <c r="R125" s="2">
        <f t="shared" si="8"/>
        <v>3.1742057318047447E-3</v>
      </c>
    </row>
    <row r="126" spans="1:18" x14ac:dyDescent="0.3">
      <c r="A126" s="1">
        <v>44382</v>
      </c>
      <c r="B126">
        <v>48.05</v>
      </c>
      <c r="C126">
        <f t="shared" si="5"/>
        <v>1.5856236786469347E-2</v>
      </c>
      <c r="D126" s="2">
        <f t="shared" si="6"/>
        <v>1.5856236786469347E-2</v>
      </c>
      <c r="O126" s="1">
        <v>44382</v>
      </c>
      <c r="P126">
        <v>52880</v>
      </c>
      <c r="Q126">
        <f t="shared" si="7"/>
        <v>7.5322946681383677E-3</v>
      </c>
      <c r="R126" s="2">
        <f t="shared" si="8"/>
        <v>7.5322946681383677E-3</v>
      </c>
    </row>
    <row r="127" spans="1:18" x14ac:dyDescent="0.3">
      <c r="A127" s="1">
        <v>44383</v>
      </c>
      <c r="B127">
        <v>46.85</v>
      </c>
      <c r="C127">
        <f t="shared" si="5"/>
        <v>-2.4973985431841744E-2</v>
      </c>
      <c r="D127" s="2">
        <f t="shared" si="6"/>
        <v>-2.4973985431841744E-2</v>
      </c>
      <c r="O127" s="1">
        <v>44383</v>
      </c>
      <c r="P127">
        <v>52861.18</v>
      </c>
      <c r="Q127">
        <f t="shared" si="7"/>
        <v>-3.559001512859249E-4</v>
      </c>
      <c r="R127" s="2">
        <f t="shared" si="8"/>
        <v>-3.559001512859249E-4</v>
      </c>
    </row>
    <row r="128" spans="1:18" x14ac:dyDescent="0.3">
      <c r="A128" s="1">
        <v>44384</v>
      </c>
      <c r="B128">
        <v>46.2</v>
      </c>
      <c r="C128">
        <f t="shared" si="5"/>
        <v>-1.3874066168623234E-2</v>
      </c>
      <c r="D128" s="2">
        <f t="shared" si="6"/>
        <v>-1.3874066168623234E-2</v>
      </c>
      <c r="O128" s="1">
        <v>44384</v>
      </c>
      <c r="P128">
        <v>53054.76</v>
      </c>
      <c r="Q128">
        <f t="shared" si="7"/>
        <v>3.6620446232944808E-3</v>
      </c>
      <c r="R128" s="2">
        <f t="shared" si="8"/>
        <v>3.6620446232944808E-3</v>
      </c>
    </row>
    <row r="129" spans="1:18" x14ac:dyDescent="0.3">
      <c r="A129" s="1">
        <v>44385</v>
      </c>
      <c r="B129">
        <v>47.3</v>
      </c>
      <c r="C129">
        <f t="shared" si="5"/>
        <v>2.3809523809523683E-2</v>
      </c>
      <c r="D129" s="2">
        <f t="shared" si="6"/>
        <v>2.3809523809523683E-2</v>
      </c>
      <c r="O129" s="1">
        <v>44385</v>
      </c>
      <c r="P129">
        <v>52568.94</v>
      </c>
      <c r="Q129">
        <f t="shared" si="7"/>
        <v>-9.156954060295432E-3</v>
      </c>
      <c r="R129" s="2">
        <f t="shared" si="8"/>
        <v>-9.156954060295432E-3</v>
      </c>
    </row>
    <row r="130" spans="1:18" x14ac:dyDescent="0.3">
      <c r="A130" s="1">
        <v>44386</v>
      </c>
      <c r="B130">
        <v>46.8</v>
      </c>
      <c r="C130">
        <f t="shared" si="5"/>
        <v>-1.0570824524312896E-2</v>
      </c>
      <c r="D130" s="2">
        <f t="shared" si="6"/>
        <v>-1.0570824524312896E-2</v>
      </c>
      <c r="O130" s="1">
        <v>44386</v>
      </c>
      <c r="P130">
        <v>52386.19</v>
      </c>
      <c r="Q130">
        <f t="shared" si="7"/>
        <v>-3.4763873876855799E-3</v>
      </c>
      <c r="R130" s="2">
        <f t="shared" si="8"/>
        <v>-3.4763873876855799E-3</v>
      </c>
    </row>
    <row r="131" spans="1:18" x14ac:dyDescent="0.3">
      <c r="A131" s="1">
        <v>44389</v>
      </c>
      <c r="B131">
        <v>44.55</v>
      </c>
      <c r="C131">
        <f t="shared" si="5"/>
        <v>-4.807692307692308E-2</v>
      </c>
      <c r="D131" s="2">
        <f t="shared" si="6"/>
        <v>-4.807692307692308E-2</v>
      </c>
      <c r="O131" s="1">
        <v>44389</v>
      </c>
      <c r="P131">
        <v>52372.69</v>
      </c>
      <c r="Q131">
        <f t="shared" si="7"/>
        <v>-2.5770150491952171E-4</v>
      </c>
      <c r="R131" s="2">
        <f t="shared" si="8"/>
        <v>-2.5770150491952171E-4</v>
      </c>
    </row>
    <row r="132" spans="1:18" x14ac:dyDescent="0.3">
      <c r="A132" s="1">
        <v>44390</v>
      </c>
      <c r="B132">
        <v>43.25</v>
      </c>
      <c r="C132">
        <f t="shared" ref="C132:C195" si="9">(B132-B131)/B131</f>
        <v>-2.9180695847362451E-2</v>
      </c>
      <c r="D132" s="2">
        <f t="shared" ref="D132:D195" si="10">(B132-B131)/B131</f>
        <v>-2.9180695847362451E-2</v>
      </c>
      <c r="O132" s="1">
        <v>44390</v>
      </c>
      <c r="P132">
        <v>52769.73</v>
      </c>
      <c r="Q132">
        <f t="shared" ref="Q132:Q195" si="11">(P132-P131)/P131</f>
        <v>7.5810503527697515E-3</v>
      </c>
      <c r="R132" s="2">
        <f t="shared" ref="R132:R195" si="12">(P132-P131)/P131</f>
        <v>7.5810503527697515E-3</v>
      </c>
    </row>
    <row r="133" spans="1:18" x14ac:dyDescent="0.3">
      <c r="A133" s="1">
        <v>44391</v>
      </c>
      <c r="B133">
        <v>44.6</v>
      </c>
      <c r="C133">
        <f t="shared" si="9"/>
        <v>3.1213872832369975E-2</v>
      </c>
      <c r="D133" s="2">
        <f t="shared" si="10"/>
        <v>3.1213872832369975E-2</v>
      </c>
      <c r="O133" s="1">
        <v>44391</v>
      </c>
      <c r="P133">
        <v>52904.05</v>
      </c>
      <c r="Q133">
        <f t="shared" si="11"/>
        <v>2.5453986594208403E-3</v>
      </c>
      <c r="R133" s="2">
        <f t="shared" si="12"/>
        <v>2.5453986594208403E-3</v>
      </c>
    </row>
    <row r="134" spans="1:18" x14ac:dyDescent="0.3">
      <c r="A134" s="1">
        <v>44392</v>
      </c>
      <c r="B134">
        <v>44</v>
      </c>
      <c r="C134">
        <f t="shared" si="9"/>
        <v>-1.345291479820631E-2</v>
      </c>
      <c r="D134" s="2">
        <f t="shared" si="10"/>
        <v>-1.345291479820631E-2</v>
      </c>
      <c r="O134" s="1">
        <v>44392</v>
      </c>
      <c r="P134">
        <v>53158.85</v>
      </c>
      <c r="Q134">
        <f t="shared" si="11"/>
        <v>4.8162664295076773E-3</v>
      </c>
      <c r="R134" s="2">
        <f t="shared" si="12"/>
        <v>4.8162664295076773E-3</v>
      </c>
    </row>
    <row r="135" spans="1:18" x14ac:dyDescent="0.3">
      <c r="A135" s="1">
        <v>44393</v>
      </c>
      <c r="B135">
        <v>43.65</v>
      </c>
      <c r="C135">
        <f t="shared" si="9"/>
        <v>-7.9545454545454867E-3</v>
      </c>
      <c r="D135" s="2">
        <f t="shared" si="10"/>
        <v>-7.9545454545454867E-3</v>
      </c>
      <c r="O135" s="1">
        <v>44393</v>
      </c>
      <c r="P135">
        <v>53140.06</v>
      </c>
      <c r="Q135">
        <f t="shared" si="11"/>
        <v>-3.5346889558372449E-4</v>
      </c>
      <c r="R135" s="2">
        <f t="shared" si="12"/>
        <v>-3.5346889558372449E-4</v>
      </c>
    </row>
    <row r="136" spans="1:18" x14ac:dyDescent="0.3">
      <c r="A136" s="1">
        <v>44396</v>
      </c>
      <c r="B136">
        <v>44.45</v>
      </c>
      <c r="C136">
        <f t="shared" si="9"/>
        <v>1.8327605956472034E-2</v>
      </c>
      <c r="D136" s="2">
        <f t="shared" si="10"/>
        <v>1.8327605956472034E-2</v>
      </c>
      <c r="O136" s="1">
        <v>44396</v>
      </c>
      <c r="P136">
        <v>52553.4</v>
      </c>
      <c r="Q136">
        <f t="shared" si="11"/>
        <v>-1.1039882152936904E-2</v>
      </c>
      <c r="R136" s="2">
        <f t="shared" si="12"/>
        <v>-1.1039882152936904E-2</v>
      </c>
    </row>
    <row r="137" spans="1:18" x14ac:dyDescent="0.3">
      <c r="A137" s="1">
        <v>44397</v>
      </c>
      <c r="B137">
        <v>46.65</v>
      </c>
      <c r="C137">
        <f t="shared" si="9"/>
        <v>4.9493813273340737E-2</v>
      </c>
      <c r="D137" s="2">
        <f t="shared" si="10"/>
        <v>4.9493813273340737E-2</v>
      </c>
      <c r="O137" s="1">
        <v>44397</v>
      </c>
      <c r="P137">
        <v>52198.51</v>
      </c>
      <c r="Q137">
        <f t="shared" si="11"/>
        <v>-6.7529408182914787E-3</v>
      </c>
      <c r="R137" s="2">
        <f t="shared" si="12"/>
        <v>-6.7529408182914787E-3</v>
      </c>
    </row>
    <row r="138" spans="1:18" x14ac:dyDescent="0.3">
      <c r="A138" s="1">
        <v>44399</v>
      </c>
      <c r="B138">
        <v>48.95</v>
      </c>
      <c r="C138">
        <f t="shared" si="9"/>
        <v>4.9303322615219816E-2</v>
      </c>
      <c r="D138" s="2">
        <f t="shared" si="10"/>
        <v>4.9303322615219816E-2</v>
      </c>
      <c r="O138" s="1">
        <v>44399</v>
      </c>
      <c r="P138">
        <v>52837.21</v>
      </c>
      <c r="Q138">
        <f t="shared" si="11"/>
        <v>1.2235981448512555E-2</v>
      </c>
      <c r="R138" s="2">
        <f t="shared" si="12"/>
        <v>1.2235981448512555E-2</v>
      </c>
    </row>
    <row r="139" spans="1:18" x14ac:dyDescent="0.3">
      <c r="A139" s="1">
        <v>44400</v>
      </c>
      <c r="B139">
        <v>51.3</v>
      </c>
      <c r="C139">
        <f t="shared" si="9"/>
        <v>4.8008171603677104E-2</v>
      </c>
      <c r="D139" s="2">
        <f t="shared" si="10"/>
        <v>4.8008171603677104E-2</v>
      </c>
      <c r="O139" s="1">
        <v>44400</v>
      </c>
      <c r="P139">
        <v>52975.8</v>
      </c>
      <c r="Q139">
        <f t="shared" si="11"/>
        <v>2.6229621132532127E-3</v>
      </c>
      <c r="R139" s="2">
        <f t="shared" si="12"/>
        <v>2.6229621132532127E-3</v>
      </c>
    </row>
    <row r="140" spans="1:18" x14ac:dyDescent="0.3">
      <c r="A140" s="1">
        <v>44403</v>
      </c>
      <c r="B140">
        <v>49.25</v>
      </c>
      <c r="C140">
        <f t="shared" si="9"/>
        <v>-3.9961013645224121E-2</v>
      </c>
      <c r="D140" s="2">
        <f t="shared" si="10"/>
        <v>-3.9961013645224121E-2</v>
      </c>
      <c r="O140" s="1">
        <v>44403</v>
      </c>
      <c r="P140">
        <v>52852.27</v>
      </c>
      <c r="Q140">
        <f t="shared" si="11"/>
        <v>-2.3318194345343744E-3</v>
      </c>
      <c r="R140" s="2">
        <f t="shared" si="12"/>
        <v>-2.3318194345343744E-3</v>
      </c>
    </row>
    <row r="141" spans="1:18" x14ac:dyDescent="0.3">
      <c r="A141" s="1">
        <v>44404</v>
      </c>
      <c r="B141">
        <v>47.8</v>
      </c>
      <c r="C141">
        <f t="shared" si="9"/>
        <v>-2.944162436548229E-2</v>
      </c>
      <c r="D141" s="2">
        <f t="shared" si="10"/>
        <v>-2.944162436548229E-2</v>
      </c>
      <c r="O141" s="1">
        <v>44404</v>
      </c>
      <c r="P141">
        <v>52578.76</v>
      </c>
      <c r="Q141">
        <f t="shared" si="11"/>
        <v>-5.1749905917001255E-3</v>
      </c>
      <c r="R141" s="2">
        <f t="shared" si="12"/>
        <v>-5.1749905917001255E-3</v>
      </c>
    </row>
    <row r="142" spans="1:18" x14ac:dyDescent="0.3">
      <c r="A142" s="1">
        <v>44405</v>
      </c>
      <c r="B142">
        <v>47.7</v>
      </c>
      <c r="C142">
        <f t="shared" si="9"/>
        <v>-2.0920502092049019E-3</v>
      </c>
      <c r="D142" s="2">
        <f t="shared" si="10"/>
        <v>-2.0920502092049019E-3</v>
      </c>
      <c r="O142" s="1">
        <v>44405</v>
      </c>
      <c r="P142">
        <v>52443.71</v>
      </c>
      <c r="Q142">
        <f t="shared" si="11"/>
        <v>-2.5685276716301965E-3</v>
      </c>
      <c r="R142" s="2">
        <f t="shared" si="12"/>
        <v>-2.5685276716301965E-3</v>
      </c>
    </row>
    <row r="143" spans="1:18" x14ac:dyDescent="0.3">
      <c r="A143" s="1">
        <v>44406</v>
      </c>
      <c r="B143">
        <v>48.05</v>
      </c>
      <c r="C143">
        <f t="shared" si="9"/>
        <v>7.3375262054506145E-3</v>
      </c>
      <c r="D143" s="2">
        <f t="shared" si="10"/>
        <v>7.3375262054506145E-3</v>
      </c>
      <c r="O143" s="1">
        <v>44406</v>
      </c>
      <c r="P143">
        <v>52653.07</v>
      </c>
      <c r="Q143">
        <f t="shared" si="11"/>
        <v>3.9920898044779937E-3</v>
      </c>
      <c r="R143" s="2">
        <f t="shared" si="12"/>
        <v>3.9920898044779937E-3</v>
      </c>
    </row>
    <row r="144" spans="1:18" x14ac:dyDescent="0.3">
      <c r="A144" s="1">
        <v>44407</v>
      </c>
      <c r="B144">
        <v>48.3</v>
      </c>
      <c r="C144">
        <f t="shared" si="9"/>
        <v>5.2029136316337149E-3</v>
      </c>
      <c r="D144" s="2">
        <f t="shared" si="10"/>
        <v>5.2029136316337149E-3</v>
      </c>
      <c r="O144" s="1">
        <v>44407</v>
      </c>
      <c r="P144">
        <v>52586.84</v>
      </c>
      <c r="Q144">
        <f t="shared" si="11"/>
        <v>-1.2578563795046177E-3</v>
      </c>
      <c r="R144" s="2">
        <f t="shared" si="12"/>
        <v>-1.2578563795046177E-3</v>
      </c>
    </row>
    <row r="145" spans="1:18" x14ac:dyDescent="0.3">
      <c r="A145" s="1">
        <v>44410</v>
      </c>
      <c r="B145">
        <v>49.25</v>
      </c>
      <c r="C145">
        <f t="shared" si="9"/>
        <v>1.9668737060041467E-2</v>
      </c>
      <c r="D145" s="2">
        <f t="shared" si="10"/>
        <v>1.9668737060041467E-2</v>
      </c>
      <c r="O145" s="1">
        <v>44410</v>
      </c>
      <c r="P145">
        <v>52950.63</v>
      </c>
      <c r="Q145">
        <f t="shared" si="11"/>
        <v>6.9178904836267189E-3</v>
      </c>
      <c r="R145" s="2">
        <f t="shared" si="12"/>
        <v>6.9178904836267189E-3</v>
      </c>
    </row>
    <row r="146" spans="1:18" x14ac:dyDescent="0.3">
      <c r="A146" s="1">
        <v>44411</v>
      </c>
      <c r="B146">
        <v>49.3</v>
      </c>
      <c r="C146">
        <f t="shared" si="9"/>
        <v>1.0152284263958815E-3</v>
      </c>
      <c r="D146" s="2">
        <f t="shared" si="10"/>
        <v>1.0152284263958815E-3</v>
      </c>
      <c r="O146" s="1">
        <v>44411</v>
      </c>
      <c r="P146">
        <v>53823.360000000001</v>
      </c>
      <c r="Q146">
        <f t="shared" si="11"/>
        <v>1.6481956871901304E-2</v>
      </c>
      <c r="R146" s="2">
        <f t="shared" si="12"/>
        <v>1.6481956871901304E-2</v>
      </c>
    </row>
    <row r="147" spans="1:18" x14ac:dyDescent="0.3">
      <c r="A147" s="1">
        <v>44412</v>
      </c>
      <c r="B147">
        <v>48.85</v>
      </c>
      <c r="C147">
        <f t="shared" si="9"/>
        <v>-9.1277890466530589E-3</v>
      </c>
      <c r="D147" s="2">
        <f t="shared" si="10"/>
        <v>-9.1277890466530589E-3</v>
      </c>
      <c r="O147" s="1">
        <v>44412</v>
      </c>
      <c r="P147">
        <v>54369.77</v>
      </c>
      <c r="Q147">
        <f t="shared" si="11"/>
        <v>1.0151911734978942E-2</v>
      </c>
      <c r="R147" s="2">
        <f t="shared" si="12"/>
        <v>1.0151911734978942E-2</v>
      </c>
    </row>
    <row r="148" spans="1:18" x14ac:dyDescent="0.3">
      <c r="A148" s="1">
        <v>44413</v>
      </c>
      <c r="B148">
        <v>48.75</v>
      </c>
      <c r="C148">
        <f t="shared" si="9"/>
        <v>-2.0470829068577568E-3</v>
      </c>
      <c r="D148" s="2">
        <f t="shared" si="10"/>
        <v>-2.0470829068577568E-3</v>
      </c>
      <c r="O148" s="1">
        <v>44413</v>
      </c>
      <c r="P148">
        <v>54492.84</v>
      </c>
      <c r="Q148">
        <f t="shared" si="11"/>
        <v>2.2635740412365129E-3</v>
      </c>
      <c r="R148" s="2">
        <f t="shared" si="12"/>
        <v>2.2635740412365129E-3</v>
      </c>
    </row>
    <row r="149" spans="1:18" x14ac:dyDescent="0.3">
      <c r="A149" s="1">
        <v>44414</v>
      </c>
      <c r="B149">
        <v>50.2</v>
      </c>
      <c r="C149">
        <f t="shared" si="9"/>
        <v>2.9743589743589802E-2</v>
      </c>
      <c r="D149" s="2">
        <f t="shared" si="10"/>
        <v>2.9743589743589802E-2</v>
      </c>
      <c r="O149" s="1">
        <v>44414</v>
      </c>
      <c r="P149">
        <v>54277.72</v>
      </c>
      <c r="Q149">
        <f t="shared" si="11"/>
        <v>-3.9476745935795483E-3</v>
      </c>
      <c r="R149" s="2">
        <f t="shared" si="12"/>
        <v>-3.9476745935795483E-3</v>
      </c>
    </row>
    <row r="150" spans="1:18" x14ac:dyDescent="0.3">
      <c r="A150" s="1">
        <v>44417</v>
      </c>
      <c r="B150">
        <v>52.7</v>
      </c>
      <c r="C150">
        <f t="shared" si="9"/>
        <v>4.9800796812749001E-2</v>
      </c>
      <c r="D150" s="2">
        <f t="shared" si="10"/>
        <v>4.9800796812749001E-2</v>
      </c>
      <c r="O150" s="1">
        <v>44417</v>
      </c>
      <c r="P150">
        <v>54402.85</v>
      </c>
      <c r="Q150">
        <f t="shared" si="11"/>
        <v>2.3053658112388909E-3</v>
      </c>
      <c r="R150" s="2">
        <f t="shared" si="12"/>
        <v>2.3053658112388909E-3</v>
      </c>
    </row>
    <row r="151" spans="1:18" x14ac:dyDescent="0.3">
      <c r="A151" s="1">
        <v>44418</v>
      </c>
      <c r="B151">
        <v>55.3</v>
      </c>
      <c r="C151">
        <f t="shared" si="9"/>
        <v>4.9335863377609E-2</v>
      </c>
      <c r="D151" s="2">
        <f t="shared" si="10"/>
        <v>4.9335863377609E-2</v>
      </c>
      <c r="O151" s="1">
        <v>44418</v>
      </c>
      <c r="P151">
        <v>54554.66</v>
      </c>
      <c r="Q151">
        <f t="shared" si="11"/>
        <v>2.7904788076360881E-3</v>
      </c>
      <c r="R151" s="2">
        <f t="shared" si="12"/>
        <v>2.7904788076360881E-3</v>
      </c>
    </row>
    <row r="152" spans="1:18" x14ac:dyDescent="0.3">
      <c r="A152" s="1">
        <v>44419</v>
      </c>
      <c r="B152">
        <v>55.25</v>
      </c>
      <c r="C152">
        <f t="shared" si="9"/>
        <v>-9.0415913200718196E-4</v>
      </c>
      <c r="D152" s="2">
        <f t="shared" si="10"/>
        <v>-9.0415913200718196E-4</v>
      </c>
      <c r="O152" s="1">
        <v>44419</v>
      </c>
      <c r="P152">
        <v>54525.93</v>
      </c>
      <c r="Q152">
        <f t="shared" si="11"/>
        <v>-5.2662778945012582E-4</v>
      </c>
      <c r="R152" s="2">
        <f t="shared" si="12"/>
        <v>-5.2662778945012582E-4</v>
      </c>
    </row>
    <row r="153" spans="1:18" x14ac:dyDescent="0.3">
      <c r="A153" s="1">
        <v>44420</v>
      </c>
      <c r="B153">
        <v>56.75</v>
      </c>
      <c r="C153">
        <f t="shared" si="9"/>
        <v>2.7149321266968326E-2</v>
      </c>
      <c r="D153" s="2">
        <f t="shared" si="10"/>
        <v>2.7149321266968326E-2</v>
      </c>
      <c r="O153" s="1">
        <v>44420</v>
      </c>
      <c r="P153">
        <v>54843.98</v>
      </c>
      <c r="Q153">
        <f t="shared" si="11"/>
        <v>5.8330045906599464E-3</v>
      </c>
      <c r="R153" s="2">
        <f t="shared" si="12"/>
        <v>5.8330045906599464E-3</v>
      </c>
    </row>
    <row r="154" spans="1:18" x14ac:dyDescent="0.3">
      <c r="A154" s="1">
        <v>44421</v>
      </c>
      <c r="B154">
        <v>57</v>
      </c>
      <c r="C154">
        <f t="shared" si="9"/>
        <v>4.4052863436123352E-3</v>
      </c>
      <c r="D154" s="2">
        <f t="shared" si="10"/>
        <v>4.4052863436123352E-3</v>
      </c>
      <c r="O154" s="1">
        <v>44421</v>
      </c>
      <c r="P154">
        <v>55437.29</v>
      </c>
      <c r="Q154">
        <f t="shared" si="11"/>
        <v>1.0818142665794818E-2</v>
      </c>
      <c r="R154" s="2">
        <f t="shared" si="12"/>
        <v>1.0818142665794818E-2</v>
      </c>
    </row>
    <row r="155" spans="1:18" x14ac:dyDescent="0.3">
      <c r="A155" s="1">
        <v>44424</v>
      </c>
      <c r="B155">
        <v>58.8</v>
      </c>
      <c r="C155">
        <f t="shared" si="9"/>
        <v>3.1578947368421005E-2</v>
      </c>
      <c r="D155" s="2">
        <f t="shared" si="10"/>
        <v>3.1578947368421005E-2</v>
      </c>
      <c r="O155" s="1">
        <v>44424</v>
      </c>
      <c r="P155">
        <v>55582.58</v>
      </c>
      <c r="Q155">
        <f t="shared" si="11"/>
        <v>2.6207991047181578E-3</v>
      </c>
      <c r="R155" s="2">
        <f t="shared" si="12"/>
        <v>2.6207991047181578E-3</v>
      </c>
    </row>
    <row r="156" spans="1:18" x14ac:dyDescent="0.3">
      <c r="A156" s="1">
        <v>44425</v>
      </c>
      <c r="B156">
        <v>59.65</v>
      </c>
      <c r="C156">
        <f t="shared" si="9"/>
        <v>1.4455782312925195E-2</v>
      </c>
      <c r="D156" s="2">
        <f t="shared" si="10"/>
        <v>1.4455782312925195E-2</v>
      </c>
      <c r="O156" s="1">
        <v>44425</v>
      </c>
      <c r="P156">
        <v>55792.27</v>
      </c>
      <c r="Q156">
        <f t="shared" si="11"/>
        <v>3.7725848638187546E-3</v>
      </c>
      <c r="R156" s="2">
        <f t="shared" si="12"/>
        <v>3.7725848638187546E-3</v>
      </c>
    </row>
    <row r="157" spans="1:18" x14ac:dyDescent="0.3">
      <c r="A157" s="1">
        <v>44426</v>
      </c>
      <c r="B157">
        <v>62.6</v>
      </c>
      <c r="C157">
        <f t="shared" si="9"/>
        <v>4.9455155071249E-2</v>
      </c>
      <c r="D157" s="2">
        <f t="shared" si="10"/>
        <v>4.9455155071249E-2</v>
      </c>
      <c r="O157" s="1">
        <v>44426</v>
      </c>
      <c r="P157">
        <v>55629.49</v>
      </c>
      <c r="Q157">
        <f t="shared" si="11"/>
        <v>-2.9176084787372668E-3</v>
      </c>
      <c r="R157" s="2">
        <f t="shared" si="12"/>
        <v>-2.9176084787372668E-3</v>
      </c>
    </row>
    <row r="158" spans="1:18" x14ac:dyDescent="0.3">
      <c r="A158" s="1">
        <v>44428</v>
      </c>
      <c r="B158">
        <v>65.7</v>
      </c>
      <c r="C158">
        <f t="shared" si="9"/>
        <v>4.9520766773162958E-2</v>
      </c>
      <c r="D158" s="2">
        <f t="shared" si="10"/>
        <v>4.9520766773162958E-2</v>
      </c>
      <c r="O158" s="1">
        <v>44428</v>
      </c>
      <c r="P158">
        <v>55329.32</v>
      </c>
      <c r="Q158">
        <f t="shared" si="11"/>
        <v>-5.3958790562343506E-3</v>
      </c>
      <c r="R158" s="2">
        <f t="shared" si="12"/>
        <v>-5.3958790562343506E-3</v>
      </c>
    </row>
    <row r="159" spans="1:18" x14ac:dyDescent="0.3">
      <c r="A159" s="1">
        <v>44431</v>
      </c>
      <c r="B159">
        <v>62.45</v>
      </c>
      <c r="C159">
        <f t="shared" si="9"/>
        <v>-4.9467275494672752E-2</v>
      </c>
      <c r="D159" s="2">
        <f t="shared" si="10"/>
        <v>-4.9467275494672752E-2</v>
      </c>
      <c r="O159" s="1">
        <v>44431</v>
      </c>
      <c r="P159">
        <v>55555.79</v>
      </c>
      <c r="Q159">
        <f t="shared" si="11"/>
        <v>4.0931282003827474E-3</v>
      </c>
      <c r="R159" s="2">
        <f t="shared" si="12"/>
        <v>4.0931282003827474E-3</v>
      </c>
    </row>
    <row r="160" spans="1:18" x14ac:dyDescent="0.3">
      <c r="A160" s="1">
        <v>44432</v>
      </c>
      <c r="B160">
        <v>61.9</v>
      </c>
      <c r="C160">
        <f t="shared" si="9"/>
        <v>-8.8070456365092753E-3</v>
      </c>
      <c r="D160" s="2">
        <f t="shared" si="10"/>
        <v>-8.8070456365092753E-3</v>
      </c>
      <c r="O160" s="1">
        <v>44432</v>
      </c>
      <c r="P160">
        <v>55958.98</v>
      </c>
      <c r="Q160">
        <f t="shared" si="11"/>
        <v>7.2573893738168841E-3</v>
      </c>
      <c r="R160" s="2">
        <f t="shared" si="12"/>
        <v>7.2573893738168841E-3</v>
      </c>
    </row>
    <row r="161" spans="1:18" x14ac:dyDescent="0.3">
      <c r="A161" s="1">
        <v>44433</v>
      </c>
      <c r="B161">
        <v>64.95</v>
      </c>
      <c r="C161">
        <f t="shared" si="9"/>
        <v>4.9273021001615576E-2</v>
      </c>
      <c r="D161" s="2">
        <f t="shared" si="10"/>
        <v>4.9273021001615576E-2</v>
      </c>
      <c r="O161" s="1">
        <v>44433</v>
      </c>
      <c r="P161">
        <v>55944.21</v>
      </c>
      <c r="Q161">
        <f t="shared" si="11"/>
        <v>-2.6394333849552072E-4</v>
      </c>
      <c r="R161" s="2">
        <f t="shared" si="12"/>
        <v>-2.6394333849552072E-4</v>
      </c>
    </row>
    <row r="162" spans="1:18" x14ac:dyDescent="0.3">
      <c r="A162" s="1">
        <v>44434</v>
      </c>
      <c r="B162">
        <v>64.45</v>
      </c>
      <c r="C162">
        <f t="shared" si="9"/>
        <v>-7.6982294072363349E-3</v>
      </c>
      <c r="D162" s="2">
        <f t="shared" si="10"/>
        <v>-7.6982294072363349E-3</v>
      </c>
      <c r="O162" s="1">
        <v>44434</v>
      </c>
      <c r="P162">
        <v>55949.1</v>
      </c>
      <c r="Q162">
        <f t="shared" si="11"/>
        <v>8.7408509298807121E-5</v>
      </c>
      <c r="R162" s="2">
        <f t="shared" si="12"/>
        <v>8.7408509298807121E-5</v>
      </c>
    </row>
    <row r="163" spans="1:18" x14ac:dyDescent="0.3">
      <c r="A163" s="1">
        <v>44435</v>
      </c>
      <c r="B163">
        <v>62.35</v>
      </c>
      <c r="C163">
        <f t="shared" si="9"/>
        <v>-3.2583397982932527E-2</v>
      </c>
      <c r="D163" s="2">
        <f t="shared" si="10"/>
        <v>-3.2583397982932527E-2</v>
      </c>
      <c r="O163" s="1">
        <v>44435</v>
      </c>
      <c r="P163">
        <v>56124.72</v>
      </c>
      <c r="Q163">
        <f t="shared" si="11"/>
        <v>3.1389244867210129E-3</v>
      </c>
      <c r="R163" s="2">
        <f t="shared" si="12"/>
        <v>3.1389244867210129E-3</v>
      </c>
    </row>
    <row r="164" spans="1:18" x14ac:dyDescent="0.3">
      <c r="A164" s="1">
        <v>44438</v>
      </c>
      <c r="B164">
        <v>62.15</v>
      </c>
      <c r="C164">
        <f t="shared" si="9"/>
        <v>-3.2076984763432692E-3</v>
      </c>
      <c r="D164" s="2">
        <f t="shared" si="10"/>
        <v>-3.2076984763432692E-3</v>
      </c>
      <c r="O164" s="1">
        <v>44438</v>
      </c>
      <c r="P164">
        <v>56889.760000000002</v>
      </c>
      <c r="Q164">
        <f t="shared" si="11"/>
        <v>1.3631070230729006E-2</v>
      </c>
      <c r="R164" s="2">
        <f t="shared" si="12"/>
        <v>1.3631070230729006E-2</v>
      </c>
    </row>
    <row r="165" spans="1:18" x14ac:dyDescent="0.3">
      <c r="A165" s="1">
        <v>44439</v>
      </c>
      <c r="B165">
        <v>61.55</v>
      </c>
      <c r="C165">
        <f t="shared" si="9"/>
        <v>-9.6540627514079078E-3</v>
      </c>
      <c r="D165" s="2">
        <f t="shared" si="10"/>
        <v>-9.6540627514079078E-3</v>
      </c>
      <c r="O165" s="1">
        <v>44439</v>
      </c>
      <c r="P165">
        <v>57552.39</v>
      </c>
      <c r="Q165">
        <f t="shared" si="11"/>
        <v>1.1647614614651167E-2</v>
      </c>
      <c r="R165" s="2">
        <f t="shared" si="12"/>
        <v>1.1647614614651167E-2</v>
      </c>
    </row>
    <row r="166" spans="1:18" x14ac:dyDescent="0.3">
      <c r="A166" s="1">
        <v>44440</v>
      </c>
      <c r="B166">
        <v>59.65</v>
      </c>
      <c r="C166">
        <f t="shared" si="9"/>
        <v>-3.0869212022745715E-2</v>
      </c>
      <c r="D166" s="2">
        <f t="shared" si="10"/>
        <v>-3.0869212022745715E-2</v>
      </c>
      <c r="O166" s="1">
        <v>44440</v>
      </c>
      <c r="P166">
        <v>57338.21</v>
      </c>
      <c r="Q166">
        <f t="shared" si="11"/>
        <v>-3.7214788126088299E-3</v>
      </c>
      <c r="R166" s="2">
        <f t="shared" si="12"/>
        <v>-3.7214788126088299E-3</v>
      </c>
    </row>
    <row r="167" spans="1:18" x14ac:dyDescent="0.3">
      <c r="A167" s="1">
        <v>44441</v>
      </c>
      <c r="B167">
        <v>61.3</v>
      </c>
      <c r="C167">
        <f t="shared" si="9"/>
        <v>2.7661357921207018E-2</v>
      </c>
      <c r="D167" s="2">
        <f t="shared" si="10"/>
        <v>2.7661357921207018E-2</v>
      </c>
      <c r="O167" s="1">
        <v>44441</v>
      </c>
      <c r="P167">
        <v>57852.54</v>
      </c>
      <c r="Q167">
        <f t="shared" si="11"/>
        <v>8.9701091122307754E-3</v>
      </c>
      <c r="R167" s="2">
        <f t="shared" si="12"/>
        <v>8.9701091122307754E-3</v>
      </c>
    </row>
    <row r="168" spans="1:18" x14ac:dyDescent="0.3">
      <c r="A168" s="1">
        <v>44442</v>
      </c>
      <c r="B168">
        <v>64.349999999999994</v>
      </c>
      <c r="C168">
        <f t="shared" si="9"/>
        <v>4.9755301794453463E-2</v>
      </c>
      <c r="D168" s="2">
        <f t="shared" si="10"/>
        <v>4.9755301794453463E-2</v>
      </c>
      <c r="O168" s="1">
        <v>44442</v>
      </c>
      <c r="P168">
        <v>58129.95</v>
      </c>
      <c r="Q168">
        <f t="shared" si="11"/>
        <v>4.7951222193527926E-3</v>
      </c>
      <c r="R168" s="2">
        <f t="shared" si="12"/>
        <v>4.7951222193527926E-3</v>
      </c>
    </row>
    <row r="169" spans="1:18" x14ac:dyDescent="0.3">
      <c r="A169" s="1">
        <v>44445</v>
      </c>
      <c r="B169">
        <v>64.2</v>
      </c>
      <c r="C169">
        <f t="shared" si="9"/>
        <v>-2.3310023310021987E-3</v>
      </c>
      <c r="D169" s="2">
        <f t="shared" si="10"/>
        <v>-2.3310023310021987E-3</v>
      </c>
      <c r="O169" s="1">
        <v>44445</v>
      </c>
      <c r="P169">
        <v>58296.91</v>
      </c>
      <c r="Q169">
        <f t="shared" si="11"/>
        <v>2.8721855085030419E-3</v>
      </c>
      <c r="R169" s="2">
        <f t="shared" si="12"/>
        <v>2.8721855085030419E-3</v>
      </c>
    </row>
    <row r="170" spans="1:18" x14ac:dyDescent="0.3">
      <c r="A170" s="1">
        <v>44446</v>
      </c>
      <c r="B170">
        <v>67.400000000000006</v>
      </c>
      <c r="C170">
        <f t="shared" si="9"/>
        <v>4.9844236760124651E-2</v>
      </c>
      <c r="D170" s="2">
        <f t="shared" si="10"/>
        <v>4.9844236760124651E-2</v>
      </c>
      <c r="O170" s="1">
        <v>44446</v>
      </c>
      <c r="P170">
        <v>58279.48</v>
      </c>
      <c r="Q170">
        <f t="shared" si="11"/>
        <v>-2.989866872875473E-4</v>
      </c>
      <c r="R170" s="2">
        <f t="shared" si="12"/>
        <v>-2.989866872875473E-4</v>
      </c>
    </row>
    <row r="171" spans="1:18" x14ac:dyDescent="0.3">
      <c r="A171" s="1">
        <v>44447</v>
      </c>
      <c r="B171">
        <v>70.75</v>
      </c>
      <c r="C171">
        <f t="shared" si="9"/>
        <v>4.9703264094955402E-2</v>
      </c>
      <c r="D171" s="2">
        <f t="shared" si="10"/>
        <v>4.9703264094955402E-2</v>
      </c>
      <c r="O171" s="1">
        <v>44447</v>
      </c>
      <c r="P171">
        <v>58250.26</v>
      </c>
      <c r="Q171">
        <f t="shared" si="11"/>
        <v>-5.0137715710574563E-4</v>
      </c>
      <c r="R171" s="2">
        <f t="shared" si="12"/>
        <v>-5.0137715710574563E-4</v>
      </c>
    </row>
    <row r="172" spans="1:18" x14ac:dyDescent="0.3">
      <c r="A172" s="1">
        <v>44448</v>
      </c>
      <c r="B172">
        <v>74.25</v>
      </c>
      <c r="C172">
        <f t="shared" si="9"/>
        <v>4.9469964664310952E-2</v>
      </c>
      <c r="D172" s="2">
        <f t="shared" si="10"/>
        <v>4.9469964664310952E-2</v>
      </c>
      <c r="O172" s="1">
        <v>44448</v>
      </c>
      <c r="P172">
        <v>58305.07</v>
      </c>
      <c r="Q172">
        <f t="shared" si="11"/>
        <v>9.4094000610465381E-4</v>
      </c>
      <c r="R172" s="2">
        <f t="shared" si="12"/>
        <v>9.4094000610465381E-4</v>
      </c>
    </row>
    <row r="173" spans="1:18" x14ac:dyDescent="0.3">
      <c r="A173" s="1">
        <v>44452</v>
      </c>
      <c r="B173">
        <v>76.45</v>
      </c>
      <c r="C173">
        <f t="shared" si="9"/>
        <v>2.9629629629629669E-2</v>
      </c>
      <c r="D173" s="2">
        <f t="shared" si="10"/>
        <v>2.9629629629629669E-2</v>
      </c>
      <c r="O173" s="1">
        <v>44452</v>
      </c>
      <c r="P173">
        <v>58177.760000000002</v>
      </c>
      <c r="Q173">
        <f t="shared" si="11"/>
        <v>-2.1835150871098805E-3</v>
      </c>
      <c r="R173" s="2">
        <f t="shared" si="12"/>
        <v>-2.1835150871098805E-3</v>
      </c>
    </row>
    <row r="174" spans="1:18" x14ac:dyDescent="0.3">
      <c r="A174" s="1">
        <v>44453</v>
      </c>
      <c r="B174">
        <v>72.650000000000006</v>
      </c>
      <c r="C174">
        <f t="shared" si="9"/>
        <v>-4.9705689993459735E-2</v>
      </c>
      <c r="D174" s="2">
        <f t="shared" si="10"/>
        <v>-4.9705689993459735E-2</v>
      </c>
      <c r="O174" s="1">
        <v>44453</v>
      </c>
      <c r="P174">
        <v>58247.09</v>
      </c>
      <c r="Q174">
        <f t="shared" si="11"/>
        <v>1.1916924955514697E-3</v>
      </c>
      <c r="R174" s="2">
        <f t="shared" si="12"/>
        <v>1.1916924955514697E-3</v>
      </c>
    </row>
    <row r="175" spans="1:18" x14ac:dyDescent="0.3">
      <c r="A175" s="1">
        <v>44454</v>
      </c>
      <c r="B175">
        <v>76</v>
      </c>
      <c r="C175">
        <f t="shared" si="9"/>
        <v>4.6111493461803085E-2</v>
      </c>
      <c r="D175" s="2">
        <f t="shared" si="10"/>
        <v>4.6111493461803085E-2</v>
      </c>
      <c r="O175" s="1">
        <v>44454</v>
      </c>
      <c r="P175">
        <v>58723.199999999997</v>
      </c>
      <c r="Q175">
        <f t="shared" si="11"/>
        <v>8.1739705794744537E-3</v>
      </c>
      <c r="R175" s="2">
        <f t="shared" si="12"/>
        <v>8.1739705794744537E-3</v>
      </c>
    </row>
    <row r="176" spans="1:18" x14ac:dyDescent="0.3">
      <c r="A176" s="1">
        <v>44455</v>
      </c>
      <c r="B176">
        <v>79.400000000000006</v>
      </c>
      <c r="C176">
        <f t="shared" si="9"/>
        <v>4.4736842105263235E-2</v>
      </c>
      <c r="D176" s="2">
        <f t="shared" si="10"/>
        <v>4.4736842105263235E-2</v>
      </c>
      <c r="O176" s="1">
        <v>44455</v>
      </c>
      <c r="P176">
        <v>59141.16</v>
      </c>
      <c r="Q176">
        <f t="shared" si="11"/>
        <v>7.1174595389898098E-3</v>
      </c>
      <c r="R176" s="2">
        <f t="shared" si="12"/>
        <v>7.1174595389898098E-3</v>
      </c>
    </row>
    <row r="177" spans="1:18" x14ac:dyDescent="0.3">
      <c r="A177" s="1">
        <v>44456</v>
      </c>
      <c r="B177">
        <v>77.55</v>
      </c>
      <c r="C177">
        <f t="shared" si="9"/>
        <v>-2.3299748110831339E-2</v>
      </c>
      <c r="D177" s="2">
        <f t="shared" si="10"/>
        <v>-2.3299748110831339E-2</v>
      </c>
      <c r="O177" s="1">
        <v>44456</v>
      </c>
      <c r="P177">
        <v>59015.89</v>
      </c>
      <c r="Q177">
        <f t="shared" si="11"/>
        <v>-2.1181525692090595E-3</v>
      </c>
      <c r="R177" s="2">
        <f t="shared" si="12"/>
        <v>-2.1181525692090595E-3</v>
      </c>
    </row>
    <row r="178" spans="1:18" x14ac:dyDescent="0.3">
      <c r="A178" s="1">
        <v>44459</v>
      </c>
      <c r="B178">
        <v>73.8</v>
      </c>
      <c r="C178">
        <f t="shared" si="9"/>
        <v>-4.8355899419729211E-2</v>
      </c>
      <c r="D178" s="2">
        <f t="shared" si="10"/>
        <v>-4.8355899419729211E-2</v>
      </c>
      <c r="O178" s="1">
        <v>44459</v>
      </c>
      <c r="P178">
        <v>58490.93</v>
      </c>
      <c r="Q178">
        <f t="shared" si="11"/>
        <v>-8.8952314368214921E-3</v>
      </c>
      <c r="R178" s="2">
        <f t="shared" si="12"/>
        <v>-8.8952314368214921E-3</v>
      </c>
    </row>
    <row r="179" spans="1:18" x14ac:dyDescent="0.3">
      <c r="A179" s="1">
        <v>44460</v>
      </c>
      <c r="B179">
        <v>72.5</v>
      </c>
      <c r="C179">
        <f t="shared" si="9"/>
        <v>-1.7615176151761478E-2</v>
      </c>
      <c r="D179" s="2">
        <f t="shared" si="10"/>
        <v>-1.7615176151761478E-2</v>
      </c>
      <c r="O179" s="1">
        <v>44460</v>
      </c>
      <c r="P179">
        <v>59005.27</v>
      </c>
      <c r="Q179">
        <f t="shared" si="11"/>
        <v>8.7935001204459649E-3</v>
      </c>
      <c r="R179" s="2">
        <f t="shared" si="12"/>
        <v>8.7935001204459649E-3</v>
      </c>
    </row>
    <row r="180" spans="1:18" x14ac:dyDescent="0.3">
      <c r="A180" s="1">
        <v>44461</v>
      </c>
      <c r="B180">
        <v>71.5</v>
      </c>
      <c r="C180">
        <f t="shared" si="9"/>
        <v>-1.3793103448275862E-2</v>
      </c>
      <c r="D180" s="2">
        <f t="shared" si="10"/>
        <v>-1.3793103448275862E-2</v>
      </c>
      <c r="O180" s="1">
        <v>44461</v>
      </c>
      <c r="P180">
        <v>58927.33</v>
      </c>
      <c r="Q180">
        <f t="shared" si="11"/>
        <v>-1.3208989637704404E-3</v>
      </c>
      <c r="R180" s="2">
        <f t="shared" si="12"/>
        <v>-1.3208989637704404E-3</v>
      </c>
    </row>
    <row r="181" spans="1:18" x14ac:dyDescent="0.3">
      <c r="A181" s="1">
        <v>44462</v>
      </c>
      <c r="B181">
        <v>73.7</v>
      </c>
      <c r="C181">
        <f t="shared" si="9"/>
        <v>3.0769230769230809E-2</v>
      </c>
      <c r="D181" s="2">
        <f t="shared" si="10"/>
        <v>3.0769230769230809E-2</v>
      </c>
      <c r="O181" s="1">
        <v>44462</v>
      </c>
      <c r="P181">
        <v>59885.36</v>
      </c>
      <c r="Q181">
        <f t="shared" si="11"/>
        <v>1.6257821285980526E-2</v>
      </c>
      <c r="R181" s="2">
        <f t="shared" si="12"/>
        <v>1.6257821285980526E-2</v>
      </c>
    </row>
    <row r="182" spans="1:18" x14ac:dyDescent="0.3">
      <c r="A182" s="1">
        <v>44463</v>
      </c>
      <c r="B182">
        <v>70.75</v>
      </c>
      <c r="C182">
        <f t="shared" si="9"/>
        <v>-4.0027137042062455E-2</v>
      </c>
      <c r="D182" s="2">
        <f t="shared" si="10"/>
        <v>-4.0027137042062455E-2</v>
      </c>
      <c r="O182" s="1">
        <v>44463</v>
      </c>
      <c r="P182">
        <v>60048.47</v>
      </c>
      <c r="Q182">
        <f t="shared" si="11"/>
        <v>2.723704090615813E-3</v>
      </c>
      <c r="R182" s="2">
        <f t="shared" si="12"/>
        <v>2.723704090615813E-3</v>
      </c>
    </row>
    <row r="183" spans="1:18" x14ac:dyDescent="0.3">
      <c r="A183" s="1">
        <v>44466</v>
      </c>
      <c r="B183">
        <v>71.5</v>
      </c>
      <c r="C183">
        <f t="shared" si="9"/>
        <v>1.0600706713780919E-2</v>
      </c>
      <c r="D183" s="2">
        <f t="shared" si="10"/>
        <v>1.0600706713780919E-2</v>
      </c>
      <c r="O183" s="1">
        <v>44466</v>
      </c>
      <c r="P183">
        <v>60077.88</v>
      </c>
      <c r="Q183">
        <f t="shared" si="11"/>
        <v>4.8977101331634625E-4</v>
      </c>
      <c r="R183" s="2">
        <f t="shared" si="12"/>
        <v>4.8977101331634625E-4</v>
      </c>
    </row>
    <row r="184" spans="1:18" x14ac:dyDescent="0.3">
      <c r="A184" s="1">
        <v>44467</v>
      </c>
      <c r="B184">
        <v>71.849999999999994</v>
      </c>
      <c r="C184">
        <f t="shared" si="9"/>
        <v>4.8951048951048157E-3</v>
      </c>
      <c r="D184" s="2">
        <f t="shared" si="10"/>
        <v>4.8951048951048157E-3</v>
      </c>
      <c r="O184" s="1">
        <v>44467</v>
      </c>
      <c r="P184">
        <v>59667.6</v>
      </c>
      <c r="Q184">
        <f t="shared" si="11"/>
        <v>-6.8291357817552622E-3</v>
      </c>
      <c r="R184" s="2">
        <f t="shared" si="12"/>
        <v>-6.8291357817552622E-3</v>
      </c>
    </row>
    <row r="185" spans="1:18" x14ac:dyDescent="0.3">
      <c r="A185" s="1">
        <v>44468</v>
      </c>
      <c r="B185">
        <v>74.150000000000006</v>
      </c>
      <c r="C185">
        <f t="shared" si="9"/>
        <v>3.2011134307585405E-2</v>
      </c>
      <c r="D185" s="2">
        <f t="shared" si="10"/>
        <v>3.2011134307585405E-2</v>
      </c>
      <c r="O185" s="1">
        <v>44468</v>
      </c>
      <c r="P185">
        <v>59413.27</v>
      </c>
      <c r="Q185">
        <f t="shared" si="11"/>
        <v>-4.2624472913273155E-3</v>
      </c>
      <c r="R185" s="2">
        <f t="shared" si="12"/>
        <v>-4.2624472913273155E-3</v>
      </c>
    </row>
    <row r="186" spans="1:18" x14ac:dyDescent="0.3">
      <c r="A186" s="1">
        <v>44469</v>
      </c>
      <c r="B186">
        <v>76.349999999999994</v>
      </c>
      <c r="C186">
        <f t="shared" si="9"/>
        <v>2.9669588671611444E-2</v>
      </c>
      <c r="D186" s="2">
        <f t="shared" si="10"/>
        <v>2.9669588671611444E-2</v>
      </c>
      <c r="O186" s="1">
        <v>44469</v>
      </c>
      <c r="P186">
        <v>59126.36</v>
      </c>
      <c r="Q186">
        <f t="shared" si="11"/>
        <v>-4.8290558658023071E-3</v>
      </c>
      <c r="R186" s="2">
        <f t="shared" si="12"/>
        <v>-4.8290558658023071E-3</v>
      </c>
    </row>
    <row r="187" spans="1:18" x14ac:dyDescent="0.3">
      <c r="A187" s="1">
        <v>44470</v>
      </c>
      <c r="B187">
        <v>74.900000000000006</v>
      </c>
      <c r="C187">
        <f t="shared" si="9"/>
        <v>-1.8991486574983479E-2</v>
      </c>
      <c r="D187" s="2">
        <f t="shared" si="10"/>
        <v>-1.8991486574983479E-2</v>
      </c>
      <c r="O187" s="1">
        <v>44470</v>
      </c>
      <c r="P187">
        <v>58765.58</v>
      </c>
      <c r="Q187">
        <f t="shared" si="11"/>
        <v>-6.1018469596301689E-3</v>
      </c>
      <c r="R187" s="2">
        <f t="shared" si="12"/>
        <v>-6.1018469596301689E-3</v>
      </c>
    </row>
    <row r="188" spans="1:18" x14ac:dyDescent="0.3">
      <c r="A188" s="1">
        <v>44473</v>
      </c>
      <c r="B188">
        <v>74.150000000000006</v>
      </c>
      <c r="C188">
        <f t="shared" si="9"/>
        <v>-1.0013351134846461E-2</v>
      </c>
      <c r="D188" s="2">
        <f t="shared" si="10"/>
        <v>-1.0013351134846461E-2</v>
      </c>
      <c r="O188" s="1">
        <v>44473</v>
      </c>
      <c r="P188">
        <v>59299.32</v>
      </c>
      <c r="Q188">
        <f t="shared" si="11"/>
        <v>9.0825275612016077E-3</v>
      </c>
      <c r="R188" s="2">
        <f t="shared" si="12"/>
        <v>9.0825275612016077E-3</v>
      </c>
    </row>
    <row r="189" spans="1:18" x14ac:dyDescent="0.3">
      <c r="A189" s="1">
        <v>44474</v>
      </c>
      <c r="B189">
        <v>76.099999999999994</v>
      </c>
      <c r="C189">
        <f t="shared" si="9"/>
        <v>2.6298044504382851E-2</v>
      </c>
      <c r="D189" s="2">
        <f t="shared" si="10"/>
        <v>2.6298044504382851E-2</v>
      </c>
      <c r="O189" s="1">
        <v>44474</v>
      </c>
      <c r="P189">
        <v>59744.88</v>
      </c>
      <c r="Q189">
        <f t="shared" si="11"/>
        <v>7.5137455201846779E-3</v>
      </c>
      <c r="R189" s="2">
        <f t="shared" si="12"/>
        <v>7.5137455201846779E-3</v>
      </c>
    </row>
    <row r="190" spans="1:18" x14ac:dyDescent="0.3">
      <c r="A190" s="1">
        <v>44475</v>
      </c>
      <c r="B190">
        <v>74.599999999999994</v>
      </c>
      <c r="C190">
        <f t="shared" si="9"/>
        <v>-1.9710906701708279E-2</v>
      </c>
      <c r="D190" s="2">
        <f t="shared" si="10"/>
        <v>-1.9710906701708279E-2</v>
      </c>
      <c r="O190" s="1">
        <v>44475</v>
      </c>
      <c r="P190">
        <v>59189.73</v>
      </c>
      <c r="Q190">
        <f t="shared" si="11"/>
        <v>-9.2920096249250843E-3</v>
      </c>
      <c r="R190" s="2">
        <f t="shared" si="12"/>
        <v>-9.2920096249250843E-3</v>
      </c>
    </row>
    <row r="191" spans="1:18" x14ac:dyDescent="0.3">
      <c r="A191" s="1">
        <v>44476</v>
      </c>
      <c r="B191">
        <v>74.3</v>
      </c>
      <c r="C191">
        <f t="shared" si="9"/>
        <v>-4.0214477211795866E-3</v>
      </c>
      <c r="D191" s="2">
        <f t="shared" si="10"/>
        <v>-4.0214477211795866E-3</v>
      </c>
      <c r="O191" s="1">
        <v>44476</v>
      </c>
      <c r="P191">
        <v>59677.83</v>
      </c>
      <c r="Q191">
        <f t="shared" si="11"/>
        <v>8.2463630092585068E-3</v>
      </c>
      <c r="R191" s="2">
        <f t="shared" si="12"/>
        <v>8.2463630092585068E-3</v>
      </c>
    </row>
    <row r="192" spans="1:18" x14ac:dyDescent="0.3">
      <c r="A192" s="1">
        <v>44477</v>
      </c>
      <c r="B192">
        <v>73.2</v>
      </c>
      <c r="C192">
        <f t="shared" si="9"/>
        <v>-1.4804845222072602E-2</v>
      </c>
      <c r="D192" s="2">
        <f t="shared" si="10"/>
        <v>-1.4804845222072602E-2</v>
      </c>
      <c r="O192" s="1">
        <v>44477</v>
      </c>
      <c r="P192">
        <v>60059.06</v>
      </c>
      <c r="Q192">
        <f t="shared" si="11"/>
        <v>6.3881344211074017E-3</v>
      </c>
      <c r="R192" s="2">
        <f t="shared" si="12"/>
        <v>6.3881344211074017E-3</v>
      </c>
    </row>
    <row r="193" spans="1:18" x14ac:dyDescent="0.3">
      <c r="A193" s="1">
        <v>44480</v>
      </c>
      <c r="B193">
        <v>72.45</v>
      </c>
      <c r="C193">
        <f t="shared" si="9"/>
        <v>-1.0245901639344262E-2</v>
      </c>
      <c r="D193" s="2">
        <f t="shared" si="10"/>
        <v>-1.0245901639344262E-2</v>
      </c>
      <c r="O193" s="1">
        <v>44480</v>
      </c>
      <c r="P193">
        <v>60135.78</v>
      </c>
      <c r="Q193">
        <f t="shared" si="11"/>
        <v>1.2774092701417765E-3</v>
      </c>
      <c r="R193" s="2">
        <f t="shared" si="12"/>
        <v>1.2774092701417765E-3</v>
      </c>
    </row>
    <row r="194" spans="1:18" x14ac:dyDescent="0.3">
      <c r="A194" s="1">
        <v>44481</v>
      </c>
      <c r="B194">
        <v>72.349999999999994</v>
      </c>
      <c r="C194">
        <f t="shared" si="9"/>
        <v>-1.3802622498275848E-3</v>
      </c>
      <c r="D194" s="2">
        <f t="shared" si="10"/>
        <v>-1.3802622498275848E-3</v>
      </c>
      <c r="O194" s="1">
        <v>44481</v>
      </c>
      <c r="P194">
        <v>60284.31</v>
      </c>
      <c r="Q194">
        <f t="shared" si="11"/>
        <v>2.4699105923295388E-3</v>
      </c>
      <c r="R194" s="2">
        <f t="shared" si="12"/>
        <v>2.4699105923295388E-3</v>
      </c>
    </row>
    <row r="195" spans="1:18" x14ac:dyDescent="0.3">
      <c r="A195" s="1">
        <v>44482</v>
      </c>
      <c r="B195">
        <v>71.099999999999994</v>
      </c>
      <c r="C195">
        <f t="shared" si="9"/>
        <v>-1.7277125086385625E-2</v>
      </c>
      <c r="D195" s="2">
        <f t="shared" si="10"/>
        <v>-1.7277125086385625E-2</v>
      </c>
      <c r="O195" s="1">
        <v>44482</v>
      </c>
      <c r="P195">
        <v>60737.05</v>
      </c>
      <c r="Q195">
        <f t="shared" si="11"/>
        <v>7.5100801518671323E-3</v>
      </c>
      <c r="R195" s="2">
        <f t="shared" si="12"/>
        <v>7.5100801518671323E-3</v>
      </c>
    </row>
    <row r="196" spans="1:18" x14ac:dyDescent="0.3">
      <c r="A196" s="1">
        <v>44483</v>
      </c>
      <c r="B196">
        <v>69</v>
      </c>
      <c r="C196">
        <f t="shared" ref="C196:C259" si="13">(B196-B195)/B195</f>
        <v>-2.9535864978902877E-2</v>
      </c>
      <c r="D196" s="2">
        <f t="shared" ref="D196:D259" si="14">(B196-B195)/B195</f>
        <v>-2.9535864978902877E-2</v>
      </c>
      <c r="O196" s="1">
        <v>44483</v>
      </c>
      <c r="P196">
        <v>61305.95</v>
      </c>
      <c r="Q196">
        <f t="shared" ref="Q196:Q259" si="15">(P196-P195)/P195</f>
        <v>9.3666057208902E-3</v>
      </c>
      <c r="R196" s="2">
        <f t="shared" ref="R196:R259" si="16">(P196-P195)/P195</f>
        <v>9.3666057208902E-3</v>
      </c>
    </row>
    <row r="197" spans="1:18" x14ac:dyDescent="0.3">
      <c r="A197" s="1">
        <v>44487</v>
      </c>
      <c r="B197">
        <v>70.5</v>
      </c>
      <c r="C197">
        <f t="shared" si="13"/>
        <v>2.1739130434782608E-2</v>
      </c>
      <c r="D197" s="2">
        <f t="shared" si="14"/>
        <v>2.1739130434782608E-2</v>
      </c>
      <c r="O197" s="1">
        <v>44487</v>
      </c>
      <c r="P197">
        <v>61765.59</v>
      </c>
      <c r="Q197">
        <f t="shared" si="15"/>
        <v>7.4974778141436429E-3</v>
      </c>
      <c r="R197" s="2">
        <f t="shared" si="16"/>
        <v>7.4974778141436429E-3</v>
      </c>
    </row>
    <row r="198" spans="1:18" x14ac:dyDescent="0.3">
      <c r="A198" s="1">
        <v>44488</v>
      </c>
      <c r="B198">
        <v>70</v>
      </c>
      <c r="C198">
        <f t="shared" si="13"/>
        <v>-7.0921985815602835E-3</v>
      </c>
      <c r="D198" s="2">
        <f t="shared" si="14"/>
        <v>-7.0921985815602835E-3</v>
      </c>
      <c r="O198" s="1">
        <v>44488</v>
      </c>
      <c r="P198">
        <v>61716.05</v>
      </c>
      <c r="Q198">
        <f t="shared" si="15"/>
        <v>-8.0206470949267382E-4</v>
      </c>
      <c r="R198" s="2">
        <f t="shared" si="16"/>
        <v>-8.0206470949267382E-4</v>
      </c>
    </row>
    <row r="199" spans="1:18" x14ac:dyDescent="0.3">
      <c r="A199" s="1">
        <v>44489</v>
      </c>
      <c r="B199">
        <v>68.25</v>
      </c>
      <c r="C199">
        <f t="shared" si="13"/>
        <v>-2.5000000000000001E-2</v>
      </c>
      <c r="D199" s="2">
        <f t="shared" si="14"/>
        <v>-2.5000000000000001E-2</v>
      </c>
      <c r="O199" s="1">
        <v>44489</v>
      </c>
      <c r="P199">
        <v>61259.96</v>
      </c>
      <c r="Q199">
        <f t="shared" si="15"/>
        <v>-7.3901359532893597E-3</v>
      </c>
      <c r="R199" s="2">
        <f t="shared" si="16"/>
        <v>-7.3901359532893597E-3</v>
      </c>
    </row>
    <row r="200" spans="1:18" x14ac:dyDescent="0.3">
      <c r="A200" s="1">
        <v>44490</v>
      </c>
      <c r="B200">
        <v>64.95</v>
      </c>
      <c r="C200">
        <f t="shared" si="13"/>
        <v>-4.8351648351648312E-2</v>
      </c>
      <c r="D200" s="2">
        <f t="shared" si="14"/>
        <v>-4.8351648351648312E-2</v>
      </c>
      <c r="O200" s="1">
        <v>44490</v>
      </c>
      <c r="P200">
        <v>60923.5</v>
      </c>
      <c r="Q200">
        <f t="shared" si="15"/>
        <v>-5.4923313694621922E-3</v>
      </c>
      <c r="R200" s="2">
        <f t="shared" si="16"/>
        <v>-5.4923313694621922E-3</v>
      </c>
    </row>
    <row r="201" spans="1:18" x14ac:dyDescent="0.3">
      <c r="A201" s="1">
        <v>44491</v>
      </c>
      <c r="B201">
        <v>63.95</v>
      </c>
      <c r="C201">
        <f t="shared" si="13"/>
        <v>-1.539645881447267E-2</v>
      </c>
      <c r="D201" s="2">
        <f t="shared" si="14"/>
        <v>-1.539645881447267E-2</v>
      </c>
      <c r="O201" s="1">
        <v>44491</v>
      </c>
      <c r="P201">
        <v>60821.62</v>
      </c>
      <c r="Q201">
        <f t="shared" si="15"/>
        <v>-1.6722611143482791E-3</v>
      </c>
      <c r="R201" s="2">
        <f t="shared" si="16"/>
        <v>-1.6722611143482791E-3</v>
      </c>
    </row>
    <row r="202" spans="1:18" x14ac:dyDescent="0.3">
      <c r="A202" s="1">
        <v>44494</v>
      </c>
      <c r="B202">
        <v>62.85</v>
      </c>
      <c r="C202">
        <f t="shared" si="13"/>
        <v>-1.720093823299455E-2</v>
      </c>
      <c r="D202" s="2">
        <f t="shared" si="14"/>
        <v>-1.720093823299455E-2</v>
      </c>
      <c r="O202" s="1">
        <v>44494</v>
      </c>
      <c r="P202">
        <v>60967.05</v>
      </c>
      <c r="Q202">
        <f t="shared" si="15"/>
        <v>2.3910905365559201E-3</v>
      </c>
      <c r="R202" s="2">
        <f t="shared" si="16"/>
        <v>2.3910905365559201E-3</v>
      </c>
    </row>
    <row r="203" spans="1:18" x14ac:dyDescent="0.3">
      <c r="A203" s="1">
        <v>44495</v>
      </c>
      <c r="B203">
        <v>65</v>
      </c>
      <c r="C203">
        <f t="shared" si="13"/>
        <v>3.4208432776451844E-2</v>
      </c>
      <c r="D203" s="2">
        <f t="shared" si="14"/>
        <v>3.4208432776451844E-2</v>
      </c>
      <c r="O203" s="1">
        <v>44495</v>
      </c>
      <c r="P203">
        <v>61350.26</v>
      </c>
      <c r="Q203">
        <f t="shared" si="15"/>
        <v>6.2855263621907093E-3</v>
      </c>
      <c r="R203" s="2">
        <f t="shared" si="16"/>
        <v>6.2855263621907093E-3</v>
      </c>
    </row>
    <row r="204" spans="1:18" x14ac:dyDescent="0.3">
      <c r="A204" s="1">
        <v>44496</v>
      </c>
      <c r="B204">
        <v>66.349999999999994</v>
      </c>
      <c r="C204">
        <f t="shared" si="13"/>
        <v>2.0769230769230682E-2</v>
      </c>
      <c r="D204" s="2">
        <f t="shared" si="14"/>
        <v>2.0769230769230682E-2</v>
      </c>
      <c r="O204" s="1">
        <v>44496</v>
      </c>
      <c r="P204">
        <v>61143.33</v>
      </c>
      <c r="Q204">
        <f t="shared" si="15"/>
        <v>-3.3729278408926103E-3</v>
      </c>
      <c r="R204" s="2">
        <f t="shared" si="16"/>
        <v>-3.3729278408926103E-3</v>
      </c>
    </row>
    <row r="205" spans="1:18" x14ac:dyDescent="0.3">
      <c r="A205" s="1">
        <v>44497</v>
      </c>
      <c r="B205">
        <v>64.45</v>
      </c>
      <c r="C205">
        <f t="shared" si="13"/>
        <v>-2.8636021100225947E-2</v>
      </c>
      <c r="D205" s="2">
        <f t="shared" si="14"/>
        <v>-2.8636021100225947E-2</v>
      </c>
      <c r="O205" s="1">
        <v>44497</v>
      </c>
      <c r="P205">
        <v>59984.7</v>
      </c>
      <c r="Q205">
        <f t="shared" si="15"/>
        <v>-1.8949409526762849E-2</v>
      </c>
      <c r="R205" s="2">
        <f t="shared" si="16"/>
        <v>-1.8949409526762849E-2</v>
      </c>
    </row>
    <row r="206" spans="1:18" x14ac:dyDescent="0.3">
      <c r="A206" s="1">
        <v>44498</v>
      </c>
      <c r="B206">
        <v>62.25</v>
      </c>
      <c r="C206">
        <f t="shared" si="13"/>
        <v>-3.4134988363072188E-2</v>
      </c>
      <c r="D206" s="2">
        <f t="shared" si="14"/>
        <v>-3.4134988363072188E-2</v>
      </c>
      <c r="O206" s="1">
        <v>44498</v>
      </c>
      <c r="P206">
        <v>59306.93</v>
      </c>
      <c r="Q206">
        <f t="shared" si="15"/>
        <v>-1.1299047923887206E-2</v>
      </c>
      <c r="R206" s="2">
        <f t="shared" si="16"/>
        <v>-1.1299047923887206E-2</v>
      </c>
    </row>
    <row r="207" spans="1:18" x14ac:dyDescent="0.3">
      <c r="A207" s="1">
        <v>44501</v>
      </c>
      <c r="B207">
        <v>63.8</v>
      </c>
      <c r="C207">
        <f t="shared" si="13"/>
        <v>2.4899598393574252E-2</v>
      </c>
      <c r="D207" s="2">
        <f t="shared" si="14"/>
        <v>2.4899598393574252E-2</v>
      </c>
      <c r="O207" s="1">
        <v>44501</v>
      </c>
      <c r="P207">
        <v>60138.46</v>
      </c>
      <c r="Q207">
        <f t="shared" si="15"/>
        <v>1.4020789813264637E-2</v>
      </c>
      <c r="R207" s="2">
        <f t="shared" si="16"/>
        <v>1.4020789813264637E-2</v>
      </c>
    </row>
    <row r="208" spans="1:18" x14ac:dyDescent="0.3">
      <c r="A208" s="1">
        <v>44502</v>
      </c>
      <c r="B208">
        <v>63.1</v>
      </c>
      <c r="C208">
        <f t="shared" si="13"/>
        <v>-1.0971786833855733E-2</v>
      </c>
      <c r="D208" s="2">
        <f t="shared" si="14"/>
        <v>-1.0971786833855733E-2</v>
      </c>
      <c r="O208" s="1">
        <v>44502</v>
      </c>
      <c r="P208">
        <v>60029.06</v>
      </c>
      <c r="Q208">
        <f t="shared" si="15"/>
        <v>-1.8191353752657028E-3</v>
      </c>
      <c r="R208" s="2">
        <f t="shared" si="16"/>
        <v>-1.8191353752657028E-3</v>
      </c>
    </row>
    <row r="209" spans="1:18" x14ac:dyDescent="0.3">
      <c r="A209" s="1">
        <v>44503</v>
      </c>
      <c r="B209">
        <v>62.5</v>
      </c>
      <c r="C209">
        <f t="shared" si="13"/>
        <v>-9.5087163232963779E-3</v>
      </c>
      <c r="D209" s="2">
        <f t="shared" si="14"/>
        <v>-9.5087163232963779E-3</v>
      </c>
      <c r="O209" s="1">
        <v>44503</v>
      </c>
      <c r="P209">
        <v>59771.92</v>
      </c>
      <c r="Q209">
        <f t="shared" si="15"/>
        <v>-4.283591980284206E-3</v>
      </c>
      <c r="R209" s="2">
        <f t="shared" si="16"/>
        <v>-4.283591980284206E-3</v>
      </c>
    </row>
    <row r="210" spans="1:18" x14ac:dyDescent="0.3">
      <c r="A210" s="1">
        <v>44504</v>
      </c>
      <c r="B210">
        <v>68.099999999999994</v>
      </c>
      <c r="C210">
        <f t="shared" si="13"/>
        <v>8.9599999999999916E-2</v>
      </c>
      <c r="D210" s="2">
        <f t="shared" si="14"/>
        <v>8.9599999999999916E-2</v>
      </c>
      <c r="O210" s="1">
        <v>44504</v>
      </c>
      <c r="P210">
        <v>60067.62</v>
      </c>
      <c r="Q210">
        <f t="shared" si="15"/>
        <v>4.9471390579389849E-3</v>
      </c>
      <c r="R210" s="2">
        <f t="shared" si="16"/>
        <v>4.9471390579389849E-3</v>
      </c>
    </row>
    <row r="211" spans="1:18" x14ac:dyDescent="0.3">
      <c r="A211" s="1">
        <v>44508</v>
      </c>
      <c r="B211">
        <v>72.650000000000006</v>
      </c>
      <c r="C211">
        <f t="shared" si="13"/>
        <v>6.681350954478725E-2</v>
      </c>
      <c r="D211" s="2">
        <f t="shared" si="14"/>
        <v>6.681350954478725E-2</v>
      </c>
      <c r="O211" s="1">
        <v>44508</v>
      </c>
      <c r="P211">
        <v>60545.61</v>
      </c>
      <c r="Q211">
        <f t="shared" si="15"/>
        <v>7.9575318615919509E-3</v>
      </c>
      <c r="R211" s="2">
        <f t="shared" si="16"/>
        <v>7.9575318615919509E-3</v>
      </c>
    </row>
    <row r="212" spans="1:18" x14ac:dyDescent="0.3">
      <c r="A212" s="1">
        <v>44509</v>
      </c>
      <c r="B212">
        <v>71.849999999999994</v>
      </c>
      <c r="C212">
        <f t="shared" si="13"/>
        <v>-1.1011699931177031E-2</v>
      </c>
      <c r="D212" s="2">
        <f t="shared" si="14"/>
        <v>-1.1011699931177031E-2</v>
      </c>
      <c r="O212" s="1">
        <v>44509</v>
      </c>
      <c r="P212">
        <v>60433.45</v>
      </c>
      <c r="Q212">
        <f t="shared" si="15"/>
        <v>-1.8524877361051197E-3</v>
      </c>
      <c r="R212" s="2">
        <f t="shared" si="16"/>
        <v>-1.8524877361051197E-3</v>
      </c>
    </row>
    <row r="213" spans="1:18" x14ac:dyDescent="0.3">
      <c r="A213" s="1">
        <v>44510</v>
      </c>
      <c r="B213">
        <v>72.849999999999994</v>
      </c>
      <c r="C213">
        <f t="shared" si="13"/>
        <v>1.3917884481558803E-2</v>
      </c>
      <c r="D213" s="2">
        <f t="shared" si="14"/>
        <v>1.3917884481558803E-2</v>
      </c>
      <c r="O213" s="1">
        <v>44510</v>
      </c>
      <c r="P213">
        <v>60352.82</v>
      </c>
      <c r="Q213">
        <f t="shared" si="15"/>
        <v>-1.3341948871030429E-3</v>
      </c>
      <c r="R213" s="2">
        <f t="shared" si="16"/>
        <v>-1.3341948871030429E-3</v>
      </c>
    </row>
    <row r="214" spans="1:18" x14ac:dyDescent="0.3">
      <c r="A214" s="1">
        <v>44511</v>
      </c>
      <c r="B214">
        <v>73.8</v>
      </c>
      <c r="C214">
        <f t="shared" si="13"/>
        <v>1.3040494166094756E-2</v>
      </c>
      <c r="D214" s="2">
        <f t="shared" si="14"/>
        <v>1.3040494166094756E-2</v>
      </c>
      <c r="O214" s="1">
        <v>44511</v>
      </c>
      <c r="P214">
        <v>59919.69</v>
      </c>
      <c r="Q214">
        <f t="shared" si="15"/>
        <v>-7.1766323429459863E-3</v>
      </c>
      <c r="R214" s="2">
        <f t="shared" si="16"/>
        <v>-7.1766323429459863E-3</v>
      </c>
    </row>
    <row r="215" spans="1:18" x14ac:dyDescent="0.3">
      <c r="A215" s="1">
        <v>44512</v>
      </c>
      <c r="B215">
        <v>73.400000000000006</v>
      </c>
      <c r="C215">
        <f t="shared" si="13"/>
        <v>-5.4200542005418901E-3</v>
      </c>
      <c r="D215" s="2">
        <f t="shared" si="14"/>
        <v>-5.4200542005418901E-3</v>
      </c>
      <c r="O215" s="1">
        <v>44512</v>
      </c>
      <c r="P215">
        <v>60686.69</v>
      </c>
      <c r="Q215">
        <f t="shared" si="15"/>
        <v>1.2800466758089034E-2</v>
      </c>
      <c r="R215" s="2">
        <f t="shared" si="16"/>
        <v>1.2800466758089034E-2</v>
      </c>
    </row>
    <row r="216" spans="1:18" x14ac:dyDescent="0.3">
      <c r="A216" s="1">
        <v>44515</v>
      </c>
      <c r="B216">
        <v>73.45</v>
      </c>
      <c r="C216">
        <f t="shared" si="13"/>
        <v>6.8119891008170514E-4</v>
      </c>
      <c r="D216" s="2">
        <f t="shared" si="14"/>
        <v>6.8119891008170514E-4</v>
      </c>
      <c r="O216" s="1">
        <v>44515</v>
      </c>
      <c r="P216">
        <v>60718.71</v>
      </c>
      <c r="Q216">
        <f t="shared" si="15"/>
        <v>5.2762805155457976E-4</v>
      </c>
      <c r="R216" s="2">
        <f t="shared" si="16"/>
        <v>5.2762805155457976E-4</v>
      </c>
    </row>
    <row r="217" spans="1:18" x14ac:dyDescent="0.3">
      <c r="A217" s="1">
        <v>44516</v>
      </c>
      <c r="B217">
        <v>78.2</v>
      </c>
      <c r="C217">
        <f t="shared" si="13"/>
        <v>6.4669843430905372E-2</v>
      </c>
      <c r="D217" s="2">
        <f t="shared" si="14"/>
        <v>6.4669843430905372E-2</v>
      </c>
      <c r="O217" s="1">
        <v>44516</v>
      </c>
      <c r="P217">
        <v>60322.37</v>
      </c>
      <c r="Q217">
        <f t="shared" si="15"/>
        <v>-6.527477280067322E-3</v>
      </c>
      <c r="R217" s="2">
        <f t="shared" si="16"/>
        <v>-6.527477280067322E-3</v>
      </c>
    </row>
    <row r="218" spans="1:18" x14ac:dyDescent="0.3">
      <c r="A218" s="1">
        <v>44517</v>
      </c>
      <c r="B218">
        <v>78.400000000000006</v>
      </c>
      <c r="C218">
        <f t="shared" si="13"/>
        <v>2.5575447570332843E-3</v>
      </c>
      <c r="D218" s="2">
        <f t="shared" si="14"/>
        <v>2.5575447570332843E-3</v>
      </c>
      <c r="O218" s="1">
        <v>44517</v>
      </c>
      <c r="P218">
        <v>60008.33</v>
      </c>
      <c r="Q218">
        <f t="shared" si="15"/>
        <v>-5.2060288745286506E-3</v>
      </c>
      <c r="R218" s="2">
        <f t="shared" si="16"/>
        <v>-5.2060288745286506E-3</v>
      </c>
    </row>
    <row r="219" spans="1:18" x14ac:dyDescent="0.3">
      <c r="A219" s="1">
        <v>44518</v>
      </c>
      <c r="B219">
        <v>75.95</v>
      </c>
      <c r="C219">
        <f t="shared" si="13"/>
        <v>-3.1250000000000035E-2</v>
      </c>
      <c r="D219" s="2">
        <f t="shared" si="14"/>
        <v>-3.1250000000000035E-2</v>
      </c>
      <c r="O219" s="1">
        <v>44518</v>
      </c>
      <c r="P219">
        <v>59636.01</v>
      </c>
      <c r="Q219">
        <f t="shared" si="15"/>
        <v>-6.2044719458115181E-3</v>
      </c>
      <c r="R219" s="2">
        <f t="shared" si="16"/>
        <v>-6.2044719458115181E-3</v>
      </c>
    </row>
    <row r="220" spans="1:18" x14ac:dyDescent="0.3">
      <c r="A220" s="1">
        <v>44522</v>
      </c>
      <c r="B220">
        <v>72.650000000000006</v>
      </c>
      <c r="C220">
        <f t="shared" si="13"/>
        <v>-4.344963791968396E-2</v>
      </c>
      <c r="D220" s="2">
        <f t="shared" si="14"/>
        <v>-4.344963791968396E-2</v>
      </c>
      <c r="O220" s="1">
        <v>44522</v>
      </c>
      <c r="P220">
        <v>58465.89</v>
      </c>
      <c r="Q220">
        <f t="shared" si="15"/>
        <v>-1.9621030984467314E-2</v>
      </c>
      <c r="R220" s="2">
        <f t="shared" si="16"/>
        <v>-1.9621030984467314E-2</v>
      </c>
    </row>
    <row r="221" spans="1:18" x14ac:dyDescent="0.3">
      <c r="A221" s="1">
        <v>44523</v>
      </c>
      <c r="B221">
        <v>77.099999999999994</v>
      </c>
      <c r="C221">
        <f t="shared" si="13"/>
        <v>6.1252580867171211E-2</v>
      </c>
      <c r="D221" s="2">
        <f t="shared" si="14"/>
        <v>6.1252580867171211E-2</v>
      </c>
      <c r="O221" s="1">
        <v>44523</v>
      </c>
      <c r="P221">
        <v>58664.33</v>
      </c>
      <c r="Q221">
        <f t="shared" si="15"/>
        <v>3.3941157827239495E-3</v>
      </c>
      <c r="R221" s="2">
        <f t="shared" si="16"/>
        <v>3.3941157827239495E-3</v>
      </c>
    </row>
    <row r="222" spans="1:18" x14ac:dyDescent="0.3">
      <c r="A222" s="1">
        <v>44524</v>
      </c>
      <c r="B222">
        <v>78.75</v>
      </c>
      <c r="C222">
        <f t="shared" si="13"/>
        <v>2.1400778210116808E-2</v>
      </c>
      <c r="D222" s="2">
        <f t="shared" si="14"/>
        <v>2.1400778210116808E-2</v>
      </c>
      <c r="O222" s="1">
        <v>44524</v>
      </c>
      <c r="P222">
        <v>58340.99</v>
      </c>
      <c r="Q222">
        <f t="shared" si="15"/>
        <v>-5.511696801105608E-3</v>
      </c>
      <c r="R222" s="2">
        <f t="shared" si="16"/>
        <v>-5.511696801105608E-3</v>
      </c>
    </row>
    <row r="223" spans="1:18" x14ac:dyDescent="0.3">
      <c r="A223" s="1">
        <v>44525</v>
      </c>
      <c r="B223">
        <v>86.6</v>
      </c>
      <c r="C223">
        <f t="shared" si="13"/>
        <v>9.9682539682539609E-2</v>
      </c>
      <c r="D223" s="2">
        <f t="shared" si="14"/>
        <v>9.9682539682539609E-2</v>
      </c>
      <c r="O223" s="1">
        <v>44525</v>
      </c>
      <c r="P223">
        <v>58795.09</v>
      </c>
      <c r="Q223">
        <f t="shared" si="15"/>
        <v>7.7835497820657237E-3</v>
      </c>
      <c r="R223" s="2">
        <f t="shared" si="16"/>
        <v>7.7835497820657237E-3</v>
      </c>
    </row>
    <row r="224" spans="1:18" x14ac:dyDescent="0.3">
      <c r="A224" s="1">
        <v>44526</v>
      </c>
      <c r="B224">
        <v>94.1</v>
      </c>
      <c r="C224">
        <f t="shared" si="13"/>
        <v>8.6605080831408776E-2</v>
      </c>
      <c r="D224" s="2">
        <f t="shared" si="14"/>
        <v>8.6605080831408776E-2</v>
      </c>
      <c r="O224" s="1">
        <v>44526</v>
      </c>
      <c r="P224">
        <v>57107.15</v>
      </c>
      <c r="Q224">
        <f t="shared" si="15"/>
        <v>-2.8708859872482468E-2</v>
      </c>
      <c r="R224" s="2">
        <f t="shared" si="16"/>
        <v>-2.8708859872482468E-2</v>
      </c>
    </row>
    <row r="225" spans="1:18" x14ac:dyDescent="0.3">
      <c r="A225" s="1">
        <v>44529</v>
      </c>
      <c r="B225">
        <v>90.15</v>
      </c>
      <c r="C225">
        <f t="shared" si="13"/>
        <v>-4.1976620616365451E-2</v>
      </c>
      <c r="D225" s="2">
        <f t="shared" si="14"/>
        <v>-4.1976620616365451E-2</v>
      </c>
      <c r="O225" s="1">
        <v>44529</v>
      </c>
      <c r="P225">
        <v>57260.58</v>
      </c>
      <c r="Q225">
        <f t="shared" si="15"/>
        <v>2.6867038540708175E-3</v>
      </c>
      <c r="R225" s="2">
        <f t="shared" si="16"/>
        <v>2.6867038540708175E-3</v>
      </c>
    </row>
    <row r="226" spans="1:18" x14ac:dyDescent="0.3">
      <c r="A226" s="1">
        <v>44530</v>
      </c>
      <c r="B226">
        <v>86.25</v>
      </c>
      <c r="C226">
        <f t="shared" si="13"/>
        <v>-4.3261231281198062E-2</v>
      </c>
      <c r="D226" s="2">
        <f t="shared" si="14"/>
        <v>-4.3261231281198062E-2</v>
      </c>
      <c r="O226" s="1">
        <v>44530</v>
      </c>
      <c r="P226">
        <v>57064.87</v>
      </c>
      <c r="Q226">
        <f t="shared" si="15"/>
        <v>-3.4178836470046079E-3</v>
      </c>
      <c r="R226" s="2">
        <f t="shared" si="16"/>
        <v>-3.4178836470046079E-3</v>
      </c>
    </row>
    <row r="227" spans="1:18" x14ac:dyDescent="0.3">
      <c r="A227" s="1">
        <v>44531</v>
      </c>
      <c r="B227">
        <v>90.55</v>
      </c>
      <c r="C227">
        <f t="shared" si="13"/>
        <v>4.985507246376808E-2</v>
      </c>
      <c r="D227" s="2">
        <f t="shared" si="14"/>
        <v>4.985507246376808E-2</v>
      </c>
      <c r="O227" s="1">
        <v>44531</v>
      </c>
      <c r="P227">
        <v>57684.79</v>
      </c>
      <c r="Q227">
        <f t="shared" si="15"/>
        <v>1.0863426132399816E-2</v>
      </c>
      <c r="R227" s="2">
        <f t="shared" si="16"/>
        <v>1.0863426132399816E-2</v>
      </c>
    </row>
    <row r="228" spans="1:18" x14ac:dyDescent="0.3">
      <c r="A228" s="1">
        <v>44532</v>
      </c>
      <c r="B228">
        <v>91.35</v>
      </c>
      <c r="C228">
        <f t="shared" si="13"/>
        <v>8.8348978464936195E-3</v>
      </c>
      <c r="D228" s="2">
        <f t="shared" si="14"/>
        <v>8.8348978464936195E-3</v>
      </c>
      <c r="O228" s="1">
        <v>44532</v>
      </c>
      <c r="P228">
        <v>58461.29</v>
      </c>
      <c r="Q228">
        <f t="shared" si="15"/>
        <v>1.3461087402762495E-2</v>
      </c>
      <c r="R228" s="2">
        <f t="shared" si="16"/>
        <v>1.3461087402762495E-2</v>
      </c>
    </row>
    <row r="229" spans="1:18" x14ac:dyDescent="0.3">
      <c r="A229" s="1">
        <v>44533</v>
      </c>
      <c r="B229">
        <v>87.6</v>
      </c>
      <c r="C229">
        <f t="shared" si="13"/>
        <v>-4.1050903119868642E-2</v>
      </c>
      <c r="D229" s="2">
        <f t="shared" si="14"/>
        <v>-4.1050903119868642E-2</v>
      </c>
      <c r="O229" s="1">
        <v>44533</v>
      </c>
      <c r="P229">
        <v>57696.46</v>
      </c>
      <c r="Q229">
        <f t="shared" si="15"/>
        <v>-1.3082674022417256E-2</v>
      </c>
      <c r="R229" s="2">
        <f t="shared" si="16"/>
        <v>-1.3082674022417256E-2</v>
      </c>
    </row>
    <row r="230" spans="1:18" x14ac:dyDescent="0.3">
      <c r="A230" s="1">
        <v>44536</v>
      </c>
      <c r="B230">
        <v>87.05</v>
      </c>
      <c r="C230">
        <f t="shared" si="13"/>
        <v>-6.2785388127853557E-3</v>
      </c>
      <c r="D230" s="2">
        <f t="shared" si="14"/>
        <v>-6.2785388127853557E-3</v>
      </c>
      <c r="O230" s="1">
        <v>44536</v>
      </c>
      <c r="P230">
        <v>56747.14</v>
      </c>
      <c r="Q230">
        <f t="shared" si="15"/>
        <v>-1.6453695772669582E-2</v>
      </c>
      <c r="R230" s="2">
        <f t="shared" si="16"/>
        <v>-1.6453695772669582E-2</v>
      </c>
    </row>
    <row r="231" spans="1:18" x14ac:dyDescent="0.3">
      <c r="A231" s="1">
        <v>44537</v>
      </c>
      <c r="B231">
        <v>88</v>
      </c>
      <c r="C231">
        <f t="shared" si="13"/>
        <v>1.0913268236645639E-2</v>
      </c>
      <c r="D231" s="2">
        <f t="shared" si="14"/>
        <v>1.0913268236645639E-2</v>
      </c>
      <c r="O231" s="1">
        <v>44537</v>
      </c>
      <c r="P231">
        <v>57633.65</v>
      </c>
      <c r="Q231">
        <f t="shared" si="15"/>
        <v>1.5622108885135041E-2</v>
      </c>
      <c r="R231" s="2">
        <f t="shared" si="16"/>
        <v>1.5622108885135041E-2</v>
      </c>
    </row>
    <row r="232" spans="1:18" x14ac:dyDescent="0.3">
      <c r="A232" s="1">
        <v>44538</v>
      </c>
      <c r="B232">
        <v>90.2</v>
      </c>
      <c r="C232">
        <f t="shared" si="13"/>
        <v>2.5000000000000033E-2</v>
      </c>
      <c r="D232" s="2">
        <f t="shared" si="14"/>
        <v>2.5000000000000033E-2</v>
      </c>
      <c r="O232" s="1">
        <v>44538</v>
      </c>
      <c r="P232">
        <v>58649.68</v>
      </c>
      <c r="Q232">
        <f t="shared" si="15"/>
        <v>1.7629110771224775E-2</v>
      </c>
      <c r="R232" s="2">
        <f t="shared" si="16"/>
        <v>1.7629110771224775E-2</v>
      </c>
    </row>
    <row r="233" spans="1:18" x14ac:dyDescent="0.3">
      <c r="A233" s="1">
        <v>44539</v>
      </c>
      <c r="B233">
        <v>91.15</v>
      </c>
      <c r="C233">
        <f t="shared" si="13"/>
        <v>1.0532150776053247E-2</v>
      </c>
      <c r="D233" s="2">
        <f t="shared" si="14"/>
        <v>1.0532150776053247E-2</v>
      </c>
      <c r="O233" s="1">
        <v>44539</v>
      </c>
      <c r="P233">
        <v>58807.13</v>
      </c>
      <c r="Q233">
        <f t="shared" si="15"/>
        <v>2.6845841273131768E-3</v>
      </c>
      <c r="R233" s="2">
        <f t="shared" si="16"/>
        <v>2.6845841273131768E-3</v>
      </c>
    </row>
    <row r="234" spans="1:18" x14ac:dyDescent="0.3">
      <c r="A234" s="1">
        <v>44540</v>
      </c>
      <c r="B234">
        <v>95</v>
      </c>
      <c r="C234">
        <f t="shared" si="13"/>
        <v>4.2238069116840311E-2</v>
      </c>
      <c r="D234" s="2">
        <f t="shared" si="14"/>
        <v>4.2238069116840311E-2</v>
      </c>
      <c r="O234" s="1">
        <v>44540</v>
      </c>
      <c r="P234">
        <v>58786.67</v>
      </c>
      <c r="Q234">
        <f t="shared" si="15"/>
        <v>-3.4791699577923845E-4</v>
      </c>
      <c r="R234" s="2">
        <f t="shared" si="16"/>
        <v>-3.4791699577923845E-4</v>
      </c>
    </row>
    <row r="235" spans="1:18" x14ac:dyDescent="0.3">
      <c r="A235" s="1">
        <v>44543</v>
      </c>
      <c r="B235">
        <v>91.35</v>
      </c>
      <c r="C235">
        <f t="shared" si="13"/>
        <v>-3.8421052631579009E-2</v>
      </c>
      <c r="D235" s="2">
        <f t="shared" si="14"/>
        <v>-3.8421052631579009E-2</v>
      </c>
      <c r="O235" s="1">
        <v>44543</v>
      </c>
      <c r="P235">
        <v>58283.42</v>
      </c>
      <c r="Q235">
        <f t="shared" si="15"/>
        <v>-8.5606141664428346E-3</v>
      </c>
      <c r="R235" s="2">
        <f t="shared" si="16"/>
        <v>-8.5606141664428346E-3</v>
      </c>
    </row>
    <row r="236" spans="1:18" x14ac:dyDescent="0.3">
      <c r="A236" s="1">
        <v>44544</v>
      </c>
      <c r="B236">
        <v>93</v>
      </c>
      <c r="C236">
        <f t="shared" si="13"/>
        <v>1.8062397372742265E-2</v>
      </c>
      <c r="D236" s="2">
        <f t="shared" si="14"/>
        <v>1.8062397372742265E-2</v>
      </c>
      <c r="O236" s="1">
        <v>44544</v>
      </c>
      <c r="P236">
        <v>58117.09</v>
      </c>
      <c r="Q236">
        <f t="shared" si="15"/>
        <v>-2.8538133143182357E-3</v>
      </c>
      <c r="R236" s="2">
        <f t="shared" si="16"/>
        <v>-2.8538133143182357E-3</v>
      </c>
    </row>
    <row r="237" spans="1:18" x14ac:dyDescent="0.3">
      <c r="A237" s="1">
        <v>44545</v>
      </c>
      <c r="B237">
        <v>95.25</v>
      </c>
      <c r="C237">
        <f t="shared" si="13"/>
        <v>2.4193548387096774E-2</v>
      </c>
      <c r="D237" s="2">
        <f t="shared" si="14"/>
        <v>2.4193548387096774E-2</v>
      </c>
      <c r="O237" s="1">
        <v>44545</v>
      </c>
      <c r="P237">
        <v>57788.03</v>
      </c>
      <c r="Q237">
        <f t="shared" si="15"/>
        <v>-5.6620178333085447E-3</v>
      </c>
      <c r="R237" s="2">
        <f t="shared" si="16"/>
        <v>-5.6620178333085447E-3</v>
      </c>
    </row>
    <row r="238" spans="1:18" x14ac:dyDescent="0.3">
      <c r="A238" s="1">
        <v>44546</v>
      </c>
      <c r="B238">
        <v>94.15</v>
      </c>
      <c r="C238">
        <f t="shared" si="13"/>
        <v>-1.1548556430446135E-2</v>
      </c>
      <c r="D238" s="2">
        <f t="shared" si="14"/>
        <v>-1.1548556430446135E-2</v>
      </c>
      <c r="O238" s="1">
        <v>44546</v>
      </c>
      <c r="P238">
        <v>57901.14</v>
      </c>
      <c r="Q238">
        <f t="shared" si="15"/>
        <v>1.9573257645225245E-3</v>
      </c>
      <c r="R238" s="2">
        <f t="shared" si="16"/>
        <v>1.9573257645225245E-3</v>
      </c>
    </row>
    <row r="239" spans="1:18" x14ac:dyDescent="0.3">
      <c r="A239" s="1">
        <v>44547</v>
      </c>
      <c r="B239">
        <v>90.5</v>
      </c>
      <c r="C239">
        <f t="shared" si="13"/>
        <v>-3.8767923526287898E-2</v>
      </c>
      <c r="D239" s="2">
        <f t="shared" si="14"/>
        <v>-3.8767923526287898E-2</v>
      </c>
      <c r="O239" s="1">
        <v>44547</v>
      </c>
      <c r="P239">
        <v>57011.74</v>
      </c>
      <c r="Q239">
        <f t="shared" si="15"/>
        <v>-1.536066474684266E-2</v>
      </c>
      <c r="R239" s="2">
        <f t="shared" si="16"/>
        <v>-1.536066474684266E-2</v>
      </c>
    </row>
    <row r="240" spans="1:18" x14ac:dyDescent="0.3">
      <c r="A240" s="1">
        <v>44550</v>
      </c>
      <c r="B240">
        <v>86</v>
      </c>
      <c r="C240">
        <f t="shared" si="13"/>
        <v>-4.9723756906077346E-2</v>
      </c>
      <c r="D240" s="2">
        <f t="shared" si="14"/>
        <v>-4.9723756906077346E-2</v>
      </c>
      <c r="O240" s="1">
        <v>44550</v>
      </c>
      <c r="P240">
        <v>55822.01</v>
      </c>
      <c r="Q240">
        <f t="shared" si="15"/>
        <v>-2.0868158032012283E-2</v>
      </c>
      <c r="R240" s="2">
        <f t="shared" si="16"/>
        <v>-2.0868158032012283E-2</v>
      </c>
    </row>
    <row r="241" spans="1:18" x14ac:dyDescent="0.3">
      <c r="A241" s="1">
        <v>44551</v>
      </c>
      <c r="B241">
        <v>86.15</v>
      </c>
      <c r="C241">
        <f t="shared" si="13"/>
        <v>1.744186046511694E-3</v>
      </c>
      <c r="D241" s="2">
        <f t="shared" si="14"/>
        <v>1.744186046511694E-3</v>
      </c>
      <c r="O241" s="1">
        <v>44551</v>
      </c>
      <c r="P241">
        <v>56319.01</v>
      </c>
      <c r="Q241">
        <f t="shared" si="15"/>
        <v>8.9032981793382218E-3</v>
      </c>
      <c r="R241" s="2">
        <f t="shared" si="16"/>
        <v>8.9032981793382218E-3</v>
      </c>
    </row>
    <row r="242" spans="1:18" x14ac:dyDescent="0.3">
      <c r="A242" s="1">
        <v>44552</v>
      </c>
      <c r="B242">
        <v>88.6</v>
      </c>
      <c r="C242">
        <f t="shared" si="13"/>
        <v>2.84387695879279E-2</v>
      </c>
      <c r="D242" s="2">
        <f t="shared" si="14"/>
        <v>2.84387695879279E-2</v>
      </c>
      <c r="O242" s="1">
        <v>44552</v>
      </c>
      <c r="P242">
        <v>56930.559999999998</v>
      </c>
      <c r="Q242">
        <f t="shared" si="15"/>
        <v>1.0858678091109833E-2</v>
      </c>
      <c r="R242" s="2">
        <f t="shared" si="16"/>
        <v>1.0858678091109833E-2</v>
      </c>
    </row>
    <row r="243" spans="1:18" x14ac:dyDescent="0.3">
      <c r="A243" s="1">
        <v>44553</v>
      </c>
      <c r="B243">
        <v>87.35</v>
      </c>
      <c r="C243">
        <f t="shared" si="13"/>
        <v>-1.4108352144469528E-2</v>
      </c>
      <c r="D243" s="2">
        <f t="shared" si="14"/>
        <v>-1.4108352144469528E-2</v>
      </c>
      <c r="O243" s="1">
        <v>44553</v>
      </c>
      <c r="P243">
        <v>57315.28</v>
      </c>
      <c r="Q243">
        <f t="shared" si="15"/>
        <v>6.7577062301864095E-3</v>
      </c>
      <c r="R243" s="2">
        <f t="shared" si="16"/>
        <v>6.7577062301864095E-3</v>
      </c>
    </row>
    <row r="244" spans="1:18" x14ac:dyDescent="0.3">
      <c r="A244" s="1">
        <v>44554</v>
      </c>
      <c r="B244">
        <v>87.15</v>
      </c>
      <c r="C244">
        <f t="shared" si="13"/>
        <v>-2.2896393817972371E-3</v>
      </c>
      <c r="D244" s="2">
        <f t="shared" si="14"/>
        <v>-2.2896393817972371E-3</v>
      </c>
      <c r="O244" s="1">
        <v>44554</v>
      </c>
      <c r="P244">
        <v>57124.31</v>
      </c>
      <c r="Q244">
        <f t="shared" si="15"/>
        <v>-3.3319212607877194E-3</v>
      </c>
      <c r="R244" s="2">
        <f t="shared" si="16"/>
        <v>-3.3319212607877194E-3</v>
      </c>
    </row>
    <row r="245" spans="1:18" x14ac:dyDescent="0.3">
      <c r="A245" s="1">
        <v>44557</v>
      </c>
      <c r="B245">
        <v>88.55</v>
      </c>
      <c r="C245">
        <f t="shared" si="13"/>
        <v>1.6064257028112351E-2</v>
      </c>
      <c r="D245" s="2">
        <f t="shared" si="14"/>
        <v>1.6064257028112351E-2</v>
      </c>
      <c r="O245" s="1">
        <v>44557</v>
      </c>
      <c r="P245">
        <v>57420.24</v>
      </c>
      <c r="Q245">
        <f t="shared" si="15"/>
        <v>5.1804564466511769E-3</v>
      </c>
      <c r="R245" s="2">
        <f t="shared" si="16"/>
        <v>5.1804564466511769E-3</v>
      </c>
    </row>
    <row r="246" spans="1:18" x14ac:dyDescent="0.3">
      <c r="A246" s="1">
        <v>44558</v>
      </c>
      <c r="B246">
        <v>87.3</v>
      </c>
      <c r="C246">
        <f t="shared" si="13"/>
        <v>-1.4116318464144552E-2</v>
      </c>
      <c r="D246" s="2">
        <f t="shared" si="14"/>
        <v>-1.4116318464144552E-2</v>
      </c>
      <c r="O246" s="1">
        <v>44558</v>
      </c>
      <c r="P246">
        <v>57897.48</v>
      </c>
      <c r="Q246">
        <f t="shared" si="15"/>
        <v>8.3113550204597757E-3</v>
      </c>
      <c r="R246" s="2">
        <f t="shared" si="16"/>
        <v>8.3113550204597757E-3</v>
      </c>
    </row>
    <row r="247" spans="1:18" x14ac:dyDescent="0.3">
      <c r="A247" s="1">
        <v>44559</v>
      </c>
      <c r="B247">
        <v>85.5</v>
      </c>
      <c r="C247">
        <f t="shared" si="13"/>
        <v>-2.0618556701030896E-2</v>
      </c>
      <c r="D247" s="2">
        <f t="shared" si="14"/>
        <v>-2.0618556701030896E-2</v>
      </c>
      <c r="O247" s="1">
        <v>44559</v>
      </c>
      <c r="P247">
        <v>57806.49</v>
      </c>
      <c r="Q247">
        <f t="shared" si="15"/>
        <v>-1.5715709906546059E-3</v>
      </c>
      <c r="R247" s="2">
        <f t="shared" si="16"/>
        <v>-1.5715709906546059E-3</v>
      </c>
    </row>
    <row r="248" spans="1:18" x14ac:dyDescent="0.3">
      <c r="A248" s="1">
        <v>44560</v>
      </c>
      <c r="B248">
        <v>83.8</v>
      </c>
      <c r="C248">
        <f t="shared" si="13"/>
        <v>-1.9883040935672548E-2</v>
      </c>
      <c r="D248" s="2">
        <f t="shared" si="14"/>
        <v>-1.9883040935672548E-2</v>
      </c>
      <c r="O248" s="1">
        <v>44560</v>
      </c>
      <c r="P248">
        <v>57794.32</v>
      </c>
      <c r="Q248">
        <f t="shared" si="15"/>
        <v>-2.1052999412346699E-4</v>
      </c>
      <c r="R248" s="2">
        <f t="shared" si="16"/>
        <v>-2.1052999412346699E-4</v>
      </c>
    </row>
    <row r="249" spans="1:18" x14ac:dyDescent="0.3">
      <c r="A249" s="1">
        <v>44561</v>
      </c>
      <c r="B249">
        <v>86.9</v>
      </c>
      <c r="C249">
        <f t="shared" si="13"/>
        <v>3.6992840095465496E-2</v>
      </c>
      <c r="D249" s="2">
        <f t="shared" si="14"/>
        <v>3.6992840095465496E-2</v>
      </c>
      <c r="O249" s="1">
        <v>44561</v>
      </c>
      <c r="P249">
        <v>58253.82</v>
      </c>
      <c r="Q249">
        <f t="shared" si="15"/>
        <v>7.9506082950712119E-3</v>
      </c>
      <c r="R249" s="2">
        <f t="shared" si="16"/>
        <v>7.9506082950712119E-3</v>
      </c>
    </row>
    <row r="250" spans="1:18" x14ac:dyDescent="0.3">
      <c r="A250" s="1">
        <v>44564</v>
      </c>
      <c r="B250">
        <v>87.8</v>
      </c>
      <c r="C250">
        <f t="shared" si="13"/>
        <v>1.0356731875719118E-2</v>
      </c>
      <c r="D250" s="2">
        <f t="shared" si="14"/>
        <v>1.0356731875719118E-2</v>
      </c>
      <c r="O250" s="1">
        <v>44564</v>
      </c>
      <c r="P250">
        <v>59183.22</v>
      </c>
      <c r="Q250">
        <f t="shared" si="15"/>
        <v>1.5954318532243918E-2</v>
      </c>
      <c r="R250" s="2">
        <f t="shared" si="16"/>
        <v>1.5954318532243918E-2</v>
      </c>
    </row>
    <row r="251" spans="1:18" x14ac:dyDescent="0.3">
      <c r="A251" s="1">
        <v>44565</v>
      </c>
      <c r="B251">
        <v>84.45</v>
      </c>
      <c r="C251">
        <f t="shared" si="13"/>
        <v>-3.8154897494305173E-2</v>
      </c>
      <c r="D251" s="2">
        <f t="shared" si="14"/>
        <v>-3.8154897494305173E-2</v>
      </c>
      <c r="O251" s="1">
        <v>44565</v>
      </c>
      <c r="P251">
        <v>59855.93</v>
      </c>
      <c r="Q251">
        <f t="shared" si="15"/>
        <v>1.1366566401760484E-2</v>
      </c>
      <c r="R251" s="2">
        <f t="shared" si="16"/>
        <v>1.1366566401760484E-2</v>
      </c>
    </row>
    <row r="252" spans="1:18" x14ac:dyDescent="0.3">
      <c r="A252" s="1">
        <v>44566</v>
      </c>
      <c r="B252">
        <v>84.25</v>
      </c>
      <c r="C252">
        <f t="shared" si="13"/>
        <v>-2.3682652457075529E-3</v>
      </c>
      <c r="D252" s="2">
        <f t="shared" si="14"/>
        <v>-2.3682652457075529E-3</v>
      </c>
      <c r="O252" s="1">
        <v>44566</v>
      </c>
      <c r="P252">
        <v>60223.15</v>
      </c>
      <c r="Q252">
        <f t="shared" si="15"/>
        <v>6.1350646460593154E-3</v>
      </c>
      <c r="R252" s="2">
        <f t="shared" si="16"/>
        <v>6.1350646460593154E-3</v>
      </c>
    </row>
    <row r="253" spans="1:18" x14ac:dyDescent="0.3">
      <c r="A253" s="1">
        <v>44567</v>
      </c>
      <c r="B253">
        <v>84</v>
      </c>
      <c r="C253">
        <f t="shared" si="13"/>
        <v>-2.967359050445104E-3</v>
      </c>
      <c r="D253" s="2">
        <f t="shared" si="14"/>
        <v>-2.967359050445104E-3</v>
      </c>
      <c r="O253" s="1">
        <v>44567</v>
      </c>
      <c r="P253">
        <v>59601.84</v>
      </c>
      <c r="Q253">
        <f t="shared" si="15"/>
        <v>-1.0316796779975889E-2</v>
      </c>
      <c r="R253" s="2">
        <f t="shared" si="16"/>
        <v>-1.0316796779975889E-2</v>
      </c>
    </row>
    <row r="254" spans="1:18" x14ac:dyDescent="0.3">
      <c r="A254" s="1">
        <v>44568</v>
      </c>
      <c r="B254">
        <v>88.15</v>
      </c>
      <c r="C254">
        <f t="shared" si="13"/>
        <v>4.9404761904761972E-2</v>
      </c>
      <c r="D254" s="2">
        <f t="shared" si="14"/>
        <v>4.9404761904761972E-2</v>
      </c>
      <c r="O254" s="1">
        <v>44568</v>
      </c>
      <c r="P254">
        <v>59744.65</v>
      </c>
      <c r="Q254">
        <f t="shared" si="15"/>
        <v>2.3960669670601603E-3</v>
      </c>
      <c r="R254" s="2">
        <f t="shared" si="16"/>
        <v>2.3960669670601603E-3</v>
      </c>
    </row>
    <row r="255" spans="1:18" x14ac:dyDescent="0.3">
      <c r="A255" s="1">
        <v>44571</v>
      </c>
      <c r="B255">
        <v>92.55</v>
      </c>
      <c r="C255">
        <f t="shared" si="13"/>
        <v>4.99149177538286E-2</v>
      </c>
      <c r="D255" s="2">
        <f t="shared" si="14"/>
        <v>4.99149177538286E-2</v>
      </c>
      <c r="O255" s="1">
        <v>44571</v>
      </c>
      <c r="P255">
        <v>60395.63</v>
      </c>
      <c r="Q255">
        <f t="shared" si="15"/>
        <v>1.0896038390048246E-2</v>
      </c>
      <c r="R255" s="2">
        <f t="shared" si="16"/>
        <v>1.0896038390048246E-2</v>
      </c>
    </row>
    <row r="256" spans="1:18" x14ac:dyDescent="0.3">
      <c r="A256" s="1">
        <v>44572</v>
      </c>
      <c r="B256">
        <v>94.8</v>
      </c>
      <c r="C256">
        <f t="shared" si="13"/>
        <v>2.4311183144246355E-2</v>
      </c>
      <c r="D256" s="2">
        <f t="shared" si="14"/>
        <v>2.4311183144246355E-2</v>
      </c>
      <c r="O256" s="1">
        <v>44572</v>
      </c>
      <c r="P256">
        <v>60616.89</v>
      </c>
      <c r="Q256">
        <f t="shared" si="15"/>
        <v>3.6635100917070001E-3</v>
      </c>
      <c r="R256" s="2">
        <f t="shared" si="16"/>
        <v>3.6635100917070001E-3</v>
      </c>
    </row>
    <row r="257" spans="1:18" x14ac:dyDescent="0.3">
      <c r="A257" s="1">
        <v>44573</v>
      </c>
      <c r="B257">
        <v>90.85</v>
      </c>
      <c r="C257">
        <f t="shared" si="13"/>
        <v>-4.1666666666666699E-2</v>
      </c>
      <c r="D257" s="2">
        <f t="shared" si="14"/>
        <v>-4.1666666666666699E-2</v>
      </c>
      <c r="O257" s="1">
        <v>44573</v>
      </c>
      <c r="P257">
        <v>61150.04</v>
      </c>
      <c r="Q257">
        <f t="shared" si="15"/>
        <v>8.7954033933446835E-3</v>
      </c>
      <c r="R257" s="2">
        <f t="shared" si="16"/>
        <v>8.7954033933446835E-3</v>
      </c>
    </row>
    <row r="258" spans="1:18" x14ac:dyDescent="0.3">
      <c r="A258" s="1">
        <v>44574</v>
      </c>
      <c r="B258">
        <v>89.15</v>
      </c>
      <c r="C258">
        <f t="shared" si="13"/>
        <v>-1.8712162905888705E-2</v>
      </c>
      <c r="D258" s="2">
        <f t="shared" si="14"/>
        <v>-1.8712162905888705E-2</v>
      </c>
      <c r="O258" s="1">
        <v>44574</v>
      </c>
      <c r="P258">
        <v>61235.3</v>
      </c>
      <c r="Q258">
        <f t="shared" si="15"/>
        <v>1.3942754575467496E-3</v>
      </c>
      <c r="R258" s="2">
        <f t="shared" si="16"/>
        <v>1.3942754575467496E-3</v>
      </c>
    </row>
    <row r="259" spans="1:18" x14ac:dyDescent="0.3">
      <c r="A259" s="1">
        <v>44575</v>
      </c>
      <c r="B259">
        <v>90.45</v>
      </c>
      <c r="C259">
        <f t="shared" si="13"/>
        <v>1.458216489063373E-2</v>
      </c>
      <c r="D259" s="2">
        <f t="shared" si="14"/>
        <v>1.458216489063373E-2</v>
      </c>
      <c r="O259" s="1">
        <v>44575</v>
      </c>
      <c r="P259">
        <v>61223.03</v>
      </c>
      <c r="Q259">
        <f t="shared" si="15"/>
        <v>-2.0037462052123652E-4</v>
      </c>
      <c r="R259" s="2">
        <f t="shared" si="16"/>
        <v>-2.0037462052123652E-4</v>
      </c>
    </row>
    <row r="260" spans="1:18" x14ac:dyDescent="0.3">
      <c r="A260" s="1">
        <v>44578</v>
      </c>
      <c r="B260">
        <v>94.95</v>
      </c>
      <c r="C260">
        <f t="shared" ref="C260:C323" si="17">(B260-B259)/B259</f>
        <v>4.9751243781094523E-2</v>
      </c>
      <c r="D260" s="2">
        <f t="shared" ref="D260:D323" si="18">(B260-B259)/B259</f>
        <v>4.9751243781094523E-2</v>
      </c>
      <c r="O260" s="1">
        <v>44578</v>
      </c>
      <c r="P260">
        <v>61308.91</v>
      </c>
      <c r="Q260">
        <f t="shared" ref="Q260:Q323" si="19">(P260-P259)/P259</f>
        <v>1.4027401126668292E-3</v>
      </c>
      <c r="R260" s="2">
        <f t="shared" ref="R260:R323" si="20">(P260-P259)/P259</f>
        <v>1.4027401126668292E-3</v>
      </c>
    </row>
    <row r="261" spans="1:18" x14ac:dyDescent="0.3">
      <c r="A261" s="1">
        <v>44579</v>
      </c>
      <c r="B261">
        <v>99.65</v>
      </c>
      <c r="C261">
        <f t="shared" si="17"/>
        <v>4.9499736703528203E-2</v>
      </c>
      <c r="D261" s="2">
        <f t="shared" si="18"/>
        <v>4.9499736703528203E-2</v>
      </c>
      <c r="O261" s="1">
        <v>44579</v>
      </c>
      <c r="P261">
        <v>60754.86</v>
      </c>
      <c r="Q261">
        <f t="shared" si="19"/>
        <v>-9.0370225143458407E-3</v>
      </c>
      <c r="R261" s="2">
        <f t="shared" si="20"/>
        <v>-9.0370225143458407E-3</v>
      </c>
    </row>
    <row r="262" spans="1:18" x14ac:dyDescent="0.3">
      <c r="A262" s="1">
        <v>44580</v>
      </c>
      <c r="B262">
        <v>104.6</v>
      </c>
      <c r="C262">
        <f t="shared" si="17"/>
        <v>4.9673858504766563E-2</v>
      </c>
      <c r="D262" s="2">
        <f t="shared" si="18"/>
        <v>4.9673858504766563E-2</v>
      </c>
      <c r="O262" s="1">
        <v>44580</v>
      </c>
      <c r="P262">
        <v>60098.82</v>
      </c>
      <c r="Q262">
        <f t="shared" si="19"/>
        <v>-1.0798148493799523E-2</v>
      </c>
      <c r="R262" s="2">
        <f t="shared" si="20"/>
        <v>-1.0798148493799523E-2</v>
      </c>
    </row>
    <row r="263" spans="1:18" x14ac:dyDescent="0.3">
      <c r="A263" s="1">
        <v>44581</v>
      </c>
      <c r="B263">
        <v>109.8</v>
      </c>
      <c r="C263">
        <f t="shared" si="17"/>
        <v>4.971319311663483E-2</v>
      </c>
      <c r="D263" s="2">
        <f t="shared" si="18"/>
        <v>4.971319311663483E-2</v>
      </c>
      <c r="O263" s="1">
        <v>44581</v>
      </c>
      <c r="P263">
        <v>59464.62</v>
      </c>
      <c r="Q263">
        <f t="shared" si="19"/>
        <v>-1.0552619835131489E-2</v>
      </c>
      <c r="R263" s="2">
        <f t="shared" si="20"/>
        <v>-1.0552619835131489E-2</v>
      </c>
    </row>
    <row r="264" spans="1:18" x14ac:dyDescent="0.3">
      <c r="A264" s="1">
        <v>44582</v>
      </c>
      <c r="B264">
        <v>114.45</v>
      </c>
      <c r="C264">
        <f t="shared" si="17"/>
        <v>4.2349726775956338E-2</v>
      </c>
      <c r="D264" s="2">
        <f t="shared" si="18"/>
        <v>4.2349726775956338E-2</v>
      </c>
      <c r="O264" s="1">
        <v>44582</v>
      </c>
      <c r="P264">
        <v>59037.18</v>
      </c>
      <c r="Q264">
        <f t="shared" si="19"/>
        <v>-7.1881397711782624E-3</v>
      </c>
      <c r="R264" s="2">
        <f t="shared" si="20"/>
        <v>-7.1881397711782624E-3</v>
      </c>
    </row>
    <row r="265" spans="1:18" x14ac:dyDescent="0.3">
      <c r="A265" s="1">
        <v>44585</v>
      </c>
      <c r="B265">
        <v>114.75</v>
      </c>
      <c r="C265">
        <f t="shared" si="17"/>
        <v>2.6212319790301195E-3</v>
      </c>
      <c r="D265" s="2">
        <f t="shared" si="18"/>
        <v>2.6212319790301195E-3</v>
      </c>
      <c r="O265" s="1">
        <v>44585</v>
      </c>
      <c r="P265">
        <v>57491.51</v>
      </c>
      <c r="Q265">
        <f t="shared" si="19"/>
        <v>-2.6181297954949716E-2</v>
      </c>
      <c r="R265" s="2">
        <f t="shared" si="20"/>
        <v>-2.6181297954949716E-2</v>
      </c>
    </row>
    <row r="266" spans="1:18" x14ac:dyDescent="0.3">
      <c r="A266" s="1">
        <v>44586</v>
      </c>
      <c r="B266">
        <v>120.1</v>
      </c>
      <c r="C266">
        <f t="shared" si="17"/>
        <v>4.6623093681917159E-2</v>
      </c>
      <c r="D266" s="2">
        <f t="shared" si="18"/>
        <v>4.6623093681917159E-2</v>
      </c>
      <c r="O266" s="1">
        <v>44586</v>
      </c>
      <c r="P266">
        <v>57858.15</v>
      </c>
      <c r="Q266">
        <f t="shared" si="19"/>
        <v>6.3772894467374296E-3</v>
      </c>
      <c r="R266" s="2">
        <f t="shared" si="20"/>
        <v>6.3772894467374296E-3</v>
      </c>
    </row>
    <row r="267" spans="1:18" x14ac:dyDescent="0.3">
      <c r="A267" s="1">
        <v>44588</v>
      </c>
      <c r="B267">
        <v>119.75</v>
      </c>
      <c r="C267">
        <f t="shared" si="17"/>
        <v>-2.9142381348875464E-3</v>
      </c>
      <c r="D267" s="2">
        <f t="shared" si="18"/>
        <v>-2.9142381348875464E-3</v>
      </c>
      <c r="O267" s="1">
        <v>44588</v>
      </c>
      <c r="P267">
        <v>57276.94</v>
      </c>
      <c r="Q267">
        <f t="shared" si="19"/>
        <v>-1.004543007337772E-2</v>
      </c>
      <c r="R267" s="2">
        <f t="shared" si="20"/>
        <v>-1.004543007337772E-2</v>
      </c>
    </row>
    <row r="268" spans="1:18" x14ac:dyDescent="0.3">
      <c r="A268" s="1">
        <v>44589</v>
      </c>
      <c r="B268">
        <v>113.8</v>
      </c>
      <c r="C268">
        <f t="shared" si="17"/>
        <v>-4.9686847599164953E-2</v>
      </c>
      <c r="D268" s="2">
        <f t="shared" si="18"/>
        <v>-4.9686847599164953E-2</v>
      </c>
      <c r="O268" s="1">
        <v>44589</v>
      </c>
      <c r="P268">
        <v>57200.23</v>
      </c>
      <c r="Q268">
        <f t="shared" si="19"/>
        <v>-1.3392824407169642E-3</v>
      </c>
      <c r="R268" s="2">
        <f t="shared" si="20"/>
        <v>-1.3392824407169642E-3</v>
      </c>
    </row>
    <row r="269" spans="1:18" x14ac:dyDescent="0.3">
      <c r="A269" s="1">
        <v>44592</v>
      </c>
      <c r="B269">
        <v>112.45</v>
      </c>
      <c r="C269">
        <f t="shared" si="17"/>
        <v>-1.1862917398945469E-2</v>
      </c>
      <c r="D269" s="2">
        <f t="shared" si="18"/>
        <v>-1.1862917398945469E-2</v>
      </c>
      <c r="O269" s="1">
        <v>44592</v>
      </c>
      <c r="P269">
        <v>58014.17</v>
      </c>
      <c r="Q269">
        <f t="shared" si="19"/>
        <v>1.4229663062543542E-2</v>
      </c>
      <c r="R269" s="2">
        <f t="shared" si="20"/>
        <v>1.4229663062543542E-2</v>
      </c>
    </row>
    <row r="270" spans="1:18" x14ac:dyDescent="0.3">
      <c r="A270" s="1">
        <v>44593</v>
      </c>
      <c r="B270">
        <v>118.05</v>
      </c>
      <c r="C270">
        <f t="shared" si="17"/>
        <v>4.9799911071587322E-2</v>
      </c>
      <c r="D270" s="2">
        <f t="shared" si="18"/>
        <v>4.9799911071587322E-2</v>
      </c>
      <c r="O270" s="1">
        <v>44593</v>
      </c>
      <c r="P270">
        <v>58862.57</v>
      </c>
      <c r="Q270">
        <f t="shared" si="19"/>
        <v>1.4624013409137828E-2</v>
      </c>
      <c r="R270" s="2">
        <f t="shared" si="20"/>
        <v>1.4624013409137828E-2</v>
      </c>
    </row>
    <row r="271" spans="1:18" x14ac:dyDescent="0.3">
      <c r="A271" s="1">
        <v>44594</v>
      </c>
      <c r="B271">
        <v>123.95</v>
      </c>
      <c r="C271">
        <f t="shared" si="17"/>
        <v>4.9978822532825123E-2</v>
      </c>
      <c r="D271" s="2">
        <f t="shared" si="18"/>
        <v>4.9978822532825123E-2</v>
      </c>
      <c r="O271" s="1">
        <v>44594</v>
      </c>
      <c r="P271">
        <v>59558.33</v>
      </c>
      <c r="Q271">
        <f t="shared" si="19"/>
        <v>1.1820075134334128E-2</v>
      </c>
      <c r="R271" s="2">
        <f t="shared" si="20"/>
        <v>1.1820075134334128E-2</v>
      </c>
    </row>
    <row r="272" spans="1:18" x14ac:dyDescent="0.3">
      <c r="A272" s="1">
        <v>44595</v>
      </c>
      <c r="B272">
        <v>130.1</v>
      </c>
      <c r="C272">
        <f t="shared" si="17"/>
        <v>4.9616780960064472E-2</v>
      </c>
      <c r="D272" s="2">
        <f t="shared" si="18"/>
        <v>4.9616780960064472E-2</v>
      </c>
      <c r="O272" s="1">
        <v>44595</v>
      </c>
      <c r="P272">
        <v>58788.02</v>
      </c>
      <c r="Q272">
        <f t="shared" si="19"/>
        <v>-1.2933707174126691E-2</v>
      </c>
      <c r="R272" s="2">
        <f t="shared" si="20"/>
        <v>-1.2933707174126691E-2</v>
      </c>
    </row>
    <row r="273" spans="1:18" x14ac:dyDescent="0.3">
      <c r="A273" s="1">
        <v>44596</v>
      </c>
      <c r="B273">
        <v>136.6</v>
      </c>
      <c r="C273">
        <f t="shared" si="17"/>
        <v>4.9961568024596469E-2</v>
      </c>
      <c r="D273" s="2">
        <f t="shared" si="18"/>
        <v>4.9961568024596469E-2</v>
      </c>
      <c r="O273" s="1">
        <v>44596</v>
      </c>
      <c r="P273">
        <v>58644.82</v>
      </c>
      <c r="Q273">
        <f t="shared" si="19"/>
        <v>-2.4358704375482812E-3</v>
      </c>
      <c r="R273" s="2">
        <f t="shared" si="20"/>
        <v>-2.4358704375482812E-3</v>
      </c>
    </row>
    <row r="274" spans="1:18" x14ac:dyDescent="0.3">
      <c r="A274" s="1">
        <v>44599</v>
      </c>
      <c r="B274">
        <v>143.4</v>
      </c>
      <c r="C274">
        <f t="shared" si="17"/>
        <v>4.9780380673499353E-2</v>
      </c>
      <c r="D274" s="2">
        <f t="shared" si="18"/>
        <v>4.9780380673499353E-2</v>
      </c>
      <c r="O274" s="1">
        <v>44599</v>
      </c>
      <c r="P274">
        <v>57621.19</v>
      </c>
      <c r="Q274">
        <f t="shared" si="19"/>
        <v>-1.7454738542977834E-2</v>
      </c>
      <c r="R274" s="2">
        <f t="shared" si="20"/>
        <v>-1.7454738542977834E-2</v>
      </c>
    </row>
    <row r="275" spans="1:18" x14ac:dyDescent="0.3">
      <c r="A275" s="1">
        <v>44600</v>
      </c>
      <c r="B275">
        <v>147.80000000000001</v>
      </c>
      <c r="C275">
        <f t="shared" si="17"/>
        <v>3.0683403068340345E-2</v>
      </c>
      <c r="D275" s="2">
        <f t="shared" si="18"/>
        <v>3.0683403068340345E-2</v>
      </c>
      <c r="O275" s="1">
        <v>44600</v>
      </c>
      <c r="P275">
        <v>57808.58</v>
      </c>
      <c r="Q275">
        <f t="shared" si="19"/>
        <v>3.252102221422352E-3</v>
      </c>
      <c r="R275" s="2">
        <f t="shared" si="20"/>
        <v>3.252102221422352E-3</v>
      </c>
    </row>
    <row r="276" spans="1:18" x14ac:dyDescent="0.3">
      <c r="A276" s="1">
        <v>44601</v>
      </c>
      <c r="B276">
        <v>140.55000000000001</v>
      </c>
      <c r="C276">
        <f t="shared" si="17"/>
        <v>-4.9052774018944513E-2</v>
      </c>
      <c r="D276" s="2">
        <f t="shared" si="18"/>
        <v>-4.9052774018944513E-2</v>
      </c>
      <c r="O276" s="1">
        <v>44601</v>
      </c>
      <c r="P276">
        <v>58465.97</v>
      </c>
      <c r="Q276">
        <f t="shared" si="19"/>
        <v>1.1371841342582699E-2</v>
      </c>
      <c r="R276" s="2">
        <f t="shared" si="20"/>
        <v>1.1371841342582699E-2</v>
      </c>
    </row>
    <row r="277" spans="1:18" x14ac:dyDescent="0.3">
      <c r="A277" s="1">
        <v>44602</v>
      </c>
      <c r="B277">
        <v>133.55000000000001</v>
      </c>
      <c r="C277">
        <f t="shared" si="17"/>
        <v>-4.9804340092493772E-2</v>
      </c>
      <c r="D277" s="2">
        <f t="shared" si="18"/>
        <v>-4.9804340092493772E-2</v>
      </c>
      <c r="O277" s="1">
        <v>44602</v>
      </c>
      <c r="P277">
        <v>58926.03</v>
      </c>
      <c r="Q277">
        <f t="shared" si="19"/>
        <v>7.8688508888161389E-3</v>
      </c>
      <c r="R277" s="2">
        <f t="shared" si="20"/>
        <v>7.8688508888161389E-3</v>
      </c>
    </row>
    <row r="278" spans="1:18" x14ac:dyDescent="0.3">
      <c r="A278" s="1">
        <v>44603</v>
      </c>
      <c r="B278">
        <v>140.15</v>
      </c>
      <c r="C278">
        <f t="shared" si="17"/>
        <v>4.9419692998876781E-2</v>
      </c>
      <c r="D278" s="2">
        <f t="shared" si="18"/>
        <v>4.9419692998876781E-2</v>
      </c>
      <c r="O278" s="1">
        <v>44603</v>
      </c>
      <c r="P278">
        <v>58152.92</v>
      </c>
      <c r="Q278">
        <f t="shared" si="19"/>
        <v>-1.3120008254416607E-2</v>
      </c>
      <c r="R278" s="2">
        <f t="shared" si="20"/>
        <v>-1.3120008254416607E-2</v>
      </c>
    </row>
    <row r="279" spans="1:18" x14ac:dyDescent="0.3">
      <c r="A279" s="1">
        <v>44606</v>
      </c>
      <c r="B279">
        <v>135.35</v>
      </c>
      <c r="C279">
        <f t="shared" si="17"/>
        <v>-3.4249018908312605E-2</v>
      </c>
      <c r="D279" s="2">
        <f t="shared" si="18"/>
        <v>-3.4249018908312605E-2</v>
      </c>
      <c r="O279" s="1">
        <v>44606</v>
      </c>
      <c r="P279">
        <v>56405.84</v>
      </c>
      <c r="Q279">
        <f t="shared" si="19"/>
        <v>-3.0042859412734595E-2</v>
      </c>
      <c r="R279" s="2">
        <f t="shared" si="20"/>
        <v>-3.0042859412734595E-2</v>
      </c>
    </row>
    <row r="280" spans="1:18" x14ac:dyDescent="0.3">
      <c r="A280" s="1">
        <v>44607</v>
      </c>
      <c r="B280">
        <v>134.4</v>
      </c>
      <c r="C280">
        <f t="shared" si="17"/>
        <v>-7.0188400443294326E-3</v>
      </c>
      <c r="D280" s="2">
        <f t="shared" si="18"/>
        <v>-7.0188400443294326E-3</v>
      </c>
      <c r="O280" s="1">
        <v>44607</v>
      </c>
      <c r="P280">
        <v>58142.05</v>
      </c>
      <c r="Q280">
        <f t="shared" si="19"/>
        <v>3.078067802908363E-2</v>
      </c>
      <c r="R280" s="2">
        <f t="shared" si="20"/>
        <v>3.078067802908363E-2</v>
      </c>
    </row>
    <row r="281" spans="1:18" x14ac:dyDescent="0.3">
      <c r="A281" s="1">
        <v>44608</v>
      </c>
      <c r="B281">
        <v>141.1</v>
      </c>
      <c r="C281">
        <f t="shared" si="17"/>
        <v>4.9851190476190389E-2</v>
      </c>
      <c r="D281" s="2">
        <f t="shared" si="18"/>
        <v>4.9851190476190389E-2</v>
      </c>
      <c r="O281" s="1">
        <v>44608</v>
      </c>
      <c r="P281">
        <v>57996.68</v>
      </c>
      <c r="Q281">
        <f t="shared" si="19"/>
        <v>-2.5002558389324529E-3</v>
      </c>
      <c r="R281" s="2">
        <f t="shared" si="20"/>
        <v>-2.5002558389324529E-3</v>
      </c>
    </row>
    <row r="282" spans="1:18" x14ac:dyDescent="0.3">
      <c r="A282" s="1">
        <v>44609</v>
      </c>
      <c r="B282">
        <v>142.85</v>
      </c>
      <c r="C282">
        <f t="shared" si="17"/>
        <v>1.2402551381998583E-2</v>
      </c>
      <c r="D282" s="2">
        <f t="shared" si="18"/>
        <v>1.2402551381998583E-2</v>
      </c>
      <c r="O282" s="1">
        <v>44609</v>
      </c>
      <c r="P282">
        <v>57892.01</v>
      </c>
      <c r="Q282">
        <f t="shared" si="19"/>
        <v>-1.8047584792784388E-3</v>
      </c>
      <c r="R282" s="2">
        <f t="shared" si="20"/>
        <v>-1.8047584792784388E-3</v>
      </c>
    </row>
    <row r="283" spans="1:18" x14ac:dyDescent="0.3">
      <c r="A283" s="1">
        <v>44610</v>
      </c>
      <c r="B283">
        <v>142.85</v>
      </c>
      <c r="C283">
        <f t="shared" si="17"/>
        <v>0</v>
      </c>
      <c r="D283" s="2">
        <f t="shared" si="18"/>
        <v>0</v>
      </c>
      <c r="O283" s="1">
        <v>44610</v>
      </c>
      <c r="P283">
        <v>57832.97</v>
      </c>
      <c r="Q283">
        <f t="shared" si="19"/>
        <v>-1.0198298521678704E-3</v>
      </c>
      <c r="R283" s="2">
        <f t="shared" si="20"/>
        <v>-1.0198298521678704E-3</v>
      </c>
    </row>
    <row r="284" spans="1:18" x14ac:dyDescent="0.3">
      <c r="A284" s="1">
        <v>44613</v>
      </c>
      <c r="B284">
        <v>135.75</v>
      </c>
      <c r="C284">
        <f t="shared" si="17"/>
        <v>-4.9702485124256172E-2</v>
      </c>
      <c r="D284" s="2">
        <f t="shared" si="18"/>
        <v>-4.9702485124256172E-2</v>
      </c>
      <c r="O284" s="1">
        <v>44613</v>
      </c>
      <c r="P284">
        <v>57683.59</v>
      </c>
      <c r="Q284">
        <f t="shared" si="19"/>
        <v>-2.5829557084826294E-3</v>
      </c>
      <c r="R284" s="2">
        <f t="shared" si="20"/>
        <v>-2.5829557084826294E-3</v>
      </c>
    </row>
    <row r="285" spans="1:18" x14ac:dyDescent="0.3">
      <c r="A285" s="1">
        <v>44614</v>
      </c>
      <c r="B285">
        <v>129</v>
      </c>
      <c r="C285">
        <f t="shared" si="17"/>
        <v>-4.9723756906077346E-2</v>
      </c>
      <c r="D285" s="2">
        <f t="shared" si="18"/>
        <v>-4.9723756906077346E-2</v>
      </c>
      <c r="O285" s="1">
        <v>44614</v>
      </c>
      <c r="P285">
        <v>57300.68</v>
      </c>
      <c r="Q285">
        <f t="shared" si="19"/>
        <v>-6.6381097293007636E-3</v>
      </c>
      <c r="R285" s="2">
        <f t="shared" si="20"/>
        <v>-6.6381097293007636E-3</v>
      </c>
    </row>
    <row r="286" spans="1:18" x14ac:dyDescent="0.3">
      <c r="A286" s="1">
        <v>44615</v>
      </c>
      <c r="B286">
        <v>125.95</v>
      </c>
      <c r="C286">
        <f t="shared" si="17"/>
        <v>-2.3643410852713157E-2</v>
      </c>
      <c r="D286" s="2">
        <f t="shared" si="18"/>
        <v>-2.3643410852713157E-2</v>
      </c>
      <c r="O286" s="1">
        <v>44615</v>
      </c>
      <c r="P286">
        <v>57232.06</v>
      </c>
      <c r="Q286">
        <f t="shared" si="19"/>
        <v>-1.1975425073489985E-3</v>
      </c>
      <c r="R286" s="2">
        <f t="shared" si="20"/>
        <v>-1.1975425073489985E-3</v>
      </c>
    </row>
    <row r="287" spans="1:18" x14ac:dyDescent="0.3">
      <c r="A287" s="1">
        <v>44616</v>
      </c>
      <c r="B287">
        <v>119.7</v>
      </c>
      <c r="C287">
        <f t="shared" si="17"/>
        <v>-4.962286621675268E-2</v>
      </c>
      <c r="D287" s="2">
        <f t="shared" si="18"/>
        <v>-4.962286621675268E-2</v>
      </c>
      <c r="O287" s="1">
        <v>44616</v>
      </c>
      <c r="P287">
        <v>54529.91</v>
      </c>
      <c r="Q287">
        <f t="shared" si="19"/>
        <v>-4.7213921707518376E-2</v>
      </c>
      <c r="R287" s="2">
        <f t="shared" si="20"/>
        <v>-4.7213921707518376E-2</v>
      </c>
    </row>
    <row r="288" spans="1:18" x14ac:dyDescent="0.3">
      <c r="A288" s="1">
        <v>44617</v>
      </c>
      <c r="B288">
        <v>124.2</v>
      </c>
      <c r="C288">
        <f t="shared" si="17"/>
        <v>3.7593984962406013E-2</v>
      </c>
      <c r="D288" s="2">
        <f t="shared" si="18"/>
        <v>3.7593984962406013E-2</v>
      </c>
      <c r="O288" s="1">
        <v>44617</v>
      </c>
      <c r="P288">
        <v>55858.52</v>
      </c>
      <c r="Q288">
        <f t="shared" si="19"/>
        <v>2.4364793560084606E-2</v>
      </c>
      <c r="R288" s="2">
        <f t="shared" si="20"/>
        <v>2.4364793560084606E-2</v>
      </c>
    </row>
    <row r="289" spans="1:18" x14ac:dyDescent="0.3">
      <c r="A289" s="1">
        <v>44620</v>
      </c>
      <c r="B289">
        <v>123.85</v>
      </c>
      <c r="C289">
        <f t="shared" si="17"/>
        <v>-2.8180354267311474E-3</v>
      </c>
      <c r="D289" s="2">
        <f t="shared" si="18"/>
        <v>-2.8180354267311474E-3</v>
      </c>
      <c r="O289" s="1">
        <v>44620</v>
      </c>
      <c r="P289">
        <v>56247.28</v>
      </c>
      <c r="Q289">
        <f t="shared" si="19"/>
        <v>6.9597261080315423E-3</v>
      </c>
      <c r="R289" s="2">
        <f t="shared" si="20"/>
        <v>6.9597261080315423E-3</v>
      </c>
    </row>
    <row r="290" spans="1:18" x14ac:dyDescent="0.3">
      <c r="A290" s="1">
        <v>44622</v>
      </c>
      <c r="B290">
        <v>129.15</v>
      </c>
      <c r="C290">
        <f t="shared" si="17"/>
        <v>4.2793702058942361E-2</v>
      </c>
      <c r="D290" s="2">
        <f t="shared" si="18"/>
        <v>4.2793702058942361E-2</v>
      </c>
      <c r="O290" s="1">
        <v>44622</v>
      </c>
      <c r="P290">
        <v>55468.9</v>
      </c>
      <c r="Q290">
        <f t="shared" si="19"/>
        <v>-1.3838535836755083E-2</v>
      </c>
      <c r="R290" s="2">
        <f t="shared" si="20"/>
        <v>-1.3838535836755083E-2</v>
      </c>
    </row>
    <row r="291" spans="1:18" x14ac:dyDescent="0.3">
      <c r="A291" s="1">
        <v>44623</v>
      </c>
      <c r="B291">
        <v>128.75</v>
      </c>
      <c r="C291">
        <f t="shared" si="17"/>
        <v>-3.0971738288811898E-3</v>
      </c>
      <c r="D291" s="2">
        <f t="shared" si="18"/>
        <v>-3.0971738288811898E-3</v>
      </c>
      <c r="O291" s="1">
        <v>44623</v>
      </c>
      <c r="P291">
        <v>55102.68</v>
      </c>
      <c r="Q291">
        <f t="shared" si="19"/>
        <v>-6.6022582023440371E-3</v>
      </c>
      <c r="R291" s="2">
        <f t="shared" si="20"/>
        <v>-6.6022582023440371E-3</v>
      </c>
    </row>
    <row r="292" spans="1:18" x14ac:dyDescent="0.3">
      <c r="A292" s="1">
        <v>44624</v>
      </c>
      <c r="B292">
        <v>123.25</v>
      </c>
      <c r="C292">
        <f t="shared" si="17"/>
        <v>-4.2718446601941747E-2</v>
      </c>
      <c r="D292" s="2">
        <f t="shared" si="18"/>
        <v>-4.2718446601941747E-2</v>
      </c>
      <c r="O292" s="1">
        <v>44624</v>
      </c>
      <c r="P292">
        <v>54333.81</v>
      </c>
      <c r="Q292">
        <f t="shared" si="19"/>
        <v>-1.3953404807170951E-2</v>
      </c>
      <c r="R292" s="2">
        <f t="shared" si="20"/>
        <v>-1.3953404807170951E-2</v>
      </c>
    </row>
    <row r="293" spans="1:18" x14ac:dyDescent="0.3">
      <c r="A293" s="1">
        <v>44627</v>
      </c>
      <c r="B293">
        <v>118.55</v>
      </c>
      <c r="C293">
        <f t="shared" si="17"/>
        <v>-3.8133874239350933E-2</v>
      </c>
      <c r="D293" s="2">
        <f t="shared" si="18"/>
        <v>-3.8133874239350933E-2</v>
      </c>
      <c r="O293" s="1">
        <v>44627</v>
      </c>
      <c r="P293">
        <v>52842.75</v>
      </c>
      <c r="Q293">
        <f t="shared" si="19"/>
        <v>-2.7442581331955145E-2</v>
      </c>
      <c r="R293" s="2">
        <f t="shared" si="20"/>
        <v>-2.7442581331955145E-2</v>
      </c>
    </row>
    <row r="294" spans="1:18" x14ac:dyDescent="0.3">
      <c r="A294" s="1">
        <v>44628</v>
      </c>
      <c r="B294">
        <v>118.65</v>
      </c>
      <c r="C294">
        <f t="shared" si="17"/>
        <v>8.4352593842267846E-4</v>
      </c>
      <c r="D294" s="2">
        <f t="shared" si="18"/>
        <v>8.4352593842267846E-4</v>
      </c>
      <c r="O294" s="1">
        <v>44628</v>
      </c>
      <c r="P294">
        <v>53424.09</v>
      </c>
      <c r="Q294">
        <f t="shared" si="19"/>
        <v>1.1001319954014439E-2</v>
      </c>
      <c r="R294" s="2">
        <f t="shared" si="20"/>
        <v>1.1001319954014439E-2</v>
      </c>
    </row>
    <row r="295" spans="1:18" x14ac:dyDescent="0.3">
      <c r="A295" s="1">
        <v>44629</v>
      </c>
      <c r="B295">
        <v>117.9</v>
      </c>
      <c r="C295">
        <f t="shared" si="17"/>
        <v>-6.321112515802781E-3</v>
      </c>
      <c r="D295" s="2">
        <f t="shared" si="18"/>
        <v>-6.321112515802781E-3</v>
      </c>
      <c r="O295" s="1">
        <v>44629</v>
      </c>
      <c r="P295">
        <v>54647.33</v>
      </c>
      <c r="Q295">
        <f t="shared" si="19"/>
        <v>2.2896786824071414E-2</v>
      </c>
      <c r="R295" s="2">
        <f t="shared" si="20"/>
        <v>2.2896786824071414E-2</v>
      </c>
    </row>
    <row r="296" spans="1:18" x14ac:dyDescent="0.3">
      <c r="A296" s="1">
        <v>44630</v>
      </c>
      <c r="B296">
        <v>121.9</v>
      </c>
      <c r="C296">
        <f t="shared" si="17"/>
        <v>3.3927056827820185E-2</v>
      </c>
      <c r="D296" s="2">
        <f t="shared" si="18"/>
        <v>3.3927056827820185E-2</v>
      </c>
      <c r="O296" s="1">
        <v>44630</v>
      </c>
      <c r="P296">
        <v>55464.39</v>
      </c>
      <c r="Q296">
        <f t="shared" si="19"/>
        <v>1.4951508152365315E-2</v>
      </c>
      <c r="R296" s="2">
        <f t="shared" si="20"/>
        <v>1.4951508152365315E-2</v>
      </c>
    </row>
    <row r="297" spans="1:18" x14ac:dyDescent="0.3">
      <c r="A297" s="1">
        <v>44631</v>
      </c>
      <c r="B297">
        <v>117.8</v>
      </c>
      <c r="C297">
        <f t="shared" si="17"/>
        <v>-3.3634126333059955E-2</v>
      </c>
      <c r="D297" s="2">
        <f t="shared" si="18"/>
        <v>-3.3634126333059955E-2</v>
      </c>
      <c r="O297" s="1">
        <v>44631</v>
      </c>
      <c r="P297">
        <v>55550.3</v>
      </c>
      <c r="Q297">
        <f t="shared" si="19"/>
        <v>1.5489217496127423E-3</v>
      </c>
      <c r="R297" s="2">
        <f t="shared" si="20"/>
        <v>1.5489217496127423E-3</v>
      </c>
    </row>
    <row r="298" spans="1:18" x14ac:dyDescent="0.3">
      <c r="A298" s="1">
        <v>44634</v>
      </c>
      <c r="B298">
        <v>112</v>
      </c>
      <c r="C298">
        <f t="shared" si="17"/>
        <v>-4.9235993208828502E-2</v>
      </c>
      <c r="D298" s="2">
        <f t="shared" si="18"/>
        <v>-4.9235993208828502E-2</v>
      </c>
      <c r="O298" s="1">
        <v>44634</v>
      </c>
      <c r="P298">
        <v>56486.02</v>
      </c>
      <c r="Q298">
        <f t="shared" si="19"/>
        <v>1.6844553494760495E-2</v>
      </c>
      <c r="R298" s="2">
        <f t="shared" si="20"/>
        <v>1.6844553494760495E-2</v>
      </c>
    </row>
    <row r="299" spans="1:18" x14ac:dyDescent="0.3">
      <c r="A299" s="1">
        <v>44635</v>
      </c>
      <c r="B299">
        <v>117.6</v>
      </c>
      <c r="C299">
        <f t="shared" si="17"/>
        <v>4.9999999999999947E-2</v>
      </c>
      <c r="D299" s="2">
        <f t="shared" si="18"/>
        <v>4.9999999999999947E-2</v>
      </c>
      <c r="O299" s="1">
        <v>44635</v>
      </c>
      <c r="P299">
        <v>55776.85</v>
      </c>
      <c r="Q299">
        <f t="shared" si="19"/>
        <v>-1.2554787892650222E-2</v>
      </c>
      <c r="R299" s="2">
        <f t="shared" si="20"/>
        <v>-1.2554787892650222E-2</v>
      </c>
    </row>
    <row r="300" spans="1:18" x14ac:dyDescent="0.3">
      <c r="A300" s="1">
        <v>44636</v>
      </c>
      <c r="B300">
        <v>123.45</v>
      </c>
      <c r="C300">
        <f t="shared" si="17"/>
        <v>4.974489795918375E-2</v>
      </c>
      <c r="D300" s="2">
        <f t="shared" si="18"/>
        <v>4.974489795918375E-2</v>
      </c>
      <c r="O300" s="1">
        <v>44636</v>
      </c>
      <c r="P300">
        <v>56816.65</v>
      </c>
      <c r="Q300">
        <f t="shared" si="19"/>
        <v>1.8642142752772931E-2</v>
      </c>
      <c r="R300" s="2">
        <f t="shared" si="20"/>
        <v>1.8642142752772931E-2</v>
      </c>
    </row>
    <row r="301" spans="1:18" x14ac:dyDescent="0.3">
      <c r="A301" s="1">
        <v>44637</v>
      </c>
      <c r="B301">
        <v>129.35</v>
      </c>
      <c r="C301">
        <f t="shared" si="17"/>
        <v>4.7792628594572631E-2</v>
      </c>
      <c r="D301" s="2">
        <f t="shared" si="18"/>
        <v>4.7792628594572631E-2</v>
      </c>
      <c r="O301" s="1">
        <v>44637</v>
      </c>
      <c r="P301">
        <v>57863.93</v>
      </c>
      <c r="Q301">
        <f t="shared" si="19"/>
        <v>1.8432624943568458E-2</v>
      </c>
      <c r="R301" s="2">
        <f t="shared" si="20"/>
        <v>1.8432624943568458E-2</v>
      </c>
    </row>
    <row r="302" spans="1:18" x14ac:dyDescent="0.3">
      <c r="A302" s="1">
        <v>44641</v>
      </c>
      <c r="B302">
        <v>135.80000000000001</v>
      </c>
      <c r="C302">
        <f t="shared" si="17"/>
        <v>4.9864708156165574E-2</v>
      </c>
      <c r="D302" s="2">
        <f t="shared" si="18"/>
        <v>4.9864708156165574E-2</v>
      </c>
      <c r="O302" s="1">
        <v>44641</v>
      </c>
      <c r="P302">
        <v>57292.49</v>
      </c>
      <c r="Q302">
        <f t="shared" si="19"/>
        <v>-9.8755822495983654E-3</v>
      </c>
      <c r="R302" s="2">
        <f t="shared" si="20"/>
        <v>-9.8755822495983654E-3</v>
      </c>
    </row>
    <row r="303" spans="1:18" x14ac:dyDescent="0.3">
      <c r="A303" s="1">
        <v>44642</v>
      </c>
      <c r="B303">
        <v>136.55000000000001</v>
      </c>
      <c r="C303">
        <f t="shared" si="17"/>
        <v>5.5228276877761408E-3</v>
      </c>
      <c r="D303" s="2">
        <f t="shared" si="18"/>
        <v>5.5228276877761408E-3</v>
      </c>
      <c r="O303" s="1">
        <v>44642</v>
      </c>
      <c r="P303">
        <v>57989.3</v>
      </c>
      <c r="Q303">
        <f t="shared" si="19"/>
        <v>1.2162327034485759E-2</v>
      </c>
      <c r="R303" s="2">
        <f t="shared" si="20"/>
        <v>1.2162327034485759E-2</v>
      </c>
    </row>
    <row r="304" spans="1:18" x14ac:dyDescent="0.3">
      <c r="A304" s="1">
        <v>44643</v>
      </c>
      <c r="B304">
        <v>137.15</v>
      </c>
      <c r="C304">
        <f t="shared" si="17"/>
        <v>4.3939948736726056E-3</v>
      </c>
      <c r="D304" s="2">
        <f t="shared" si="18"/>
        <v>4.3939948736726056E-3</v>
      </c>
      <c r="O304" s="1">
        <v>44643</v>
      </c>
      <c r="P304">
        <v>57684.82</v>
      </c>
      <c r="Q304">
        <f t="shared" si="19"/>
        <v>-5.250623821981007E-3</v>
      </c>
      <c r="R304" s="2">
        <f t="shared" si="20"/>
        <v>-5.250623821981007E-3</v>
      </c>
    </row>
    <row r="305" spans="1:18" x14ac:dyDescent="0.3">
      <c r="A305" s="1">
        <v>44644</v>
      </c>
      <c r="B305">
        <v>130.30000000000001</v>
      </c>
      <c r="C305">
        <f t="shared" si="17"/>
        <v>-4.9945315348158908E-2</v>
      </c>
      <c r="D305" s="2">
        <f t="shared" si="18"/>
        <v>-4.9945315348158908E-2</v>
      </c>
      <c r="O305" s="1">
        <v>44644</v>
      </c>
      <c r="P305">
        <v>57595.68</v>
      </c>
      <c r="Q305">
        <f t="shared" si="19"/>
        <v>-1.5452938918765703E-3</v>
      </c>
      <c r="R305" s="2">
        <f t="shared" si="20"/>
        <v>-1.5452938918765703E-3</v>
      </c>
    </row>
    <row r="306" spans="1:18" x14ac:dyDescent="0.3">
      <c r="A306" s="1">
        <v>44645</v>
      </c>
      <c r="B306">
        <v>127.15</v>
      </c>
      <c r="C306">
        <f t="shared" si="17"/>
        <v>-2.4174980813507333E-2</v>
      </c>
      <c r="D306" s="2">
        <f t="shared" si="18"/>
        <v>-2.4174980813507333E-2</v>
      </c>
      <c r="O306" s="1">
        <v>44645</v>
      </c>
      <c r="P306">
        <v>57362.2</v>
      </c>
      <c r="Q306">
        <f t="shared" si="19"/>
        <v>-4.0537762554414356E-3</v>
      </c>
      <c r="R306" s="2">
        <f t="shared" si="20"/>
        <v>-4.0537762554414356E-3</v>
      </c>
    </row>
    <row r="307" spans="1:18" x14ac:dyDescent="0.3">
      <c r="A307" s="1">
        <v>44648</v>
      </c>
      <c r="B307">
        <v>124.25</v>
      </c>
      <c r="C307">
        <f t="shared" si="17"/>
        <v>-2.2807707432166775E-2</v>
      </c>
      <c r="D307" s="2">
        <f t="shared" si="18"/>
        <v>-2.2807707432166775E-2</v>
      </c>
      <c r="O307" s="1">
        <v>44648</v>
      </c>
      <c r="P307">
        <v>57593.49</v>
      </c>
      <c r="Q307">
        <f t="shared" si="19"/>
        <v>4.0320977926230316E-3</v>
      </c>
      <c r="R307" s="2">
        <f t="shared" si="20"/>
        <v>4.0320977926230316E-3</v>
      </c>
    </row>
    <row r="308" spans="1:18" x14ac:dyDescent="0.3">
      <c r="A308" s="1">
        <v>44649</v>
      </c>
      <c r="B308">
        <v>125.7</v>
      </c>
      <c r="C308">
        <f t="shared" si="17"/>
        <v>1.1670020120724369E-2</v>
      </c>
      <c r="D308" s="2">
        <f t="shared" si="18"/>
        <v>1.1670020120724369E-2</v>
      </c>
      <c r="O308" s="1">
        <v>44649</v>
      </c>
      <c r="P308">
        <v>57943.65</v>
      </c>
      <c r="Q308">
        <f t="shared" si="19"/>
        <v>6.0798538168116483E-3</v>
      </c>
      <c r="R308" s="2">
        <f t="shared" si="20"/>
        <v>6.0798538168116483E-3</v>
      </c>
    </row>
    <row r="309" spans="1:18" x14ac:dyDescent="0.3">
      <c r="A309" s="1">
        <v>44650</v>
      </c>
      <c r="B309">
        <v>124.55</v>
      </c>
      <c r="C309">
        <f t="shared" si="17"/>
        <v>-9.1487669053301954E-3</v>
      </c>
      <c r="D309" s="2">
        <f t="shared" si="18"/>
        <v>-9.1487669053301954E-3</v>
      </c>
      <c r="O309" s="1">
        <v>44650</v>
      </c>
      <c r="P309">
        <v>58683.99</v>
      </c>
      <c r="Q309">
        <f t="shared" si="19"/>
        <v>1.2776896174127734E-2</v>
      </c>
      <c r="R309" s="2">
        <f t="shared" si="20"/>
        <v>1.2776896174127734E-2</v>
      </c>
    </row>
    <row r="310" spans="1:18" x14ac:dyDescent="0.3">
      <c r="A310" s="1">
        <v>44651</v>
      </c>
      <c r="B310">
        <v>122.55</v>
      </c>
      <c r="C310">
        <f t="shared" si="17"/>
        <v>-1.6057808109193095E-2</v>
      </c>
      <c r="D310" s="2">
        <f t="shared" si="18"/>
        <v>-1.6057808109193095E-2</v>
      </c>
      <c r="O310" s="1">
        <v>44651</v>
      </c>
      <c r="P310">
        <v>58568.51</v>
      </c>
      <c r="Q310">
        <f t="shared" si="19"/>
        <v>-1.9678280226003027E-3</v>
      </c>
      <c r="R310" s="2">
        <f t="shared" si="20"/>
        <v>-1.9678280226003027E-3</v>
      </c>
    </row>
    <row r="311" spans="1:18" x14ac:dyDescent="0.3">
      <c r="A311" s="1">
        <v>44652</v>
      </c>
      <c r="B311">
        <v>125</v>
      </c>
      <c r="C311">
        <f t="shared" si="17"/>
        <v>1.9991840065279501E-2</v>
      </c>
      <c r="D311" s="2">
        <f t="shared" si="18"/>
        <v>1.9991840065279501E-2</v>
      </c>
      <c r="O311" s="1">
        <v>44652</v>
      </c>
      <c r="P311">
        <v>59276.69</v>
      </c>
      <c r="Q311">
        <f t="shared" si="19"/>
        <v>1.2091480558409293E-2</v>
      </c>
      <c r="R311" s="2">
        <f t="shared" si="20"/>
        <v>1.2091480558409293E-2</v>
      </c>
    </row>
    <row r="312" spans="1:18" x14ac:dyDescent="0.3">
      <c r="A312" s="1">
        <v>44655</v>
      </c>
      <c r="B312">
        <v>131.25</v>
      </c>
      <c r="C312">
        <f t="shared" si="17"/>
        <v>0.05</v>
      </c>
      <c r="D312" s="2">
        <f t="shared" si="18"/>
        <v>0.05</v>
      </c>
      <c r="O312" s="1">
        <v>44655</v>
      </c>
      <c r="P312">
        <v>60611.74</v>
      </c>
      <c r="Q312">
        <f t="shared" si="19"/>
        <v>2.2522343943293655E-2</v>
      </c>
      <c r="R312" s="2">
        <f t="shared" si="20"/>
        <v>2.2522343943293655E-2</v>
      </c>
    </row>
    <row r="313" spans="1:18" x14ac:dyDescent="0.3">
      <c r="A313" s="1">
        <v>44656</v>
      </c>
      <c r="B313">
        <v>128.94999999999999</v>
      </c>
      <c r="C313">
        <f t="shared" si="17"/>
        <v>-1.7523809523809612E-2</v>
      </c>
      <c r="D313" s="2">
        <f t="shared" si="18"/>
        <v>-1.7523809523809612E-2</v>
      </c>
      <c r="O313" s="1">
        <v>44656</v>
      </c>
      <c r="P313">
        <v>60176.5</v>
      </c>
      <c r="Q313">
        <f t="shared" si="19"/>
        <v>-7.1807870884419084E-3</v>
      </c>
      <c r="R313" s="2">
        <f t="shared" si="20"/>
        <v>-7.1807870884419084E-3</v>
      </c>
    </row>
    <row r="314" spans="1:18" x14ac:dyDescent="0.3">
      <c r="A314" s="1">
        <v>44657</v>
      </c>
      <c r="B314">
        <v>129.25</v>
      </c>
      <c r="C314">
        <f t="shared" si="17"/>
        <v>2.3264831329973742E-3</v>
      </c>
      <c r="D314" s="2">
        <f t="shared" si="18"/>
        <v>2.3264831329973742E-3</v>
      </c>
      <c r="O314" s="1">
        <v>44657</v>
      </c>
      <c r="P314">
        <v>59610.41</v>
      </c>
      <c r="Q314">
        <f t="shared" si="19"/>
        <v>-9.4071606025607421E-3</v>
      </c>
      <c r="R314" s="2">
        <f t="shared" si="20"/>
        <v>-9.4071606025607421E-3</v>
      </c>
    </row>
    <row r="315" spans="1:18" x14ac:dyDescent="0.3">
      <c r="A315" s="1">
        <v>44658</v>
      </c>
      <c r="B315">
        <v>128.5</v>
      </c>
      <c r="C315">
        <f t="shared" si="17"/>
        <v>-5.8027079303675051E-3</v>
      </c>
      <c r="D315" s="2">
        <f t="shared" si="18"/>
        <v>-5.8027079303675051E-3</v>
      </c>
      <c r="O315" s="1">
        <v>44658</v>
      </c>
      <c r="P315">
        <v>59034.95</v>
      </c>
      <c r="Q315">
        <f t="shared" si="19"/>
        <v>-9.6536829724876306E-3</v>
      </c>
      <c r="R315" s="2">
        <f t="shared" si="20"/>
        <v>-9.6536829724876306E-3</v>
      </c>
    </row>
    <row r="316" spans="1:18" x14ac:dyDescent="0.3">
      <c r="A316" s="1">
        <v>44659</v>
      </c>
      <c r="B316">
        <v>128.75</v>
      </c>
      <c r="C316">
        <f t="shared" si="17"/>
        <v>1.9455252918287938E-3</v>
      </c>
      <c r="D316" s="2">
        <f t="shared" si="18"/>
        <v>1.9455252918287938E-3</v>
      </c>
      <c r="O316" s="1">
        <v>44659</v>
      </c>
      <c r="P316">
        <v>59447.18</v>
      </c>
      <c r="Q316">
        <f t="shared" si="19"/>
        <v>6.9828127236493502E-3</v>
      </c>
      <c r="R316" s="2">
        <f t="shared" si="20"/>
        <v>6.9828127236493502E-3</v>
      </c>
    </row>
    <row r="317" spans="1:18" x14ac:dyDescent="0.3">
      <c r="A317" s="1">
        <v>44662</v>
      </c>
      <c r="B317">
        <v>134.15</v>
      </c>
      <c r="C317">
        <f t="shared" si="17"/>
        <v>4.1941747572815581E-2</v>
      </c>
      <c r="D317" s="2">
        <f t="shared" si="18"/>
        <v>4.1941747572815581E-2</v>
      </c>
      <c r="O317" s="1">
        <v>44662</v>
      </c>
      <c r="P317">
        <v>58964.57</v>
      </c>
      <c r="Q317">
        <f t="shared" si="19"/>
        <v>-8.1182993036843891E-3</v>
      </c>
      <c r="R317" s="2">
        <f t="shared" si="20"/>
        <v>-8.1182993036843891E-3</v>
      </c>
    </row>
    <row r="318" spans="1:18" x14ac:dyDescent="0.3">
      <c r="A318" s="1">
        <v>44663</v>
      </c>
      <c r="B318">
        <v>134.94999999999999</v>
      </c>
      <c r="C318">
        <f t="shared" si="17"/>
        <v>5.9634737234437784E-3</v>
      </c>
      <c r="D318" s="2">
        <f t="shared" si="18"/>
        <v>5.9634737234437784E-3</v>
      </c>
      <c r="O318" s="1">
        <v>44663</v>
      </c>
      <c r="P318">
        <v>58576.37</v>
      </c>
      <c r="Q318">
        <f t="shared" si="19"/>
        <v>-6.5836145332696756E-3</v>
      </c>
      <c r="R318" s="2">
        <f t="shared" si="20"/>
        <v>-6.5836145332696756E-3</v>
      </c>
    </row>
    <row r="319" spans="1:18" x14ac:dyDescent="0.3">
      <c r="A319" s="1">
        <v>44664</v>
      </c>
      <c r="B319">
        <v>132.80000000000001</v>
      </c>
      <c r="C319">
        <f t="shared" si="17"/>
        <v>-1.5931826602445184E-2</v>
      </c>
      <c r="D319" s="2">
        <f t="shared" si="18"/>
        <v>-1.5931826602445184E-2</v>
      </c>
      <c r="O319" s="1">
        <v>44664</v>
      </c>
      <c r="P319">
        <v>58338.93</v>
      </c>
      <c r="Q319">
        <f t="shared" si="19"/>
        <v>-4.0535116805633792E-3</v>
      </c>
      <c r="R319" s="2">
        <f t="shared" si="20"/>
        <v>-4.0535116805633792E-3</v>
      </c>
    </row>
    <row r="320" spans="1:18" x14ac:dyDescent="0.3">
      <c r="A320" s="1">
        <v>44669</v>
      </c>
      <c r="B320">
        <v>135.80000000000001</v>
      </c>
      <c r="C320">
        <f t="shared" si="17"/>
        <v>2.2590361445783129E-2</v>
      </c>
      <c r="D320" s="2">
        <f t="shared" si="18"/>
        <v>2.2590361445783129E-2</v>
      </c>
      <c r="O320" s="1">
        <v>44669</v>
      </c>
      <c r="P320">
        <v>57166.74</v>
      </c>
      <c r="Q320">
        <f t="shared" si="19"/>
        <v>-2.0092757957679414E-2</v>
      </c>
      <c r="R320" s="2">
        <f t="shared" si="20"/>
        <v>-2.0092757957679414E-2</v>
      </c>
    </row>
    <row r="321" spans="1:18" x14ac:dyDescent="0.3">
      <c r="A321" s="1">
        <v>44670</v>
      </c>
      <c r="B321">
        <v>138</v>
      </c>
      <c r="C321">
        <f t="shared" si="17"/>
        <v>1.6200294550809929E-2</v>
      </c>
      <c r="D321" s="2">
        <f t="shared" si="18"/>
        <v>1.6200294550809929E-2</v>
      </c>
      <c r="O321" s="1">
        <v>44670</v>
      </c>
      <c r="P321">
        <v>56463.15</v>
      </c>
      <c r="Q321">
        <f t="shared" si="19"/>
        <v>-1.2307681004724015E-2</v>
      </c>
      <c r="R321" s="2">
        <f t="shared" si="20"/>
        <v>-1.2307681004724015E-2</v>
      </c>
    </row>
    <row r="322" spans="1:18" x14ac:dyDescent="0.3">
      <c r="A322" s="1">
        <v>44671</v>
      </c>
      <c r="B322">
        <v>133.44999999999999</v>
      </c>
      <c r="C322">
        <f t="shared" si="17"/>
        <v>-3.2971014492753706E-2</v>
      </c>
      <c r="D322" s="2">
        <f t="shared" si="18"/>
        <v>-3.2971014492753706E-2</v>
      </c>
      <c r="O322" s="1">
        <v>44671</v>
      </c>
      <c r="P322">
        <v>57037.5</v>
      </c>
      <c r="Q322">
        <f t="shared" si="19"/>
        <v>1.0172121109077311E-2</v>
      </c>
      <c r="R322" s="2">
        <f t="shared" si="20"/>
        <v>1.0172121109077311E-2</v>
      </c>
    </row>
    <row r="323" spans="1:18" x14ac:dyDescent="0.3">
      <c r="A323" s="1">
        <v>44672</v>
      </c>
      <c r="B323">
        <v>133.44999999999999</v>
      </c>
      <c r="C323">
        <f t="shared" si="17"/>
        <v>0</v>
      </c>
      <c r="D323" s="2">
        <f t="shared" si="18"/>
        <v>0</v>
      </c>
      <c r="O323" s="1">
        <v>44672</v>
      </c>
      <c r="P323">
        <v>57911.68</v>
      </c>
      <c r="Q323">
        <f t="shared" si="19"/>
        <v>1.5326408064869608E-2</v>
      </c>
      <c r="R323" s="2">
        <f t="shared" si="20"/>
        <v>1.5326408064869608E-2</v>
      </c>
    </row>
    <row r="324" spans="1:18" x14ac:dyDescent="0.3">
      <c r="A324" s="1">
        <v>44673</v>
      </c>
      <c r="B324">
        <v>137.55000000000001</v>
      </c>
      <c r="C324">
        <f t="shared" ref="C324:C387" si="21">(B324-B323)/B323</f>
        <v>3.0723117272386833E-2</v>
      </c>
      <c r="D324" s="2">
        <f t="shared" ref="D324:D387" si="22">(B324-B323)/B323</f>
        <v>3.0723117272386833E-2</v>
      </c>
      <c r="O324" s="1">
        <v>44673</v>
      </c>
      <c r="P324">
        <v>57197.15</v>
      </c>
      <c r="Q324">
        <f t="shared" ref="Q324:Q387" si="23">(P324-P323)/P323</f>
        <v>-1.2338270967100226E-2</v>
      </c>
      <c r="R324" s="2">
        <f t="shared" ref="R324:R387" si="24">(P324-P323)/P323</f>
        <v>-1.2338270967100226E-2</v>
      </c>
    </row>
    <row r="325" spans="1:18" x14ac:dyDescent="0.3">
      <c r="A325" s="1">
        <v>44676</v>
      </c>
      <c r="B325">
        <v>133.69999999999999</v>
      </c>
      <c r="C325">
        <f t="shared" si="21"/>
        <v>-2.7989821882951817E-2</v>
      </c>
      <c r="D325" s="2">
        <f t="shared" si="22"/>
        <v>-2.7989821882951817E-2</v>
      </c>
      <c r="O325" s="1">
        <v>44676</v>
      </c>
      <c r="P325">
        <v>56579.89</v>
      </c>
      <c r="Q325">
        <f t="shared" si="23"/>
        <v>-1.0791796444403296E-2</v>
      </c>
      <c r="R325" s="2">
        <f t="shared" si="24"/>
        <v>-1.0791796444403296E-2</v>
      </c>
    </row>
    <row r="326" spans="1:18" x14ac:dyDescent="0.3">
      <c r="A326" s="1">
        <v>44677</v>
      </c>
      <c r="B326">
        <v>136.35</v>
      </c>
      <c r="C326">
        <f t="shared" si="21"/>
        <v>1.9820493642483214E-2</v>
      </c>
      <c r="D326" s="2">
        <f t="shared" si="22"/>
        <v>1.9820493642483214E-2</v>
      </c>
      <c r="O326" s="1">
        <v>44677</v>
      </c>
      <c r="P326">
        <v>57356.61</v>
      </c>
      <c r="Q326">
        <f t="shared" si="23"/>
        <v>1.372784570631016E-2</v>
      </c>
      <c r="R326" s="2">
        <f t="shared" si="24"/>
        <v>1.372784570631016E-2</v>
      </c>
    </row>
    <row r="327" spans="1:18" x14ac:dyDescent="0.3">
      <c r="A327" s="1">
        <v>44678</v>
      </c>
      <c r="B327">
        <v>132.25</v>
      </c>
      <c r="C327">
        <f t="shared" si="21"/>
        <v>-3.0069673634030028E-2</v>
      </c>
      <c r="D327" s="2">
        <f t="shared" si="22"/>
        <v>-3.0069673634030028E-2</v>
      </c>
      <c r="O327" s="1">
        <v>44678</v>
      </c>
      <c r="P327">
        <v>56819.39</v>
      </c>
      <c r="Q327">
        <f t="shared" si="23"/>
        <v>-9.3663136646325706E-3</v>
      </c>
      <c r="R327" s="2">
        <f t="shared" si="24"/>
        <v>-9.3663136646325706E-3</v>
      </c>
    </row>
    <row r="328" spans="1:18" x14ac:dyDescent="0.3">
      <c r="A328" s="1">
        <v>44679</v>
      </c>
      <c r="B328">
        <v>130.9</v>
      </c>
      <c r="C328">
        <f t="shared" si="21"/>
        <v>-1.0207939508506573E-2</v>
      </c>
      <c r="D328" s="2">
        <f t="shared" si="22"/>
        <v>-1.0207939508506573E-2</v>
      </c>
      <c r="O328" s="1">
        <v>44679</v>
      </c>
      <c r="P328">
        <v>57521.06</v>
      </c>
      <c r="Q328">
        <f t="shared" si="23"/>
        <v>1.2349129408112235E-2</v>
      </c>
      <c r="R328" s="2">
        <f t="shared" si="24"/>
        <v>1.2349129408112235E-2</v>
      </c>
    </row>
    <row r="329" spans="1:18" x14ac:dyDescent="0.3">
      <c r="A329" s="1">
        <v>44680</v>
      </c>
      <c r="B329">
        <v>130.75</v>
      </c>
      <c r="C329">
        <f t="shared" si="21"/>
        <v>-1.1459129106188364E-3</v>
      </c>
      <c r="D329" s="2">
        <f t="shared" si="22"/>
        <v>-1.1459129106188364E-3</v>
      </c>
      <c r="O329" s="1">
        <v>44680</v>
      </c>
      <c r="P329">
        <v>57060.87</v>
      </c>
      <c r="Q329">
        <f t="shared" si="23"/>
        <v>-8.0003741238425553E-3</v>
      </c>
      <c r="R329" s="2">
        <f t="shared" si="24"/>
        <v>-8.0003741238425553E-3</v>
      </c>
    </row>
    <row r="330" spans="1:18" x14ac:dyDescent="0.3">
      <c r="A330" s="1">
        <v>44683</v>
      </c>
      <c r="B330">
        <v>126.1</v>
      </c>
      <c r="C330">
        <f t="shared" si="21"/>
        <v>-3.5564053537284937E-2</v>
      </c>
      <c r="D330" s="2">
        <f t="shared" si="22"/>
        <v>-3.5564053537284937E-2</v>
      </c>
      <c r="O330" s="1">
        <v>44683</v>
      </c>
      <c r="P330">
        <v>56975.99</v>
      </c>
      <c r="Q330">
        <f t="shared" si="23"/>
        <v>-1.4875342769923531E-3</v>
      </c>
      <c r="R330" s="2">
        <f t="shared" si="24"/>
        <v>-1.4875342769923531E-3</v>
      </c>
    </row>
    <row r="331" spans="1:18" x14ac:dyDescent="0.3">
      <c r="A331" s="1">
        <v>44685</v>
      </c>
      <c r="B331">
        <v>120.75</v>
      </c>
      <c r="C331">
        <f t="shared" si="21"/>
        <v>-4.2426645519428985E-2</v>
      </c>
      <c r="D331" s="2">
        <f t="shared" si="22"/>
        <v>-4.2426645519428985E-2</v>
      </c>
      <c r="O331" s="1">
        <v>44685</v>
      </c>
      <c r="P331">
        <v>55669.03</v>
      </c>
      <c r="Q331">
        <f t="shared" si="23"/>
        <v>-2.2938785267267829E-2</v>
      </c>
      <c r="R331" s="2">
        <f t="shared" si="24"/>
        <v>-2.2938785267267829E-2</v>
      </c>
    </row>
    <row r="332" spans="1:18" x14ac:dyDescent="0.3">
      <c r="A332" s="1">
        <v>44686</v>
      </c>
      <c r="B332">
        <v>126.65</v>
      </c>
      <c r="C332">
        <f t="shared" si="21"/>
        <v>4.8861283643892389E-2</v>
      </c>
      <c r="D332" s="2">
        <f t="shared" si="22"/>
        <v>4.8861283643892389E-2</v>
      </c>
      <c r="O332" s="1">
        <v>44686</v>
      </c>
      <c r="P332">
        <v>55702.23</v>
      </c>
      <c r="Q332">
        <f t="shared" si="23"/>
        <v>5.9638186618312489E-4</v>
      </c>
      <c r="R332" s="2">
        <f t="shared" si="24"/>
        <v>5.9638186618312489E-4</v>
      </c>
    </row>
    <row r="333" spans="1:18" x14ac:dyDescent="0.3">
      <c r="A333" s="1">
        <v>44687</v>
      </c>
      <c r="B333">
        <v>123.65</v>
      </c>
      <c r="C333">
        <f t="shared" si="21"/>
        <v>-2.3687327279905249E-2</v>
      </c>
      <c r="D333" s="2">
        <f t="shared" si="22"/>
        <v>-2.3687327279905249E-2</v>
      </c>
      <c r="O333" s="1">
        <v>44687</v>
      </c>
      <c r="P333">
        <v>54835.58</v>
      </c>
      <c r="Q333">
        <f t="shared" si="23"/>
        <v>-1.5558623056922521E-2</v>
      </c>
      <c r="R333" s="2">
        <f t="shared" si="24"/>
        <v>-1.5558623056922521E-2</v>
      </c>
    </row>
    <row r="334" spans="1:18" x14ac:dyDescent="0.3">
      <c r="A334" s="1">
        <v>44690</v>
      </c>
      <c r="B334">
        <v>121.1</v>
      </c>
      <c r="C334">
        <f t="shared" si="21"/>
        <v>-2.0622725434694792E-2</v>
      </c>
      <c r="D334" s="2">
        <f t="shared" si="22"/>
        <v>-2.0622725434694792E-2</v>
      </c>
      <c r="O334" s="1">
        <v>44690</v>
      </c>
      <c r="P334">
        <v>54470.67</v>
      </c>
      <c r="Q334">
        <f t="shared" si="23"/>
        <v>-6.6546209596032996E-3</v>
      </c>
      <c r="R334" s="2">
        <f t="shared" si="24"/>
        <v>-6.6546209596032996E-3</v>
      </c>
    </row>
    <row r="335" spans="1:18" x14ac:dyDescent="0.3">
      <c r="A335" s="1">
        <v>44691</v>
      </c>
      <c r="B335">
        <v>115.9</v>
      </c>
      <c r="C335">
        <f t="shared" si="21"/>
        <v>-4.2939719240297186E-2</v>
      </c>
      <c r="D335" s="2">
        <f t="shared" si="22"/>
        <v>-4.2939719240297186E-2</v>
      </c>
      <c r="O335" s="1">
        <v>44691</v>
      </c>
      <c r="P335">
        <v>54364.85</v>
      </c>
      <c r="Q335">
        <f t="shared" si="23"/>
        <v>-1.9426968678740268E-3</v>
      </c>
      <c r="R335" s="2">
        <f t="shared" si="24"/>
        <v>-1.9426968678740268E-3</v>
      </c>
    </row>
    <row r="336" spans="1:18" x14ac:dyDescent="0.3">
      <c r="A336" s="1">
        <v>44692</v>
      </c>
      <c r="B336">
        <v>110.8</v>
      </c>
      <c r="C336">
        <f t="shared" si="21"/>
        <v>-4.4003451251078587E-2</v>
      </c>
      <c r="D336" s="2">
        <f t="shared" si="22"/>
        <v>-4.4003451251078587E-2</v>
      </c>
      <c r="O336" s="1">
        <v>44692</v>
      </c>
      <c r="P336">
        <v>54088.39</v>
      </c>
      <c r="Q336">
        <f t="shared" si="23"/>
        <v>-5.0852710896838512E-3</v>
      </c>
      <c r="R336" s="2">
        <f t="shared" si="24"/>
        <v>-5.0852710896838512E-3</v>
      </c>
    </row>
    <row r="337" spans="1:18" x14ac:dyDescent="0.3">
      <c r="A337" s="1">
        <v>44693</v>
      </c>
      <c r="B337">
        <v>105.3</v>
      </c>
      <c r="C337">
        <f t="shared" si="21"/>
        <v>-4.9638989169675095E-2</v>
      </c>
      <c r="D337" s="2">
        <f t="shared" si="22"/>
        <v>-4.9638989169675095E-2</v>
      </c>
      <c r="O337" s="1">
        <v>44693</v>
      </c>
      <c r="P337">
        <v>52930.31</v>
      </c>
      <c r="Q337">
        <f t="shared" si="23"/>
        <v>-2.1410879488185944E-2</v>
      </c>
      <c r="R337" s="2">
        <f t="shared" si="24"/>
        <v>-2.1410879488185944E-2</v>
      </c>
    </row>
    <row r="338" spans="1:18" x14ac:dyDescent="0.3">
      <c r="A338" s="1">
        <v>44694</v>
      </c>
      <c r="B338">
        <v>110.15</v>
      </c>
      <c r="C338">
        <f t="shared" si="21"/>
        <v>4.6058879392212808E-2</v>
      </c>
      <c r="D338" s="2">
        <f t="shared" si="22"/>
        <v>4.6058879392212808E-2</v>
      </c>
      <c r="O338" s="1">
        <v>44694</v>
      </c>
      <c r="P338">
        <v>52793.62</v>
      </c>
      <c r="Q338">
        <f t="shared" si="23"/>
        <v>-2.5824522849005617E-3</v>
      </c>
      <c r="R338" s="2">
        <f t="shared" si="24"/>
        <v>-2.5824522849005617E-3</v>
      </c>
    </row>
    <row r="339" spans="1:18" x14ac:dyDescent="0.3">
      <c r="A339" s="1">
        <v>44697</v>
      </c>
      <c r="B339">
        <v>112.75</v>
      </c>
      <c r="C339">
        <f t="shared" si="21"/>
        <v>2.3604176123467945E-2</v>
      </c>
      <c r="D339" s="2">
        <f t="shared" si="22"/>
        <v>2.3604176123467945E-2</v>
      </c>
      <c r="O339" s="1">
        <v>44697</v>
      </c>
      <c r="P339">
        <v>52973.84</v>
      </c>
      <c r="Q339">
        <f t="shared" si="23"/>
        <v>3.4136700608898172E-3</v>
      </c>
      <c r="R339" s="2">
        <f t="shared" si="24"/>
        <v>3.4136700608898172E-3</v>
      </c>
    </row>
    <row r="340" spans="1:18" x14ac:dyDescent="0.3">
      <c r="A340" s="1">
        <v>44698</v>
      </c>
      <c r="B340">
        <v>115.8</v>
      </c>
      <c r="C340">
        <f t="shared" si="21"/>
        <v>2.7050997782705075E-2</v>
      </c>
      <c r="D340" s="2">
        <f t="shared" si="22"/>
        <v>2.7050997782705075E-2</v>
      </c>
      <c r="O340" s="1">
        <v>44698</v>
      </c>
      <c r="P340">
        <v>54318.47</v>
      </c>
      <c r="Q340">
        <f t="shared" si="23"/>
        <v>2.5382905977743068E-2</v>
      </c>
      <c r="R340" s="2">
        <f t="shared" si="24"/>
        <v>2.5382905977743068E-2</v>
      </c>
    </row>
    <row r="341" spans="1:18" x14ac:dyDescent="0.3">
      <c r="A341" s="1">
        <v>44699</v>
      </c>
      <c r="B341">
        <v>119.6</v>
      </c>
      <c r="C341">
        <f t="shared" si="21"/>
        <v>3.2815198618307402E-2</v>
      </c>
      <c r="D341" s="2">
        <f t="shared" si="22"/>
        <v>3.2815198618307402E-2</v>
      </c>
      <c r="O341" s="1">
        <v>44699</v>
      </c>
      <c r="P341">
        <v>54208.53</v>
      </c>
      <c r="Q341">
        <f t="shared" si="23"/>
        <v>-2.0239892618478085E-3</v>
      </c>
      <c r="R341" s="2">
        <f t="shared" si="24"/>
        <v>-2.0239892618478085E-3</v>
      </c>
    </row>
    <row r="342" spans="1:18" x14ac:dyDescent="0.3">
      <c r="A342" s="1">
        <v>44700</v>
      </c>
      <c r="B342">
        <v>120.8</v>
      </c>
      <c r="C342">
        <f t="shared" si="21"/>
        <v>1.0033444816053536E-2</v>
      </c>
      <c r="D342" s="2">
        <f t="shared" si="22"/>
        <v>1.0033444816053536E-2</v>
      </c>
      <c r="O342" s="1">
        <v>44700</v>
      </c>
      <c r="P342">
        <v>52792.23</v>
      </c>
      <c r="Q342">
        <f t="shared" si="23"/>
        <v>-2.6126884458958687E-2</v>
      </c>
      <c r="R342" s="2">
        <f t="shared" si="24"/>
        <v>-2.6126884458958687E-2</v>
      </c>
    </row>
    <row r="343" spans="1:18" x14ac:dyDescent="0.3">
      <c r="A343" s="1">
        <v>44701</v>
      </c>
      <c r="B343">
        <v>124.7</v>
      </c>
      <c r="C343">
        <f t="shared" si="21"/>
        <v>3.2284768211920577E-2</v>
      </c>
      <c r="D343" s="2">
        <f t="shared" si="22"/>
        <v>3.2284768211920577E-2</v>
      </c>
      <c r="O343" s="1">
        <v>44701</v>
      </c>
      <c r="P343">
        <v>54326.39</v>
      </c>
      <c r="Q343">
        <f t="shared" si="23"/>
        <v>2.906033709884951E-2</v>
      </c>
      <c r="R343" s="2">
        <f t="shared" si="24"/>
        <v>2.906033709884951E-2</v>
      </c>
    </row>
    <row r="344" spans="1:18" x14ac:dyDescent="0.3">
      <c r="A344" s="1">
        <v>44704</v>
      </c>
      <c r="B344">
        <v>121</v>
      </c>
      <c r="C344">
        <f t="shared" si="21"/>
        <v>-2.967121090617484E-2</v>
      </c>
      <c r="D344" s="2">
        <f t="shared" si="22"/>
        <v>-2.967121090617484E-2</v>
      </c>
      <c r="O344" s="1">
        <v>44704</v>
      </c>
      <c r="P344">
        <v>54288.61</v>
      </c>
      <c r="Q344">
        <f t="shared" si="23"/>
        <v>-6.9542629282009789E-4</v>
      </c>
      <c r="R344" s="2">
        <f t="shared" si="24"/>
        <v>-6.9542629282009789E-4</v>
      </c>
    </row>
    <row r="345" spans="1:18" x14ac:dyDescent="0.3">
      <c r="A345" s="1">
        <v>44705</v>
      </c>
      <c r="B345">
        <v>120.15</v>
      </c>
      <c r="C345">
        <f t="shared" si="21"/>
        <v>-7.0247933884297047E-3</v>
      </c>
      <c r="D345" s="2">
        <f t="shared" si="22"/>
        <v>-7.0247933884297047E-3</v>
      </c>
      <c r="O345" s="1">
        <v>44705</v>
      </c>
      <c r="P345">
        <v>54052.61</v>
      </c>
      <c r="Q345">
        <f t="shared" si="23"/>
        <v>-4.3471365356379538E-3</v>
      </c>
      <c r="R345" s="2">
        <f t="shared" si="24"/>
        <v>-4.3471365356379538E-3</v>
      </c>
    </row>
    <row r="346" spans="1:18" x14ac:dyDescent="0.3">
      <c r="A346" s="1">
        <v>44706</v>
      </c>
      <c r="B346">
        <v>114.15</v>
      </c>
      <c r="C346">
        <f t="shared" si="21"/>
        <v>-4.9937578027465665E-2</v>
      </c>
      <c r="D346" s="2">
        <f t="shared" si="22"/>
        <v>-4.9937578027465665E-2</v>
      </c>
      <c r="O346" s="1">
        <v>44706</v>
      </c>
      <c r="P346">
        <v>53749.26</v>
      </c>
      <c r="Q346">
        <f t="shared" si="23"/>
        <v>-5.6121249279174222E-3</v>
      </c>
      <c r="R346" s="2">
        <f t="shared" si="24"/>
        <v>-5.6121249279174222E-3</v>
      </c>
    </row>
    <row r="347" spans="1:18" x14ac:dyDescent="0.3">
      <c r="A347" s="1">
        <v>44707</v>
      </c>
      <c r="B347">
        <v>115.3</v>
      </c>
      <c r="C347">
        <f t="shared" si="21"/>
        <v>1.007446342531749E-2</v>
      </c>
      <c r="D347" s="2">
        <f t="shared" si="22"/>
        <v>1.007446342531749E-2</v>
      </c>
      <c r="O347" s="1">
        <v>44707</v>
      </c>
      <c r="P347">
        <v>54252.53</v>
      </c>
      <c r="Q347">
        <f t="shared" si="23"/>
        <v>9.3632916992717075E-3</v>
      </c>
      <c r="R347" s="2">
        <f t="shared" si="24"/>
        <v>9.3632916992717075E-3</v>
      </c>
    </row>
    <row r="348" spans="1:18" x14ac:dyDescent="0.3">
      <c r="A348" s="1">
        <v>44708</v>
      </c>
      <c r="B348">
        <v>117.95</v>
      </c>
      <c r="C348">
        <f t="shared" si="21"/>
        <v>2.2983521248915922E-2</v>
      </c>
      <c r="D348" s="2">
        <f t="shared" si="22"/>
        <v>2.2983521248915922E-2</v>
      </c>
      <c r="O348" s="1">
        <v>44708</v>
      </c>
      <c r="P348">
        <v>54884.66</v>
      </c>
      <c r="Q348">
        <f t="shared" si="23"/>
        <v>1.1651622514194354E-2</v>
      </c>
      <c r="R348" s="2">
        <f t="shared" si="24"/>
        <v>1.1651622514194354E-2</v>
      </c>
    </row>
    <row r="349" spans="1:18" x14ac:dyDescent="0.3">
      <c r="A349" s="1">
        <v>44711</v>
      </c>
      <c r="B349">
        <v>122.3</v>
      </c>
      <c r="C349">
        <f t="shared" si="21"/>
        <v>3.688003391267481E-2</v>
      </c>
      <c r="D349" s="2">
        <f t="shared" si="22"/>
        <v>3.688003391267481E-2</v>
      </c>
      <c r="O349" s="1">
        <v>44711</v>
      </c>
      <c r="P349">
        <v>55925.74</v>
      </c>
      <c r="Q349">
        <f t="shared" si="23"/>
        <v>1.8968505954122597E-2</v>
      </c>
      <c r="R349" s="2">
        <f t="shared" si="24"/>
        <v>1.8968505954122597E-2</v>
      </c>
    </row>
    <row r="350" spans="1:18" x14ac:dyDescent="0.3">
      <c r="A350" s="1">
        <v>44712</v>
      </c>
      <c r="B350">
        <v>121.25</v>
      </c>
      <c r="C350">
        <f t="shared" si="21"/>
        <v>-8.5854456255110151E-3</v>
      </c>
      <c r="D350" s="2">
        <f t="shared" si="22"/>
        <v>-8.5854456255110151E-3</v>
      </c>
      <c r="O350" s="1">
        <v>44712</v>
      </c>
      <c r="P350">
        <v>55566.41</v>
      </c>
      <c r="Q350">
        <f t="shared" si="23"/>
        <v>-6.4251273206218547E-3</v>
      </c>
      <c r="R350" s="2">
        <f t="shared" si="24"/>
        <v>-6.4251273206218547E-3</v>
      </c>
    </row>
    <row r="351" spans="1:18" x14ac:dyDescent="0.3">
      <c r="A351" s="1">
        <v>44713</v>
      </c>
      <c r="B351">
        <v>118.2</v>
      </c>
      <c r="C351">
        <f t="shared" si="21"/>
        <v>-2.5154639175257707E-2</v>
      </c>
      <c r="D351" s="2">
        <f t="shared" si="22"/>
        <v>-2.5154639175257707E-2</v>
      </c>
      <c r="O351" s="1">
        <v>44713</v>
      </c>
      <c r="P351">
        <v>55381.17</v>
      </c>
      <c r="Q351">
        <f t="shared" si="23"/>
        <v>-3.3336686678157763E-3</v>
      </c>
      <c r="R351" s="2">
        <f t="shared" si="24"/>
        <v>-3.3336686678157763E-3</v>
      </c>
    </row>
    <row r="352" spans="1:18" x14ac:dyDescent="0.3">
      <c r="A352" s="1">
        <v>44714</v>
      </c>
      <c r="B352">
        <v>118.9</v>
      </c>
      <c r="C352">
        <f t="shared" si="21"/>
        <v>5.9221658206430015E-3</v>
      </c>
      <c r="D352" s="2">
        <f t="shared" si="22"/>
        <v>5.9221658206430015E-3</v>
      </c>
      <c r="O352" s="1">
        <v>44714</v>
      </c>
      <c r="P352">
        <v>55818.11</v>
      </c>
      <c r="Q352">
        <f t="shared" si="23"/>
        <v>7.8896852486143275E-3</v>
      </c>
      <c r="R352" s="2">
        <f t="shared" si="24"/>
        <v>7.8896852486143275E-3</v>
      </c>
    </row>
    <row r="353" spans="1:18" x14ac:dyDescent="0.3">
      <c r="A353" s="1">
        <v>44715</v>
      </c>
      <c r="B353">
        <v>119.55</v>
      </c>
      <c r="C353">
        <f t="shared" si="21"/>
        <v>5.4667788057190195E-3</v>
      </c>
      <c r="D353" s="2">
        <f t="shared" si="22"/>
        <v>5.4667788057190195E-3</v>
      </c>
      <c r="O353" s="1">
        <v>44715</v>
      </c>
      <c r="P353">
        <v>55769.23</v>
      </c>
      <c r="Q353">
        <f t="shared" si="23"/>
        <v>-8.7570145244970454E-4</v>
      </c>
      <c r="R353" s="2">
        <f t="shared" si="24"/>
        <v>-8.7570145244970454E-4</v>
      </c>
    </row>
    <row r="354" spans="1:18" x14ac:dyDescent="0.3">
      <c r="A354" s="1">
        <v>44718</v>
      </c>
      <c r="B354">
        <v>117.4</v>
      </c>
      <c r="C354">
        <f t="shared" si="21"/>
        <v>-1.7984107068172241E-2</v>
      </c>
      <c r="D354" s="2">
        <f t="shared" si="22"/>
        <v>-1.7984107068172241E-2</v>
      </c>
      <c r="O354" s="1">
        <v>44718</v>
      </c>
      <c r="P354">
        <v>55675.32</v>
      </c>
      <c r="Q354">
        <f t="shared" si="23"/>
        <v>-1.6839034715021794E-3</v>
      </c>
      <c r="R354" s="2">
        <f t="shared" si="24"/>
        <v>-1.6839034715021794E-3</v>
      </c>
    </row>
    <row r="355" spans="1:18" x14ac:dyDescent="0.3">
      <c r="A355" s="1">
        <v>44719</v>
      </c>
      <c r="B355">
        <v>118.1</v>
      </c>
      <c r="C355">
        <f t="shared" si="21"/>
        <v>5.9625212947188129E-3</v>
      </c>
      <c r="D355" s="2">
        <f t="shared" si="22"/>
        <v>5.9625212947188129E-3</v>
      </c>
      <c r="O355" s="1">
        <v>44719</v>
      </c>
      <c r="P355">
        <v>55107.34</v>
      </c>
      <c r="Q355">
        <f t="shared" si="23"/>
        <v>-1.0201647695963009E-2</v>
      </c>
      <c r="R355" s="2">
        <f t="shared" si="24"/>
        <v>-1.0201647695963009E-2</v>
      </c>
    </row>
    <row r="356" spans="1:18" x14ac:dyDescent="0.3">
      <c r="A356" s="1">
        <v>44720</v>
      </c>
      <c r="B356">
        <v>115.8</v>
      </c>
      <c r="C356">
        <f t="shared" si="21"/>
        <v>-1.9475021168501246E-2</v>
      </c>
      <c r="D356" s="2">
        <f t="shared" si="22"/>
        <v>-1.9475021168501246E-2</v>
      </c>
      <c r="O356" s="1">
        <v>44720</v>
      </c>
      <c r="P356">
        <v>54892.49</v>
      </c>
      <c r="Q356">
        <f t="shared" si="23"/>
        <v>-3.8987546849475687E-3</v>
      </c>
      <c r="R356" s="2">
        <f t="shared" si="24"/>
        <v>-3.8987546849475687E-3</v>
      </c>
    </row>
    <row r="357" spans="1:18" x14ac:dyDescent="0.3">
      <c r="A357" s="1">
        <v>44721</v>
      </c>
      <c r="B357">
        <v>114.65</v>
      </c>
      <c r="C357">
        <f t="shared" si="21"/>
        <v>-9.9309153713298057E-3</v>
      </c>
      <c r="D357" s="2">
        <f t="shared" si="22"/>
        <v>-9.9309153713298057E-3</v>
      </c>
      <c r="O357" s="1">
        <v>44721</v>
      </c>
      <c r="P357">
        <v>55320.28</v>
      </c>
      <c r="Q357">
        <f t="shared" si="23"/>
        <v>7.7932336463512747E-3</v>
      </c>
      <c r="R357" s="2">
        <f t="shared" si="24"/>
        <v>7.7932336463512747E-3</v>
      </c>
    </row>
    <row r="358" spans="1:18" x14ac:dyDescent="0.3">
      <c r="A358" s="1">
        <v>44722</v>
      </c>
      <c r="B358">
        <v>112.9</v>
      </c>
      <c r="C358">
        <f t="shared" si="21"/>
        <v>-1.5263846489315306E-2</v>
      </c>
      <c r="D358" s="2">
        <f t="shared" si="22"/>
        <v>-1.5263846489315306E-2</v>
      </c>
      <c r="O358" s="1">
        <v>44722</v>
      </c>
      <c r="P358">
        <v>54303.44</v>
      </c>
      <c r="Q358">
        <f t="shared" si="23"/>
        <v>-1.8380962641548388E-2</v>
      </c>
      <c r="R358" s="2">
        <f t="shared" si="24"/>
        <v>-1.8380962641548388E-2</v>
      </c>
    </row>
    <row r="359" spans="1:18" x14ac:dyDescent="0.3">
      <c r="A359" s="1">
        <v>44725</v>
      </c>
      <c r="B359">
        <v>107.9</v>
      </c>
      <c r="C359">
        <f t="shared" si="21"/>
        <v>-4.4286979627989366E-2</v>
      </c>
      <c r="D359" s="2">
        <f t="shared" si="22"/>
        <v>-4.4286979627989366E-2</v>
      </c>
      <c r="O359" s="1">
        <v>44725</v>
      </c>
      <c r="P359">
        <v>52846.7</v>
      </c>
      <c r="Q359">
        <f t="shared" si="23"/>
        <v>-2.6825924840120721E-2</v>
      </c>
      <c r="R359" s="2">
        <f t="shared" si="24"/>
        <v>-2.6825924840120721E-2</v>
      </c>
    </row>
    <row r="360" spans="1:18" x14ac:dyDescent="0.3">
      <c r="A360" s="1">
        <v>44726</v>
      </c>
      <c r="B360">
        <v>111.85</v>
      </c>
      <c r="C360">
        <f t="shared" si="21"/>
        <v>3.6607970342909996E-2</v>
      </c>
      <c r="D360" s="2">
        <f t="shared" si="22"/>
        <v>3.6607970342909996E-2</v>
      </c>
      <c r="O360" s="1">
        <v>44726</v>
      </c>
      <c r="P360">
        <v>52693.57</v>
      </c>
      <c r="Q360">
        <f t="shared" si="23"/>
        <v>-2.8976265310794694E-3</v>
      </c>
      <c r="R360" s="2">
        <f t="shared" si="24"/>
        <v>-2.8976265310794694E-3</v>
      </c>
    </row>
    <row r="361" spans="1:18" x14ac:dyDescent="0.3">
      <c r="A361" s="1">
        <v>44727</v>
      </c>
      <c r="B361">
        <v>111</v>
      </c>
      <c r="C361">
        <f t="shared" si="21"/>
        <v>-7.5994635672775538E-3</v>
      </c>
      <c r="D361" s="2">
        <f t="shared" si="22"/>
        <v>-7.5994635672775538E-3</v>
      </c>
      <c r="O361" s="1">
        <v>44727</v>
      </c>
      <c r="P361">
        <v>52541.39</v>
      </c>
      <c r="Q361">
        <f t="shared" si="23"/>
        <v>-2.8880184052817127E-3</v>
      </c>
      <c r="R361" s="2">
        <f t="shared" si="24"/>
        <v>-2.8880184052817127E-3</v>
      </c>
    </row>
    <row r="362" spans="1:18" x14ac:dyDescent="0.3">
      <c r="A362" s="1">
        <v>44728</v>
      </c>
      <c r="B362">
        <v>107.95</v>
      </c>
      <c r="C362">
        <f t="shared" si="21"/>
        <v>-2.7477477477477454E-2</v>
      </c>
      <c r="D362" s="2">
        <f t="shared" si="22"/>
        <v>-2.7477477477477454E-2</v>
      </c>
      <c r="O362" s="1">
        <v>44728</v>
      </c>
      <c r="P362">
        <v>51495.79</v>
      </c>
      <c r="Q362">
        <f t="shared" si="23"/>
        <v>-1.9900501300022678E-2</v>
      </c>
      <c r="R362" s="2">
        <f t="shared" si="24"/>
        <v>-1.9900501300022678E-2</v>
      </c>
    </row>
    <row r="363" spans="1:18" x14ac:dyDescent="0.3">
      <c r="A363" s="1">
        <v>44729</v>
      </c>
      <c r="B363">
        <v>105.55</v>
      </c>
      <c r="C363">
        <f t="shared" si="21"/>
        <v>-2.2232515053265452E-2</v>
      </c>
      <c r="D363" s="2">
        <f t="shared" si="22"/>
        <v>-2.2232515053265452E-2</v>
      </c>
      <c r="O363" s="1">
        <v>44729</v>
      </c>
      <c r="P363">
        <v>51360.42</v>
      </c>
      <c r="Q363">
        <f t="shared" si="23"/>
        <v>-2.6287585839541955E-3</v>
      </c>
      <c r="R363" s="2">
        <f t="shared" si="24"/>
        <v>-2.6287585839541955E-3</v>
      </c>
    </row>
    <row r="364" spans="1:18" x14ac:dyDescent="0.3">
      <c r="A364" s="1">
        <v>44732</v>
      </c>
      <c r="B364">
        <v>98.1</v>
      </c>
      <c r="C364">
        <f t="shared" si="21"/>
        <v>-7.0582662245381358E-2</v>
      </c>
      <c r="D364" s="2">
        <f t="shared" si="22"/>
        <v>-7.0582662245381358E-2</v>
      </c>
      <c r="O364" s="1">
        <v>44732</v>
      </c>
      <c r="P364">
        <v>51597.84</v>
      </c>
      <c r="Q364">
        <f t="shared" si="23"/>
        <v>4.6226257495557525E-3</v>
      </c>
      <c r="R364" s="2">
        <f t="shared" si="24"/>
        <v>4.6226257495557525E-3</v>
      </c>
    </row>
    <row r="365" spans="1:18" x14ac:dyDescent="0.3">
      <c r="A365" s="1">
        <v>44733</v>
      </c>
      <c r="B365">
        <v>102.85</v>
      </c>
      <c r="C365">
        <f t="shared" si="21"/>
        <v>4.8419979612640163E-2</v>
      </c>
      <c r="D365" s="2">
        <f t="shared" si="22"/>
        <v>4.8419979612640163E-2</v>
      </c>
      <c r="O365" s="1">
        <v>44733</v>
      </c>
      <c r="P365">
        <v>52532.07</v>
      </c>
      <c r="Q365">
        <f t="shared" si="23"/>
        <v>1.810599048332262E-2</v>
      </c>
      <c r="R365" s="2">
        <f t="shared" si="24"/>
        <v>1.810599048332262E-2</v>
      </c>
    </row>
    <row r="366" spans="1:18" x14ac:dyDescent="0.3">
      <c r="A366" s="1">
        <v>44734</v>
      </c>
      <c r="B366">
        <v>101.55</v>
      </c>
      <c r="C366">
        <f t="shared" si="21"/>
        <v>-1.2639766650461811E-2</v>
      </c>
      <c r="D366" s="2">
        <f t="shared" si="22"/>
        <v>-1.2639766650461811E-2</v>
      </c>
      <c r="O366" s="1">
        <v>44734</v>
      </c>
      <c r="P366">
        <v>51822.53</v>
      </c>
      <c r="Q366">
        <f t="shared" si="23"/>
        <v>-1.3506796895686785E-2</v>
      </c>
      <c r="R366" s="2">
        <f t="shared" si="24"/>
        <v>-1.3506796895686785E-2</v>
      </c>
    </row>
    <row r="367" spans="1:18" x14ac:dyDescent="0.3">
      <c r="A367" s="1">
        <v>44735</v>
      </c>
      <c r="B367">
        <v>99.95</v>
      </c>
      <c r="C367">
        <f t="shared" si="21"/>
        <v>-1.5755785327424859E-2</v>
      </c>
      <c r="D367" s="2">
        <f t="shared" si="22"/>
        <v>-1.5755785327424859E-2</v>
      </c>
      <c r="O367" s="1">
        <v>44735</v>
      </c>
      <c r="P367">
        <v>52265.72</v>
      </c>
      <c r="Q367">
        <f t="shared" si="23"/>
        <v>8.5520718498306118E-3</v>
      </c>
      <c r="R367" s="2">
        <f t="shared" si="24"/>
        <v>8.5520718498306118E-3</v>
      </c>
    </row>
    <row r="368" spans="1:18" x14ac:dyDescent="0.3">
      <c r="A368" s="1">
        <v>44736</v>
      </c>
      <c r="B368">
        <v>101.75</v>
      </c>
      <c r="C368">
        <f t="shared" si="21"/>
        <v>1.8009004502251097E-2</v>
      </c>
      <c r="D368" s="2">
        <f t="shared" si="22"/>
        <v>1.8009004502251097E-2</v>
      </c>
      <c r="O368" s="1">
        <v>44736</v>
      </c>
      <c r="P368">
        <v>52727.98</v>
      </c>
      <c r="Q368">
        <f t="shared" si="23"/>
        <v>8.844420396389871E-3</v>
      </c>
      <c r="R368" s="2">
        <f t="shared" si="24"/>
        <v>8.844420396389871E-3</v>
      </c>
    </row>
    <row r="369" spans="1:18" x14ac:dyDescent="0.3">
      <c r="A369" s="1">
        <v>44739</v>
      </c>
      <c r="B369">
        <v>103.95</v>
      </c>
      <c r="C369">
        <f t="shared" si="21"/>
        <v>2.1621621621621651E-2</v>
      </c>
      <c r="D369" s="2">
        <f t="shared" si="22"/>
        <v>2.1621621621621651E-2</v>
      </c>
      <c r="O369" s="1">
        <v>44739</v>
      </c>
      <c r="P369">
        <v>53161.279999999999</v>
      </c>
      <c r="Q369">
        <f t="shared" si="23"/>
        <v>8.2176483908542597E-3</v>
      </c>
      <c r="R369" s="2">
        <f t="shared" si="24"/>
        <v>8.2176483908542597E-3</v>
      </c>
    </row>
    <row r="370" spans="1:18" x14ac:dyDescent="0.3">
      <c r="A370" s="1">
        <v>44740</v>
      </c>
      <c r="B370">
        <v>104.35</v>
      </c>
      <c r="C370">
        <f t="shared" si="21"/>
        <v>3.8480038480037657E-3</v>
      </c>
      <c r="D370" s="2">
        <f t="shared" si="22"/>
        <v>3.8480038480037657E-3</v>
      </c>
      <c r="O370" s="1">
        <v>44740</v>
      </c>
      <c r="P370">
        <v>53177.45</v>
      </c>
      <c r="Q370">
        <f t="shared" si="23"/>
        <v>3.0416874838224838E-4</v>
      </c>
      <c r="R370" s="2">
        <f t="shared" si="24"/>
        <v>3.0416874838224838E-4</v>
      </c>
    </row>
    <row r="371" spans="1:18" x14ac:dyDescent="0.3">
      <c r="A371" s="1">
        <v>44741</v>
      </c>
      <c r="B371">
        <v>104.15</v>
      </c>
      <c r="C371">
        <f t="shared" si="21"/>
        <v>-1.9166267369428716E-3</v>
      </c>
      <c r="D371" s="2">
        <f t="shared" si="22"/>
        <v>-1.9166267369428716E-3</v>
      </c>
      <c r="O371" s="1">
        <v>44741</v>
      </c>
      <c r="P371">
        <v>53026.97</v>
      </c>
      <c r="Q371">
        <f t="shared" si="23"/>
        <v>-2.8297708897285583E-3</v>
      </c>
      <c r="R371" s="2">
        <f t="shared" si="24"/>
        <v>-2.8297708897285583E-3</v>
      </c>
    </row>
    <row r="372" spans="1:18" x14ac:dyDescent="0.3">
      <c r="A372" s="1">
        <v>44742</v>
      </c>
      <c r="B372">
        <v>102.95</v>
      </c>
      <c r="C372">
        <f t="shared" si="21"/>
        <v>-1.152184349495922E-2</v>
      </c>
      <c r="D372" s="2">
        <f t="shared" si="22"/>
        <v>-1.152184349495922E-2</v>
      </c>
      <c r="O372" s="1">
        <v>44742</v>
      </c>
      <c r="P372">
        <v>53018.94</v>
      </c>
      <c r="Q372">
        <f t="shared" si="23"/>
        <v>-1.514323748839286E-4</v>
      </c>
      <c r="R372" s="2">
        <f t="shared" si="24"/>
        <v>-1.514323748839286E-4</v>
      </c>
    </row>
    <row r="373" spans="1:18" x14ac:dyDescent="0.3">
      <c r="A373" s="1">
        <v>44743</v>
      </c>
      <c r="B373">
        <v>103.75</v>
      </c>
      <c r="C373">
        <f t="shared" si="21"/>
        <v>7.7707625060708801E-3</v>
      </c>
      <c r="D373" s="2">
        <f t="shared" si="22"/>
        <v>7.7707625060708801E-3</v>
      </c>
      <c r="O373" s="1">
        <v>44743</v>
      </c>
      <c r="P373">
        <v>52907.93</v>
      </c>
      <c r="Q373">
        <f t="shared" si="23"/>
        <v>-2.0937800718007949E-3</v>
      </c>
      <c r="R373" s="2">
        <f t="shared" si="24"/>
        <v>-2.0937800718007949E-3</v>
      </c>
    </row>
    <row r="374" spans="1:18" x14ac:dyDescent="0.3">
      <c r="A374" s="1">
        <v>44746</v>
      </c>
      <c r="B374">
        <v>110.1</v>
      </c>
      <c r="C374">
        <f t="shared" si="21"/>
        <v>6.1204819277108378E-2</v>
      </c>
      <c r="D374" s="2">
        <f t="shared" si="22"/>
        <v>6.1204819277108378E-2</v>
      </c>
      <c r="O374" s="1">
        <v>44746</v>
      </c>
      <c r="P374">
        <v>53234.77</v>
      </c>
      <c r="Q374">
        <f t="shared" si="23"/>
        <v>6.1775238607898004E-3</v>
      </c>
      <c r="R374" s="2">
        <f t="shared" si="24"/>
        <v>6.1775238607898004E-3</v>
      </c>
    </row>
    <row r="375" spans="1:18" x14ac:dyDescent="0.3">
      <c r="A375" s="1">
        <v>44747</v>
      </c>
      <c r="B375">
        <v>111.6</v>
      </c>
      <c r="C375">
        <f t="shared" si="21"/>
        <v>1.3623978201634877E-2</v>
      </c>
      <c r="D375" s="2">
        <f t="shared" si="22"/>
        <v>1.3623978201634877E-2</v>
      </c>
      <c r="O375" s="1">
        <v>44747</v>
      </c>
      <c r="P375">
        <v>53134.35</v>
      </c>
      <c r="Q375">
        <f t="shared" si="23"/>
        <v>-1.8863611132347948E-3</v>
      </c>
      <c r="R375" s="2">
        <f t="shared" si="24"/>
        <v>-1.8863611132347948E-3</v>
      </c>
    </row>
    <row r="376" spans="1:18" x14ac:dyDescent="0.3">
      <c r="A376" s="1">
        <v>44748</v>
      </c>
      <c r="B376">
        <v>109.55</v>
      </c>
      <c r="C376">
        <f t="shared" si="21"/>
        <v>-1.8369175627240119E-2</v>
      </c>
      <c r="D376" s="2">
        <f t="shared" si="22"/>
        <v>-1.8369175627240119E-2</v>
      </c>
      <c r="O376" s="1">
        <v>44748</v>
      </c>
      <c r="P376">
        <v>53750.97</v>
      </c>
      <c r="Q376">
        <f t="shared" si="23"/>
        <v>1.1604922239568239E-2</v>
      </c>
      <c r="R376" s="2">
        <f t="shared" si="24"/>
        <v>1.1604922239568239E-2</v>
      </c>
    </row>
    <row r="377" spans="1:18" x14ac:dyDescent="0.3">
      <c r="A377" s="1">
        <v>44749</v>
      </c>
      <c r="B377">
        <v>111.25</v>
      </c>
      <c r="C377">
        <f t="shared" si="21"/>
        <v>1.5518028297581039E-2</v>
      </c>
      <c r="D377" s="2">
        <f t="shared" si="22"/>
        <v>1.5518028297581039E-2</v>
      </c>
      <c r="O377" s="1">
        <v>44749</v>
      </c>
      <c r="P377">
        <v>54178.46</v>
      </c>
      <c r="Q377">
        <f t="shared" si="23"/>
        <v>7.9531587988086166E-3</v>
      </c>
      <c r="R377" s="2">
        <f t="shared" si="24"/>
        <v>7.9531587988086166E-3</v>
      </c>
    </row>
    <row r="378" spans="1:18" x14ac:dyDescent="0.3">
      <c r="A378" s="1">
        <v>44750</v>
      </c>
      <c r="B378">
        <v>112</v>
      </c>
      <c r="C378">
        <f t="shared" si="21"/>
        <v>6.7415730337078653E-3</v>
      </c>
      <c r="D378" s="2">
        <f t="shared" si="22"/>
        <v>6.7415730337078653E-3</v>
      </c>
      <c r="O378" s="1">
        <v>44750</v>
      </c>
      <c r="P378">
        <v>54481.84</v>
      </c>
      <c r="Q378">
        <f t="shared" si="23"/>
        <v>5.599642367095657E-3</v>
      </c>
      <c r="R378" s="2">
        <f t="shared" si="24"/>
        <v>5.599642367095657E-3</v>
      </c>
    </row>
    <row r="379" spans="1:18" x14ac:dyDescent="0.3">
      <c r="A379" s="1">
        <v>44753</v>
      </c>
      <c r="B379">
        <v>111.35</v>
      </c>
      <c r="C379">
        <f t="shared" si="21"/>
        <v>-5.8035714285714791E-3</v>
      </c>
      <c r="D379" s="2">
        <f t="shared" si="22"/>
        <v>-5.8035714285714791E-3</v>
      </c>
      <c r="O379" s="1">
        <v>44753</v>
      </c>
      <c r="P379">
        <v>54395.23</v>
      </c>
      <c r="Q379">
        <f t="shared" si="23"/>
        <v>-1.5897040188068779E-3</v>
      </c>
      <c r="R379" s="2">
        <f t="shared" si="24"/>
        <v>-1.5897040188068779E-3</v>
      </c>
    </row>
    <row r="380" spans="1:18" x14ac:dyDescent="0.3">
      <c r="A380" s="1">
        <v>44754</v>
      </c>
      <c r="B380">
        <v>108.1</v>
      </c>
      <c r="C380">
        <f t="shared" si="21"/>
        <v>-2.918724741805119E-2</v>
      </c>
      <c r="D380" s="2">
        <f t="shared" si="22"/>
        <v>-2.918724741805119E-2</v>
      </c>
      <c r="O380" s="1">
        <v>44754</v>
      </c>
      <c r="P380">
        <v>53886.61</v>
      </c>
      <c r="Q380">
        <f t="shared" si="23"/>
        <v>-9.350452236345036E-3</v>
      </c>
      <c r="R380" s="2">
        <f t="shared" si="24"/>
        <v>-9.350452236345036E-3</v>
      </c>
    </row>
    <row r="381" spans="1:18" x14ac:dyDescent="0.3">
      <c r="A381" s="1">
        <v>44755</v>
      </c>
      <c r="B381">
        <v>107.95</v>
      </c>
      <c r="C381">
        <f t="shared" si="21"/>
        <v>-1.3876040703051941E-3</v>
      </c>
      <c r="D381" s="2">
        <f t="shared" si="22"/>
        <v>-1.3876040703051941E-3</v>
      </c>
      <c r="O381" s="1">
        <v>44755</v>
      </c>
      <c r="P381">
        <v>53514.15</v>
      </c>
      <c r="Q381">
        <f t="shared" si="23"/>
        <v>-6.9119211618619012E-3</v>
      </c>
      <c r="R381" s="2">
        <f t="shared" si="24"/>
        <v>-6.9119211618619012E-3</v>
      </c>
    </row>
    <row r="382" spans="1:18" x14ac:dyDescent="0.3">
      <c r="A382" s="1">
        <v>44756</v>
      </c>
      <c r="B382">
        <v>109.4</v>
      </c>
      <c r="C382">
        <f t="shared" si="21"/>
        <v>1.3432144511347872E-2</v>
      </c>
      <c r="D382" s="2">
        <f t="shared" si="22"/>
        <v>1.3432144511347872E-2</v>
      </c>
      <c r="O382" s="1">
        <v>44756</v>
      </c>
      <c r="P382">
        <v>53416.15</v>
      </c>
      <c r="Q382">
        <f t="shared" si="23"/>
        <v>-1.8312913500448012E-3</v>
      </c>
      <c r="R382" s="2">
        <f t="shared" si="24"/>
        <v>-1.8312913500448012E-3</v>
      </c>
    </row>
    <row r="383" spans="1:18" x14ac:dyDescent="0.3">
      <c r="A383" s="1">
        <v>44757</v>
      </c>
      <c r="B383">
        <v>110.65</v>
      </c>
      <c r="C383">
        <f t="shared" si="21"/>
        <v>1.1425959780621572E-2</v>
      </c>
      <c r="D383" s="2">
        <f t="shared" si="22"/>
        <v>1.1425959780621572E-2</v>
      </c>
      <c r="O383" s="1">
        <v>44757</v>
      </c>
      <c r="P383">
        <v>53760.78</v>
      </c>
      <c r="Q383">
        <f t="shared" si="23"/>
        <v>6.4517940735151708E-3</v>
      </c>
      <c r="R383" s="2">
        <f t="shared" si="24"/>
        <v>6.4517940735151708E-3</v>
      </c>
    </row>
    <row r="384" spans="1:18" x14ac:dyDescent="0.3">
      <c r="A384" s="1">
        <v>44760</v>
      </c>
      <c r="B384">
        <v>115.45</v>
      </c>
      <c r="C384">
        <f t="shared" si="21"/>
        <v>4.3380027112516914E-2</v>
      </c>
      <c r="D384" s="2">
        <f t="shared" si="22"/>
        <v>4.3380027112516914E-2</v>
      </c>
      <c r="O384" s="1">
        <v>44760</v>
      </c>
      <c r="P384">
        <v>54521.15</v>
      </c>
      <c r="Q384">
        <f t="shared" si="23"/>
        <v>1.4143581994160104E-2</v>
      </c>
      <c r="R384" s="2">
        <f t="shared" si="24"/>
        <v>1.4143581994160104E-2</v>
      </c>
    </row>
    <row r="385" spans="1:18" x14ac:dyDescent="0.3">
      <c r="A385" s="1">
        <v>44761</v>
      </c>
      <c r="B385">
        <v>118.75</v>
      </c>
      <c r="C385">
        <f t="shared" si="21"/>
        <v>2.8583802511909891E-2</v>
      </c>
      <c r="D385" s="2">
        <f t="shared" si="22"/>
        <v>2.8583802511909891E-2</v>
      </c>
      <c r="O385" s="1">
        <v>44761</v>
      </c>
      <c r="P385">
        <v>54767.62</v>
      </c>
      <c r="Q385">
        <f t="shared" si="23"/>
        <v>4.5206309844895267E-3</v>
      </c>
      <c r="R385" s="2">
        <f t="shared" si="24"/>
        <v>4.5206309844895267E-3</v>
      </c>
    </row>
    <row r="386" spans="1:18" x14ac:dyDescent="0.3">
      <c r="A386" s="1">
        <v>44762</v>
      </c>
      <c r="B386">
        <v>116.3</v>
      </c>
      <c r="C386">
        <f t="shared" si="21"/>
        <v>-2.0631578947368445E-2</v>
      </c>
      <c r="D386" s="2">
        <f t="shared" si="22"/>
        <v>-2.0631578947368445E-2</v>
      </c>
      <c r="O386" s="1">
        <v>44762</v>
      </c>
      <c r="P386">
        <v>55397.53</v>
      </c>
      <c r="Q386">
        <f t="shared" si="23"/>
        <v>1.1501503990861684E-2</v>
      </c>
      <c r="R386" s="2">
        <f t="shared" si="24"/>
        <v>1.1501503990861684E-2</v>
      </c>
    </row>
    <row r="387" spans="1:18" x14ac:dyDescent="0.3">
      <c r="A387" s="1">
        <v>44763</v>
      </c>
      <c r="B387">
        <v>123.95</v>
      </c>
      <c r="C387">
        <f t="shared" si="21"/>
        <v>6.5778159931212429E-2</v>
      </c>
      <c r="D387" s="2">
        <f t="shared" si="22"/>
        <v>6.5778159931212429E-2</v>
      </c>
      <c r="O387" s="1">
        <v>44763</v>
      </c>
      <c r="P387">
        <v>55681.95</v>
      </c>
      <c r="Q387">
        <f t="shared" si="23"/>
        <v>5.1341639239149877E-3</v>
      </c>
      <c r="R387" s="2">
        <f t="shared" si="24"/>
        <v>5.1341639239149877E-3</v>
      </c>
    </row>
    <row r="388" spans="1:18" x14ac:dyDescent="0.3">
      <c r="A388" s="1">
        <v>44764</v>
      </c>
      <c r="B388">
        <v>134.4</v>
      </c>
      <c r="C388">
        <f t="shared" ref="C388:C451" si="25">(B388-B387)/B387</f>
        <v>8.430818878580075E-2</v>
      </c>
      <c r="D388" s="2">
        <f t="shared" ref="D388:D451" si="26">(B388-B387)/B387</f>
        <v>8.430818878580075E-2</v>
      </c>
      <c r="O388" s="1">
        <v>44764</v>
      </c>
      <c r="P388">
        <v>56072.23</v>
      </c>
      <c r="Q388">
        <f t="shared" ref="Q388:Q451" si="27">(P388-P387)/P387</f>
        <v>7.0090936111254385E-3</v>
      </c>
      <c r="R388" s="2">
        <f t="shared" ref="R388:R451" si="28">(P388-P387)/P387</f>
        <v>7.0090936111254385E-3</v>
      </c>
    </row>
    <row r="389" spans="1:18" x14ac:dyDescent="0.3">
      <c r="A389" s="1">
        <v>44767</v>
      </c>
      <c r="B389">
        <v>147.25</v>
      </c>
      <c r="C389">
        <f t="shared" si="25"/>
        <v>9.5610119047618999E-2</v>
      </c>
      <c r="D389" s="2">
        <f t="shared" si="26"/>
        <v>9.5610119047618999E-2</v>
      </c>
      <c r="O389" s="1">
        <v>44767</v>
      </c>
      <c r="P389">
        <v>55766.22</v>
      </c>
      <c r="Q389">
        <f t="shared" si="27"/>
        <v>-5.4574251817700497E-3</v>
      </c>
      <c r="R389" s="2">
        <f t="shared" si="28"/>
        <v>-5.4574251817700497E-3</v>
      </c>
    </row>
    <row r="390" spans="1:18" x14ac:dyDescent="0.3">
      <c r="A390" s="1">
        <v>44768</v>
      </c>
      <c r="B390">
        <v>139.9</v>
      </c>
      <c r="C390">
        <f t="shared" si="25"/>
        <v>-4.9915110356536466E-2</v>
      </c>
      <c r="D390" s="2">
        <f t="shared" si="26"/>
        <v>-4.9915110356536466E-2</v>
      </c>
      <c r="O390" s="1">
        <v>44768</v>
      </c>
      <c r="P390">
        <v>55268.49</v>
      </c>
      <c r="Q390">
        <f t="shared" si="27"/>
        <v>-8.9252956359603206E-3</v>
      </c>
      <c r="R390" s="2">
        <f t="shared" si="28"/>
        <v>-8.9252956359603206E-3</v>
      </c>
    </row>
    <row r="391" spans="1:18" x14ac:dyDescent="0.3">
      <c r="A391" s="1">
        <v>44769</v>
      </c>
      <c r="B391">
        <v>136.5</v>
      </c>
      <c r="C391">
        <f t="shared" si="25"/>
        <v>-2.4303073624017194E-2</v>
      </c>
      <c r="D391" s="2">
        <f t="shared" si="26"/>
        <v>-2.4303073624017194E-2</v>
      </c>
      <c r="O391" s="1">
        <v>44769</v>
      </c>
      <c r="P391">
        <v>55816.32</v>
      </c>
      <c r="Q391">
        <f t="shared" si="27"/>
        <v>9.9121579040788305E-3</v>
      </c>
      <c r="R391" s="2">
        <f t="shared" si="28"/>
        <v>9.9121579040788305E-3</v>
      </c>
    </row>
    <row r="392" spans="1:18" x14ac:dyDescent="0.3">
      <c r="A392" s="1">
        <v>44770</v>
      </c>
      <c r="B392">
        <v>142.94999999999999</v>
      </c>
      <c r="C392">
        <f t="shared" si="25"/>
        <v>4.7252747252747168E-2</v>
      </c>
      <c r="D392" s="2">
        <f t="shared" si="26"/>
        <v>4.7252747252747168E-2</v>
      </c>
      <c r="O392" s="1">
        <v>44770</v>
      </c>
      <c r="P392">
        <v>56857.79</v>
      </c>
      <c r="Q392">
        <f t="shared" si="27"/>
        <v>1.8658879696834208E-2</v>
      </c>
      <c r="R392" s="2">
        <f t="shared" si="28"/>
        <v>1.8658879696834208E-2</v>
      </c>
    </row>
    <row r="393" spans="1:18" x14ac:dyDescent="0.3">
      <c r="A393" s="1">
        <v>44771</v>
      </c>
      <c r="B393">
        <v>150.05000000000001</v>
      </c>
      <c r="C393">
        <f t="shared" si="25"/>
        <v>4.9667715984610165E-2</v>
      </c>
      <c r="D393" s="2">
        <f t="shared" si="26"/>
        <v>4.9667715984610165E-2</v>
      </c>
      <c r="O393" s="1">
        <v>44771</v>
      </c>
      <c r="P393">
        <v>57570.25</v>
      </c>
      <c r="Q393">
        <f t="shared" si="27"/>
        <v>1.2530560895877224E-2</v>
      </c>
      <c r="R393" s="2">
        <f t="shared" si="28"/>
        <v>1.2530560895877224E-2</v>
      </c>
    </row>
    <row r="394" spans="1:18" x14ac:dyDescent="0.3">
      <c r="A394" s="1">
        <v>44774</v>
      </c>
      <c r="B394">
        <v>157.55000000000001</v>
      </c>
      <c r="C394">
        <f t="shared" si="25"/>
        <v>4.9983338887037647E-2</v>
      </c>
      <c r="D394" s="2">
        <f t="shared" si="26"/>
        <v>4.9983338887037647E-2</v>
      </c>
      <c r="O394" s="1">
        <v>44774</v>
      </c>
      <c r="P394">
        <v>58115.5</v>
      </c>
      <c r="Q394">
        <f t="shared" si="27"/>
        <v>9.4710375584611851E-3</v>
      </c>
      <c r="R394" s="2">
        <f t="shared" si="28"/>
        <v>9.4710375584611851E-3</v>
      </c>
    </row>
    <row r="395" spans="1:18" x14ac:dyDescent="0.3">
      <c r="A395" s="1">
        <v>44775</v>
      </c>
      <c r="B395">
        <v>165.4</v>
      </c>
      <c r="C395">
        <f t="shared" si="25"/>
        <v>4.9825452237384917E-2</v>
      </c>
      <c r="D395" s="2">
        <f t="shared" si="26"/>
        <v>4.9825452237384917E-2</v>
      </c>
      <c r="O395" s="1">
        <v>44775</v>
      </c>
      <c r="P395">
        <v>58136.36</v>
      </c>
      <c r="Q395">
        <f t="shared" si="27"/>
        <v>3.5894038595556403E-4</v>
      </c>
      <c r="R395" s="2">
        <f t="shared" si="28"/>
        <v>3.5894038595556403E-4</v>
      </c>
    </row>
    <row r="396" spans="1:18" x14ac:dyDescent="0.3">
      <c r="A396" s="1">
        <v>44776</v>
      </c>
      <c r="B396">
        <v>170.7</v>
      </c>
      <c r="C396">
        <f t="shared" si="25"/>
        <v>3.2043530834340889E-2</v>
      </c>
      <c r="D396" s="2">
        <f t="shared" si="26"/>
        <v>3.2043530834340889E-2</v>
      </c>
      <c r="O396" s="1">
        <v>44776</v>
      </c>
      <c r="P396">
        <v>58350.53</v>
      </c>
      <c r="Q396">
        <f t="shared" si="27"/>
        <v>3.6839251717857508E-3</v>
      </c>
      <c r="R396" s="2">
        <f t="shared" si="28"/>
        <v>3.6839251717857508E-3</v>
      </c>
    </row>
    <row r="397" spans="1:18" x14ac:dyDescent="0.3">
      <c r="A397" s="1">
        <v>44777</v>
      </c>
      <c r="B397">
        <v>162.19999999999999</v>
      </c>
      <c r="C397">
        <f t="shared" si="25"/>
        <v>-4.9794961921499709E-2</v>
      </c>
      <c r="D397" s="2">
        <f t="shared" si="26"/>
        <v>-4.9794961921499709E-2</v>
      </c>
      <c r="O397" s="1">
        <v>44777</v>
      </c>
      <c r="P397">
        <v>58298.8</v>
      </c>
      <c r="Q397">
        <f t="shared" si="27"/>
        <v>-8.8653864840638E-4</v>
      </c>
      <c r="R397" s="2">
        <f t="shared" si="28"/>
        <v>-8.8653864840638E-4</v>
      </c>
    </row>
    <row r="398" spans="1:18" x14ac:dyDescent="0.3">
      <c r="A398" s="1">
        <v>44778</v>
      </c>
      <c r="B398">
        <v>154.1</v>
      </c>
      <c r="C398">
        <f t="shared" si="25"/>
        <v>-4.9938347718865565E-2</v>
      </c>
      <c r="D398" s="2">
        <f t="shared" si="26"/>
        <v>-4.9938347718865565E-2</v>
      </c>
      <c r="O398" s="1">
        <v>44778</v>
      </c>
      <c r="P398">
        <v>58387.93</v>
      </c>
      <c r="Q398">
        <f t="shared" si="27"/>
        <v>1.5288479351204035E-3</v>
      </c>
      <c r="R398" s="2">
        <f t="shared" si="28"/>
        <v>1.5288479351204035E-3</v>
      </c>
    </row>
    <row r="399" spans="1:18" x14ac:dyDescent="0.3">
      <c r="A399" s="1">
        <v>44781</v>
      </c>
      <c r="B399">
        <v>161.80000000000001</v>
      </c>
      <c r="C399">
        <f t="shared" si="25"/>
        <v>4.9967553536664613E-2</v>
      </c>
      <c r="D399" s="2">
        <f t="shared" si="26"/>
        <v>4.9967553536664613E-2</v>
      </c>
      <c r="O399" s="1">
        <v>44781</v>
      </c>
      <c r="P399">
        <v>58853.07</v>
      </c>
      <c r="Q399">
        <f t="shared" si="27"/>
        <v>7.966372501987987E-3</v>
      </c>
      <c r="R399" s="2">
        <f t="shared" si="28"/>
        <v>7.966372501987987E-3</v>
      </c>
    </row>
    <row r="400" spans="1:18" x14ac:dyDescent="0.3">
      <c r="A400" s="1">
        <v>44783</v>
      </c>
      <c r="B400">
        <v>156.05000000000001</v>
      </c>
      <c r="C400">
        <f t="shared" si="25"/>
        <v>-3.553770086526576E-2</v>
      </c>
      <c r="D400" s="2">
        <f t="shared" si="26"/>
        <v>-3.553770086526576E-2</v>
      </c>
      <c r="O400" s="1">
        <v>44783</v>
      </c>
      <c r="P400">
        <v>58817.29</v>
      </c>
      <c r="Q400">
        <f t="shared" si="27"/>
        <v>-6.0795469123358964E-4</v>
      </c>
      <c r="R400" s="2">
        <f t="shared" si="28"/>
        <v>-6.0795469123358964E-4</v>
      </c>
    </row>
    <row r="401" spans="1:18" x14ac:dyDescent="0.3">
      <c r="A401" s="1">
        <v>44784</v>
      </c>
      <c r="B401">
        <v>148.25</v>
      </c>
      <c r="C401">
        <f t="shared" si="25"/>
        <v>-4.9983979493752072E-2</v>
      </c>
      <c r="D401" s="2">
        <f t="shared" si="26"/>
        <v>-4.9983979493752072E-2</v>
      </c>
      <c r="O401" s="1">
        <v>44784</v>
      </c>
      <c r="P401">
        <v>59332.6</v>
      </c>
      <c r="Q401">
        <f t="shared" si="27"/>
        <v>8.7611993004097551E-3</v>
      </c>
      <c r="R401" s="2">
        <f t="shared" si="28"/>
        <v>8.7611993004097551E-3</v>
      </c>
    </row>
    <row r="402" spans="1:18" x14ac:dyDescent="0.3">
      <c r="A402" s="1">
        <v>44785</v>
      </c>
      <c r="B402">
        <v>144.85</v>
      </c>
      <c r="C402">
        <f t="shared" si="25"/>
        <v>-2.2934232715008471E-2</v>
      </c>
      <c r="D402" s="2">
        <f t="shared" si="26"/>
        <v>-2.2934232715008471E-2</v>
      </c>
      <c r="O402" s="1">
        <v>44785</v>
      </c>
      <c r="P402">
        <v>59462.78</v>
      </c>
      <c r="Q402">
        <f t="shared" si="27"/>
        <v>2.194072061564811E-3</v>
      </c>
      <c r="R402" s="2">
        <f t="shared" si="28"/>
        <v>2.194072061564811E-3</v>
      </c>
    </row>
    <row r="403" spans="1:18" x14ac:dyDescent="0.3">
      <c r="A403" s="1">
        <v>44789</v>
      </c>
      <c r="B403">
        <v>143.65</v>
      </c>
      <c r="C403">
        <f t="shared" si="25"/>
        <v>-8.2844321712115202E-3</v>
      </c>
      <c r="D403" s="2">
        <f t="shared" si="26"/>
        <v>-8.2844321712115202E-3</v>
      </c>
      <c r="O403" s="1">
        <v>44789</v>
      </c>
      <c r="P403">
        <v>59842.21</v>
      </c>
      <c r="Q403">
        <f t="shared" si="27"/>
        <v>6.3809663793048411E-3</v>
      </c>
      <c r="R403" s="2">
        <f t="shared" si="28"/>
        <v>6.3809663793048411E-3</v>
      </c>
    </row>
    <row r="404" spans="1:18" x14ac:dyDescent="0.3">
      <c r="A404" s="1">
        <v>44790</v>
      </c>
      <c r="B404">
        <v>145</v>
      </c>
      <c r="C404">
        <f t="shared" si="25"/>
        <v>9.3978419770274577E-3</v>
      </c>
      <c r="D404" s="2">
        <f t="shared" si="26"/>
        <v>9.3978419770274577E-3</v>
      </c>
      <c r="O404" s="1">
        <v>44790</v>
      </c>
      <c r="P404">
        <v>60260.13</v>
      </c>
      <c r="Q404">
        <f t="shared" si="27"/>
        <v>6.9836992985385779E-3</v>
      </c>
      <c r="R404" s="2">
        <f t="shared" si="28"/>
        <v>6.9836992985385779E-3</v>
      </c>
    </row>
    <row r="405" spans="1:18" x14ac:dyDescent="0.3">
      <c r="A405" s="1">
        <v>44791</v>
      </c>
      <c r="B405">
        <v>148</v>
      </c>
      <c r="C405">
        <f t="shared" si="25"/>
        <v>2.0689655172413793E-2</v>
      </c>
      <c r="D405" s="2">
        <f t="shared" si="26"/>
        <v>2.0689655172413793E-2</v>
      </c>
      <c r="O405" s="1">
        <v>44791</v>
      </c>
      <c r="P405">
        <v>60298</v>
      </c>
      <c r="Q405">
        <f t="shared" si="27"/>
        <v>6.2844205613234855E-4</v>
      </c>
      <c r="R405" s="2">
        <f t="shared" si="28"/>
        <v>6.2844205613234855E-4</v>
      </c>
    </row>
    <row r="406" spans="1:18" x14ac:dyDescent="0.3">
      <c r="A406" s="1">
        <v>44792</v>
      </c>
      <c r="B406">
        <v>148.25</v>
      </c>
      <c r="C406">
        <f t="shared" si="25"/>
        <v>1.6891891891891893E-3</v>
      </c>
      <c r="D406" s="2">
        <f t="shared" si="26"/>
        <v>1.6891891891891893E-3</v>
      </c>
      <c r="O406" s="1">
        <v>44792</v>
      </c>
      <c r="P406">
        <v>59646.15</v>
      </c>
      <c r="Q406">
        <f t="shared" si="27"/>
        <v>-1.0810474642608354E-2</v>
      </c>
      <c r="R406" s="2">
        <f t="shared" si="28"/>
        <v>-1.0810474642608354E-2</v>
      </c>
    </row>
    <row r="407" spans="1:18" x14ac:dyDescent="0.3">
      <c r="A407" s="1">
        <v>44795</v>
      </c>
      <c r="B407">
        <v>143.19999999999999</v>
      </c>
      <c r="C407">
        <f t="shared" si="25"/>
        <v>-3.4064080944350837E-2</v>
      </c>
      <c r="D407" s="2">
        <f t="shared" si="26"/>
        <v>-3.4064080944350837E-2</v>
      </c>
      <c r="O407" s="1">
        <v>44795</v>
      </c>
      <c r="P407">
        <v>58773.87</v>
      </c>
      <c r="Q407">
        <f t="shared" si="27"/>
        <v>-1.4624246493696556E-2</v>
      </c>
      <c r="R407" s="2">
        <f t="shared" si="28"/>
        <v>-1.4624246493696556E-2</v>
      </c>
    </row>
    <row r="408" spans="1:18" x14ac:dyDescent="0.3">
      <c r="A408" s="1">
        <v>44796</v>
      </c>
      <c r="B408">
        <v>146.75</v>
      </c>
      <c r="C408">
        <f t="shared" si="25"/>
        <v>2.4790502793296171E-2</v>
      </c>
      <c r="D408" s="2">
        <f t="shared" si="26"/>
        <v>2.4790502793296171E-2</v>
      </c>
      <c r="O408" s="1">
        <v>44796</v>
      </c>
      <c r="P408">
        <v>59031.3</v>
      </c>
      <c r="Q408">
        <f t="shared" si="27"/>
        <v>4.3800076462550495E-3</v>
      </c>
      <c r="R408" s="2">
        <f t="shared" si="28"/>
        <v>4.3800076462550495E-3</v>
      </c>
    </row>
    <row r="409" spans="1:18" x14ac:dyDescent="0.3">
      <c r="A409" s="1">
        <v>44797</v>
      </c>
      <c r="B409">
        <v>144.75</v>
      </c>
      <c r="C409">
        <f t="shared" si="25"/>
        <v>-1.3628620102214651E-2</v>
      </c>
      <c r="D409" s="2">
        <f t="shared" si="26"/>
        <v>-1.3628620102214651E-2</v>
      </c>
      <c r="O409" s="1">
        <v>44797</v>
      </c>
      <c r="P409">
        <v>59085.43</v>
      </c>
      <c r="Q409">
        <f t="shared" si="27"/>
        <v>9.1697116614401818E-4</v>
      </c>
      <c r="R409" s="2">
        <f t="shared" si="28"/>
        <v>9.1697116614401818E-4</v>
      </c>
    </row>
    <row r="410" spans="1:18" x14ac:dyDescent="0.3">
      <c r="A410" s="1">
        <v>44798</v>
      </c>
      <c r="B410">
        <v>144.94999999999999</v>
      </c>
      <c r="C410">
        <f t="shared" si="25"/>
        <v>1.3816925734023394E-3</v>
      </c>
      <c r="D410" s="2">
        <f t="shared" si="26"/>
        <v>1.3816925734023394E-3</v>
      </c>
      <c r="O410" s="1">
        <v>44798</v>
      </c>
      <c r="P410">
        <v>58774.720000000001</v>
      </c>
      <c r="Q410">
        <f t="shared" si="27"/>
        <v>-5.2586568296109403E-3</v>
      </c>
      <c r="R410" s="2">
        <f t="shared" si="28"/>
        <v>-5.2586568296109403E-3</v>
      </c>
    </row>
    <row r="411" spans="1:18" x14ac:dyDescent="0.3">
      <c r="A411" s="1">
        <v>44799</v>
      </c>
      <c r="B411">
        <v>147.05000000000001</v>
      </c>
      <c r="C411">
        <f t="shared" si="25"/>
        <v>1.4487754398068457E-2</v>
      </c>
      <c r="D411" s="2">
        <f t="shared" si="26"/>
        <v>1.4487754398068457E-2</v>
      </c>
      <c r="O411" s="1">
        <v>44799</v>
      </c>
      <c r="P411">
        <v>58833.87</v>
      </c>
      <c r="Q411">
        <f t="shared" si="27"/>
        <v>1.0063850580658055E-3</v>
      </c>
      <c r="R411" s="2">
        <f t="shared" si="28"/>
        <v>1.0063850580658055E-3</v>
      </c>
    </row>
    <row r="412" spans="1:18" x14ac:dyDescent="0.3">
      <c r="A412" s="1">
        <v>44802</v>
      </c>
      <c r="B412">
        <v>146.75</v>
      </c>
      <c r="C412">
        <f t="shared" si="25"/>
        <v>-2.0401224073445176E-3</v>
      </c>
      <c r="D412" s="2">
        <f t="shared" si="26"/>
        <v>-2.0401224073445176E-3</v>
      </c>
      <c r="O412" s="1">
        <v>44802</v>
      </c>
      <c r="P412">
        <v>57972.62</v>
      </c>
      <c r="Q412">
        <f t="shared" si="27"/>
        <v>-1.4638676667028703E-2</v>
      </c>
      <c r="R412" s="2">
        <f t="shared" si="28"/>
        <v>-1.4638676667028703E-2</v>
      </c>
    </row>
    <row r="413" spans="1:18" x14ac:dyDescent="0.3">
      <c r="A413" s="1">
        <v>44803</v>
      </c>
      <c r="B413">
        <v>154.05000000000001</v>
      </c>
      <c r="C413">
        <f t="shared" si="25"/>
        <v>4.9744463373083553E-2</v>
      </c>
      <c r="D413" s="2">
        <f t="shared" si="26"/>
        <v>4.9744463373083553E-2</v>
      </c>
      <c r="O413" s="1">
        <v>44803</v>
      </c>
      <c r="P413">
        <v>59537.07</v>
      </c>
      <c r="Q413">
        <f t="shared" si="27"/>
        <v>2.6986015122311136E-2</v>
      </c>
      <c r="R413" s="2">
        <f t="shared" si="28"/>
        <v>2.6986015122311136E-2</v>
      </c>
    </row>
    <row r="414" spans="1:18" x14ac:dyDescent="0.3">
      <c r="A414" s="1">
        <v>44805</v>
      </c>
      <c r="B414">
        <v>161.75</v>
      </c>
      <c r="C414">
        <f t="shared" si="25"/>
        <v>4.9983771502758768E-2</v>
      </c>
      <c r="D414" s="2">
        <f t="shared" si="26"/>
        <v>4.9983771502758768E-2</v>
      </c>
      <c r="O414" s="1">
        <v>44805</v>
      </c>
      <c r="P414">
        <v>58766.59</v>
      </c>
      <c r="Q414">
        <f t="shared" si="27"/>
        <v>-1.2941181015458153E-2</v>
      </c>
      <c r="R414" s="2">
        <f t="shared" si="28"/>
        <v>-1.2941181015458153E-2</v>
      </c>
    </row>
    <row r="415" spans="1:18" x14ac:dyDescent="0.3">
      <c r="A415" s="1">
        <v>44806</v>
      </c>
      <c r="B415">
        <v>163.35</v>
      </c>
      <c r="C415">
        <f t="shared" si="25"/>
        <v>9.8918083462132562E-3</v>
      </c>
      <c r="D415" s="2">
        <f t="shared" si="26"/>
        <v>9.8918083462132562E-3</v>
      </c>
      <c r="O415" s="1">
        <v>44806</v>
      </c>
      <c r="P415">
        <v>58803.33</v>
      </c>
      <c r="Q415">
        <f t="shared" si="27"/>
        <v>6.2518516047987884E-4</v>
      </c>
      <c r="R415" s="2">
        <f t="shared" si="28"/>
        <v>6.2518516047987884E-4</v>
      </c>
    </row>
    <row r="416" spans="1:18" x14ac:dyDescent="0.3">
      <c r="A416" s="1">
        <v>44809</v>
      </c>
      <c r="B416">
        <v>167.9</v>
      </c>
      <c r="C416">
        <f t="shared" si="25"/>
        <v>2.7854300581573378E-2</v>
      </c>
      <c r="D416" s="2">
        <f t="shared" si="26"/>
        <v>2.7854300581573378E-2</v>
      </c>
      <c r="O416" s="1">
        <v>44809</v>
      </c>
      <c r="P416">
        <v>59245.98</v>
      </c>
      <c r="Q416">
        <f t="shared" si="27"/>
        <v>7.5276349145533333E-3</v>
      </c>
      <c r="R416" s="2">
        <f t="shared" si="28"/>
        <v>7.5276349145533333E-3</v>
      </c>
    </row>
    <row r="417" spans="1:18" x14ac:dyDescent="0.3">
      <c r="A417" s="1">
        <v>44810</v>
      </c>
      <c r="B417">
        <v>164.4</v>
      </c>
      <c r="C417">
        <f t="shared" si="25"/>
        <v>-2.084574151280524E-2</v>
      </c>
      <c r="D417" s="2">
        <f t="shared" si="26"/>
        <v>-2.084574151280524E-2</v>
      </c>
      <c r="O417" s="1">
        <v>44810</v>
      </c>
      <c r="P417">
        <v>59196.99</v>
      </c>
      <c r="Q417">
        <f t="shared" si="27"/>
        <v>-8.2689154605941595E-4</v>
      </c>
      <c r="R417" s="2">
        <f t="shared" si="28"/>
        <v>-8.2689154605941595E-4</v>
      </c>
    </row>
    <row r="418" spans="1:18" x14ac:dyDescent="0.3">
      <c r="A418" s="1">
        <v>44811</v>
      </c>
      <c r="B418">
        <v>163.4</v>
      </c>
      <c r="C418">
        <f t="shared" si="25"/>
        <v>-6.0827250608272501E-3</v>
      </c>
      <c r="D418" s="2">
        <f t="shared" si="26"/>
        <v>-6.0827250608272501E-3</v>
      </c>
      <c r="O418" s="1">
        <v>44811</v>
      </c>
      <c r="P418">
        <v>59028.91</v>
      </c>
      <c r="Q418">
        <f t="shared" si="27"/>
        <v>-2.8393335539525656E-3</v>
      </c>
      <c r="R418" s="2">
        <f t="shared" si="28"/>
        <v>-2.8393335539525656E-3</v>
      </c>
    </row>
    <row r="419" spans="1:18" x14ac:dyDescent="0.3">
      <c r="A419" s="1">
        <v>44812</v>
      </c>
      <c r="B419">
        <v>164.25</v>
      </c>
      <c r="C419">
        <f t="shared" si="25"/>
        <v>5.2019583843328906E-3</v>
      </c>
      <c r="D419" s="2">
        <f t="shared" si="26"/>
        <v>5.2019583843328906E-3</v>
      </c>
      <c r="O419" s="1">
        <v>44812</v>
      </c>
      <c r="P419">
        <v>59688.22</v>
      </c>
      <c r="Q419">
        <f t="shared" si="27"/>
        <v>1.1169272819030499E-2</v>
      </c>
      <c r="R419" s="2">
        <f t="shared" si="28"/>
        <v>1.1169272819030499E-2</v>
      </c>
    </row>
    <row r="420" spans="1:18" x14ac:dyDescent="0.3">
      <c r="A420" s="1">
        <v>44813</v>
      </c>
      <c r="B420">
        <v>164.75</v>
      </c>
      <c r="C420">
        <f t="shared" si="25"/>
        <v>3.0441400304414001E-3</v>
      </c>
      <c r="D420" s="2">
        <f t="shared" si="26"/>
        <v>3.0441400304414001E-3</v>
      </c>
      <c r="O420" s="1">
        <v>44813</v>
      </c>
      <c r="P420">
        <v>59793.14</v>
      </c>
      <c r="Q420">
        <f t="shared" si="27"/>
        <v>1.757800785481595E-3</v>
      </c>
      <c r="R420" s="2">
        <f t="shared" si="28"/>
        <v>1.757800785481595E-3</v>
      </c>
    </row>
    <row r="421" spans="1:18" x14ac:dyDescent="0.3">
      <c r="A421" s="1">
        <v>44816</v>
      </c>
      <c r="B421">
        <v>162.15</v>
      </c>
      <c r="C421">
        <f t="shared" si="25"/>
        <v>-1.5781487101669163E-2</v>
      </c>
      <c r="D421" s="2">
        <f t="shared" si="26"/>
        <v>-1.5781487101669163E-2</v>
      </c>
      <c r="O421" s="1">
        <v>44816</v>
      </c>
      <c r="P421">
        <v>60115.13</v>
      </c>
      <c r="Q421">
        <f t="shared" si="27"/>
        <v>5.3850659122434107E-3</v>
      </c>
      <c r="R421" s="2">
        <f t="shared" si="28"/>
        <v>5.3850659122434107E-3</v>
      </c>
    </row>
    <row r="422" spans="1:18" x14ac:dyDescent="0.3">
      <c r="A422" s="1">
        <v>44817</v>
      </c>
      <c r="B422">
        <v>159</v>
      </c>
      <c r="C422">
        <f t="shared" si="25"/>
        <v>-1.9426456984273855E-2</v>
      </c>
      <c r="D422" s="2">
        <f t="shared" si="26"/>
        <v>-1.9426456984273855E-2</v>
      </c>
      <c r="O422" s="1">
        <v>44817</v>
      </c>
      <c r="P422">
        <v>60571.08</v>
      </c>
      <c r="Q422">
        <f t="shared" si="27"/>
        <v>7.5846130583100196E-3</v>
      </c>
      <c r="R422" s="2">
        <f t="shared" si="28"/>
        <v>7.5846130583100196E-3</v>
      </c>
    </row>
    <row r="423" spans="1:18" x14ac:dyDescent="0.3">
      <c r="A423" s="1">
        <v>44818</v>
      </c>
      <c r="B423">
        <v>159.5</v>
      </c>
      <c r="C423">
        <f t="shared" si="25"/>
        <v>3.1446540880503146E-3</v>
      </c>
      <c r="D423" s="2">
        <f t="shared" si="26"/>
        <v>3.1446540880503146E-3</v>
      </c>
      <c r="O423" s="1">
        <v>44818</v>
      </c>
      <c r="P423">
        <v>60346.97</v>
      </c>
      <c r="Q423">
        <f t="shared" si="27"/>
        <v>-3.6999505374512155E-3</v>
      </c>
      <c r="R423" s="2">
        <f t="shared" si="28"/>
        <v>-3.6999505374512155E-3</v>
      </c>
    </row>
    <row r="424" spans="1:18" x14ac:dyDescent="0.3">
      <c r="A424" s="1">
        <v>44819</v>
      </c>
      <c r="B424">
        <v>159.75</v>
      </c>
      <c r="C424">
        <f t="shared" si="25"/>
        <v>1.567398119122257E-3</v>
      </c>
      <c r="D424" s="2">
        <f t="shared" si="26"/>
        <v>1.567398119122257E-3</v>
      </c>
      <c r="O424" s="1">
        <v>44819</v>
      </c>
      <c r="P424">
        <v>59934.01</v>
      </c>
      <c r="Q424">
        <f t="shared" si="27"/>
        <v>-6.8430941934615628E-3</v>
      </c>
      <c r="R424" s="2">
        <f t="shared" si="28"/>
        <v>-6.8430941934615628E-3</v>
      </c>
    </row>
    <row r="425" spans="1:18" x14ac:dyDescent="0.3">
      <c r="A425" s="1">
        <v>44820</v>
      </c>
      <c r="B425">
        <v>155.94999999999999</v>
      </c>
      <c r="C425">
        <f t="shared" si="25"/>
        <v>-2.3787167449139352E-2</v>
      </c>
      <c r="D425" s="2">
        <f t="shared" si="26"/>
        <v>-2.3787167449139352E-2</v>
      </c>
      <c r="O425" s="1">
        <v>44820</v>
      </c>
      <c r="P425">
        <v>58840.79</v>
      </c>
      <c r="Q425">
        <f t="shared" si="27"/>
        <v>-1.8240394727467777E-2</v>
      </c>
      <c r="R425" s="2">
        <f t="shared" si="28"/>
        <v>-1.8240394727467777E-2</v>
      </c>
    </row>
    <row r="426" spans="1:18" x14ac:dyDescent="0.3">
      <c r="A426" s="1">
        <v>44823</v>
      </c>
      <c r="B426">
        <v>161.19999999999999</v>
      </c>
      <c r="C426">
        <f t="shared" si="25"/>
        <v>3.3664636101314524E-2</v>
      </c>
      <c r="D426" s="2">
        <f t="shared" si="26"/>
        <v>3.3664636101314524E-2</v>
      </c>
      <c r="O426" s="1">
        <v>44823</v>
      </c>
      <c r="P426">
        <v>59141.23</v>
      </c>
      <c r="Q426">
        <f t="shared" si="27"/>
        <v>5.1059817517746164E-3</v>
      </c>
      <c r="R426" s="2">
        <f t="shared" si="28"/>
        <v>5.1059817517746164E-3</v>
      </c>
    </row>
    <row r="427" spans="1:18" x14ac:dyDescent="0.3">
      <c r="A427" s="1">
        <v>44824</v>
      </c>
      <c r="B427">
        <v>161.15</v>
      </c>
      <c r="C427">
        <f t="shared" si="25"/>
        <v>-3.101736972703657E-4</v>
      </c>
      <c r="D427" s="2">
        <f t="shared" si="26"/>
        <v>-3.101736972703657E-4</v>
      </c>
      <c r="O427" s="1">
        <v>44824</v>
      </c>
      <c r="P427">
        <v>59719.74</v>
      </c>
      <c r="Q427">
        <f t="shared" si="27"/>
        <v>9.7818391670243376E-3</v>
      </c>
      <c r="R427" s="2">
        <f t="shared" si="28"/>
        <v>9.7818391670243376E-3</v>
      </c>
    </row>
    <row r="428" spans="1:18" x14ac:dyDescent="0.3">
      <c r="A428" s="1">
        <v>44825</v>
      </c>
      <c r="B428">
        <v>157.55000000000001</v>
      </c>
      <c r="C428">
        <f t="shared" si="25"/>
        <v>-2.2339435308718548E-2</v>
      </c>
      <c r="D428" s="2">
        <f t="shared" si="26"/>
        <v>-2.2339435308718548E-2</v>
      </c>
      <c r="O428" s="1">
        <v>44825</v>
      </c>
      <c r="P428">
        <v>59456.78</v>
      </c>
      <c r="Q428">
        <f t="shared" si="27"/>
        <v>-4.4032341734910286E-3</v>
      </c>
      <c r="R428" s="2">
        <f t="shared" si="28"/>
        <v>-4.4032341734910286E-3</v>
      </c>
    </row>
    <row r="429" spans="1:18" x14ac:dyDescent="0.3">
      <c r="A429" s="1">
        <v>44826</v>
      </c>
      <c r="B429">
        <v>154.19999999999999</v>
      </c>
      <c r="C429">
        <f t="shared" si="25"/>
        <v>-2.1263091082196272E-2</v>
      </c>
      <c r="D429" s="2">
        <f t="shared" si="26"/>
        <v>-2.1263091082196272E-2</v>
      </c>
      <c r="O429" s="1">
        <v>44826</v>
      </c>
      <c r="P429">
        <v>59119.72</v>
      </c>
      <c r="Q429">
        <f t="shared" si="27"/>
        <v>-5.668991829022656E-3</v>
      </c>
      <c r="R429" s="2">
        <f t="shared" si="28"/>
        <v>-5.668991829022656E-3</v>
      </c>
    </row>
    <row r="430" spans="1:18" x14ac:dyDescent="0.3">
      <c r="A430" s="1">
        <v>44827</v>
      </c>
      <c r="B430">
        <v>149</v>
      </c>
      <c r="C430">
        <f t="shared" si="25"/>
        <v>-3.3722438391699021E-2</v>
      </c>
      <c r="D430" s="2">
        <f t="shared" si="26"/>
        <v>-3.3722438391699021E-2</v>
      </c>
      <c r="O430" s="1">
        <v>44827</v>
      </c>
      <c r="P430">
        <v>58098.92</v>
      </c>
      <c r="Q430">
        <f t="shared" si="27"/>
        <v>-1.7266658231804937E-2</v>
      </c>
      <c r="R430" s="2">
        <f t="shared" si="28"/>
        <v>-1.7266658231804937E-2</v>
      </c>
    </row>
    <row r="431" spans="1:18" x14ac:dyDescent="0.3">
      <c r="A431" s="1">
        <v>44830</v>
      </c>
      <c r="B431">
        <v>144.6</v>
      </c>
      <c r="C431">
        <f t="shared" si="25"/>
        <v>-2.9530201342281917E-2</v>
      </c>
      <c r="D431" s="2">
        <f t="shared" si="26"/>
        <v>-2.9530201342281917E-2</v>
      </c>
      <c r="O431" s="1">
        <v>44830</v>
      </c>
      <c r="P431">
        <v>57145.22</v>
      </c>
      <c r="Q431">
        <f t="shared" si="27"/>
        <v>-1.6415107199927247E-2</v>
      </c>
      <c r="R431" s="2">
        <f t="shared" si="28"/>
        <v>-1.6415107199927247E-2</v>
      </c>
    </row>
    <row r="432" spans="1:18" x14ac:dyDescent="0.3">
      <c r="A432" s="1">
        <v>44831</v>
      </c>
      <c r="B432">
        <v>137.4</v>
      </c>
      <c r="C432">
        <f t="shared" si="25"/>
        <v>-4.979253112033187E-2</v>
      </c>
      <c r="D432" s="2">
        <f t="shared" si="26"/>
        <v>-4.979253112033187E-2</v>
      </c>
      <c r="O432" s="1">
        <v>44831</v>
      </c>
      <c r="P432">
        <v>57107.519999999997</v>
      </c>
      <c r="Q432">
        <f t="shared" si="27"/>
        <v>-6.5972272046558515E-4</v>
      </c>
      <c r="R432" s="2">
        <f t="shared" si="28"/>
        <v>-6.5972272046558515E-4</v>
      </c>
    </row>
    <row r="433" spans="1:18" x14ac:dyDescent="0.3">
      <c r="A433" s="1">
        <v>44832</v>
      </c>
      <c r="B433">
        <v>138.94999999999999</v>
      </c>
      <c r="C433">
        <f t="shared" si="25"/>
        <v>1.1280931586608318E-2</v>
      </c>
      <c r="D433" s="2">
        <f t="shared" si="26"/>
        <v>1.1280931586608318E-2</v>
      </c>
      <c r="O433" s="1">
        <v>44832</v>
      </c>
      <c r="P433">
        <v>56598.28</v>
      </c>
      <c r="Q433">
        <f t="shared" si="27"/>
        <v>-8.9172144053882574E-3</v>
      </c>
      <c r="R433" s="2">
        <f t="shared" si="28"/>
        <v>-8.9172144053882574E-3</v>
      </c>
    </row>
    <row r="434" spans="1:18" x14ac:dyDescent="0.3">
      <c r="A434" s="1">
        <v>44833</v>
      </c>
      <c r="B434">
        <v>139.6</v>
      </c>
      <c r="C434">
        <f t="shared" si="25"/>
        <v>4.6779417056495558E-3</v>
      </c>
      <c r="D434" s="2">
        <f t="shared" si="26"/>
        <v>4.6779417056495558E-3</v>
      </c>
      <c r="O434" s="1">
        <v>44833</v>
      </c>
      <c r="P434">
        <v>56409.96</v>
      </c>
      <c r="Q434">
        <f t="shared" si="27"/>
        <v>-3.327309593153709E-3</v>
      </c>
      <c r="R434" s="2">
        <f t="shared" si="28"/>
        <v>-3.327309593153709E-3</v>
      </c>
    </row>
    <row r="435" spans="1:18" x14ac:dyDescent="0.3">
      <c r="A435" s="1">
        <v>44834</v>
      </c>
      <c r="B435">
        <v>146.55000000000001</v>
      </c>
      <c r="C435">
        <f t="shared" si="25"/>
        <v>4.9785100286533074E-2</v>
      </c>
      <c r="D435" s="2">
        <f t="shared" si="26"/>
        <v>4.9785100286533074E-2</v>
      </c>
      <c r="O435" s="1">
        <v>44834</v>
      </c>
      <c r="P435">
        <v>57426.92</v>
      </c>
      <c r="Q435">
        <f t="shared" si="27"/>
        <v>1.8028022001788321E-2</v>
      </c>
      <c r="R435" s="2">
        <f t="shared" si="28"/>
        <v>1.8028022001788321E-2</v>
      </c>
    </row>
    <row r="436" spans="1:18" x14ac:dyDescent="0.3">
      <c r="A436" s="1">
        <v>44837</v>
      </c>
      <c r="B436">
        <v>140.85</v>
      </c>
      <c r="C436">
        <f t="shared" si="25"/>
        <v>-3.8894575230296942E-2</v>
      </c>
      <c r="D436" s="2">
        <f t="shared" si="26"/>
        <v>-3.8894575230296942E-2</v>
      </c>
      <c r="O436" s="1">
        <v>44837</v>
      </c>
      <c r="P436">
        <v>56788.81</v>
      </c>
      <c r="Q436">
        <f t="shared" si="27"/>
        <v>-1.1111687689327594E-2</v>
      </c>
      <c r="R436" s="2">
        <f t="shared" si="28"/>
        <v>-1.1111687689327594E-2</v>
      </c>
    </row>
    <row r="437" spans="1:18" x14ac:dyDescent="0.3">
      <c r="A437" s="1">
        <v>44838</v>
      </c>
      <c r="B437">
        <v>144.30000000000001</v>
      </c>
      <c r="C437">
        <f t="shared" si="25"/>
        <v>2.4494142705005446E-2</v>
      </c>
      <c r="D437" s="2">
        <f t="shared" si="26"/>
        <v>2.4494142705005446E-2</v>
      </c>
      <c r="O437" s="1">
        <v>44838</v>
      </c>
      <c r="P437">
        <v>58065.47</v>
      </c>
      <c r="Q437">
        <f t="shared" si="27"/>
        <v>2.2480837333974837E-2</v>
      </c>
      <c r="R437" s="2">
        <f t="shared" si="28"/>
        <v>2.2480837333974837E-2</v>
      </c>
    </row>
    <row r="438" spans="1:18" x14ac:dyDescent="0.3">
      <c r="A438" s="1">
        <v>44840</v>
      </c>
      <c r="B438">
        <v>151.5</v>
      </c>
      <c r="C438">
        <f t="shared" si="25"/>
        <v>4.9896049896049816E-2</v>
      </c>
      <c r="D438" s="2">
        <f t="shared" si="26"/>
        <v>4.9896049896049816E-2</v>
      </c>
      <c r="O438" s="1">
        <v>44840</v>
      </c>
      <c r="P438">
        <v>58222.1</v>
      </c>
      <c r="Q438">
        <f t="shared" si="27"/>
        <v>2.6974723531902416E-3</v>
      </c>
      <c r="R438" s="2">
        <f t="shared" si="28"/>
        <v>2.6974723531902416E-3</v>
      </c>
    </row>
    <row r="439" spans="1:18" x14ac:dyDescent="0.3">
      <c r="A439" s="1">
        <v>44841</v>
      </c>
      <c r="B439">
        <v>158.30000000000001</v>
      </c>
      <c r="C439">
        <f t="shared" si="25"/>
        <v>4.4884488448844961E-2</v>
      </c>
      <c r="D439" s="2">
        <f t="shared" si="26"/>
        <v>4.4884488448844961E-2</v>
      </c>
      <c r="O439" s="1">
        <v>44841</v>
      </c>
      <c r="P439">
        <v>58191.29</v>
      </c>
      <c r="Q439">
        <f t="shared" si="27"/>
        <v>-5.2918050018803289E-4</v>
      </c>
      <c r="R439" s="2">
        <f t="shared" si="28"/>
        <v>-5.2918050018803289E-4</v>
      </c>
    </row>
    <row r="440" spans="1:18" x14ac:dyDescent="0.3">
      <c r="A440" s="1">
        <v>44844</v>
      </c>
      <c r="B440">
        <v>169.7</v>
      </c>
      <c r="C440">
        <f t="shared" si="25"/>
        <v>7.2015161086544391E-2</v>
      </c>
      <c r="D440" s="2">
        <f t="shared" si="26"/>
        <v>7.2015161086544391E-2</v>
      </c>
      <c r="O440" s="1">
        <v>44844</v>
      </c>
      <c r="P440">
        <v>57991.11</v>
      </c>
      <c r="Q440">
        <f t="shared" si="27"/>
        <v>-3.4400337232599635E-3</v>
      </c>
      <c r="R440" s="2">
        <f t="shared" si="28"/>
        <v>-3.4400337232599635E-3</v>
      </c>
    </row>
    <row r="441" spans="1:18" x14ac:dyDescent="0.3">
      <c r="A441" s="1">
        <v>44845</v>
      </c>
      <c r="B441">
        <v>164.1</v>
      </c>
      <c r="C441">
        <f t="shared" si="25"/>
        <v>-3.2999410724808456E-2</v>
      </c>
      <c r="D441" s="2">
        <f t="shared" si="26"/>
        <v>-3.2999410724808456E-2</v>
      </c>
      <c r="O441" s="1">
        <v>44845</v>
      </c>
      <c r="P441">
        <v>57147.32</v>
      </c>
      <c r="Q441">
        <f t="shared" si="27"/>
        <v>-1.4550333663211497E-2</v>
      </c>
      <c r="R441" s="2">
        <f t="shared" si="28"/>
        <v>-1.4550333663211497E-2</v>
      </c>
    </row>
    <row r="442" spans="1:18" x14ac:dyDescent="0.3">
      <c r="A442" s="1">
        <v>44846</v>
      </c>
      <c r="B442">
        <v>164.2</v>
      </c>
      <c r="C442">
        <f t="shared" si="25"/>
        <v>6.0938452163311586E-4</v>
      </c>
      <c r="D442" s="2">
        <f t="shared" si="26"/>
        <v>6.0938452163311586E-4</v>
      </c>
      <c r="O442" s="1">
        <v>44846</v>
      </c>
      <c r="P442">
        <v>57625.91</v>
      </c>
      <c r="Q442">
        <f t="shared" si="27"/>
        <v>8.3746709381997929E-3</v>
      </c>
      <c r="R442" s="2">
        <f t="shared" si="28"/>
        <v>8.3746709381997929E-3</v>
      </c>
    </row>
    <row r="443" spans="1:18" x14ac:dyDescent="0.3">
      <c r="A443" s="1">
        <v>44847</v>
      </c>
      <c r="B443">
        <v>161.05000000000001</v>
      </c>
      <c r="C443">
        <f t="shared" si="25"/>
        <v>-1.9183922046284881E-2</v>
      </c>
      <c r="D443" s="2">
        <f t="shared" si="26"/>
        <v>-1.9183922046284881E-2</v>
      </c>
      <c r="O443" s="1">
        <v>44847</v>
      </c>
      <c r="P443">
        <v>57235.33</v>
      </c>
      <c r="Q443">
        <f t="shared" si="27"/>
        <v>-6.7778539202244569E-3</v>
      </c>
      <c r="R443" s="2">
        <f t="shared" si="28"/>
        <v>-6.7778539202244569E-3</v>
      </c>
    </row>
    <row r="444" spans="1:18" x14ac:dyDescent="0.3">
      <c r="A444" s="1">
        <v>44848</v>
      </c>
      <c r="B444">
        <v>161.80000000000001</v>
      </c>
      <c r="C444">
        <f t="shared" si="25"/>
        <v>4.6569388388699156E-3</v>
      </c>
      <c r="D444" s="2">
        <f t="shared" si="26"/>
        <v>4.6569388388699156E-3</v>
      </c>
      <c r="O444" s="1">
        <v>44848</v>
      </c>
      <c r="P444">
        <v>57919.97</v>
      </c>
      <c r="Q444">
        <f t="shared" si="27"/>
        <v>1.1961842449410171E-2</v>
      </c>
      <c r="R444" s="2">
        <f t="shared" si="28"/>
        <v>1.1961842449410171E-2</v>
      </c>
    </row>
    <row r="445" spans="1:18" x14ac:dyDescent="0.3">
      <c r="A445" s="1">
        <v>44851</v>
      </c>
      <c r="B445">
        <v>172.85</v>
      </c>
      <c r="C445">
        <f t="shared" si="25"/>
        <v>6.8294190358467136E-2</v>
      </c>
      <c r="D445" s="2">
        <f t="shared" si="26"/>
        <v>6.8294190358467136E-2</v>
      </c>
      <c r="O445" s="1">
        <v>44851</v>
      </c>
      <c r="P445">
        <v>58410.98</v>
      </c>
      <c r="Q445">
        <f t="shared" si="27"/>
        <v>8.4773869875968862E-3</v>
      </c>
      <c r="R445" s="2">
        <f t="shared" si="28"/>
        <v>8.4773869875968862E-3</v>
      </c>
    </row>
    <row r="446" spans="1:18" x14ac:dyDescent="0.3">
      <c r="A446" s="1">
        <v>44852</v>
      </c>
      <c r="B446">
        <v>186.35</v>
      </c>
      <c r="C446">
        <f t="shared" si="25"/>
        <v>7.8102400925658094E-2</v>
      </c>
      <c r="D446" s="2">
        <f t="shared" si="26"/>
        <v>7.8102400925658094E-2</v>
      </c>
      <c r="O446" s="1">
        <v>44852</v>
      </c>
      <c r="P446">
        <v>58960.6</v>
      </c>
      <c r="Q446">
        <f t="shared" si="27"/>
        <v>9.4095322489024386E-3</v>
      </c>
      <c r="R446" s="2">
        <f t="shared" si="28"/>
        <v>9.4095322489024386E-3</v>
      </c>
    </row>
    <row r="447" spans="1:18" x14ac:dyDescent="0.3">
      <c r="A447" s="1">
        <v>44853</v>
      </c>
      <c r="B447">
        <v>184.2</v>
      </c>
      <c r="C447">
        <f t="shared" si="25"/>
        <v>-1.1537429568017203E-2</v>
      </c>
      <c r="D447" s="2">
        <f t="shared" si="26"/>
        <v>-1.1537429568017203E-2</v>
      </c>
      <c r="O447" s="1">
        <v>44853</v>
      </c>
      <c r="P447">
        <v>59107.19</v>
      </c>
      <c r="Q447">
        <f t="shared" si="27"/>
        <v>2.4862365715410594E-3</v>
      </c>
      <c r="R447" s="2">
        <f t="shared" si="28"/>
        <v>2.4862365715410594E-3</v>
      </c>
    </row>
    <row r="448" spans="1:18" x14ac:dyDescent="0.3">
      <c r="A448" s="1">
        <v>44854</v>
      </c>
      <c r="B448">
        <v>176.25</v>
      </c>
      <c r="C448">
        <f t="shared" si="25"/>
        <v>-4.3159609120521115E-2</v>
      </c>
      <c r="D448" s="2">
        <f t="shared" si="26"/>
        <v>-4.3159609120521115E-2</v>
      </c>
      <c r="O448" s="1">
        <v>44854</v>
      </c>
      <c r="P448">
        <v>59202.9</v>
      </c>
      <c r="Q448">
        <f t="shared" si="27"/>
        <v>1.6192615483835236E-3</v>
      </c>
      <c r="R448" s="2">
        <f t="shared" si="28"/>
        <v>1.6192615483835236E-3</v>
      </c>
    </row>
    <row r="449" spans="1:18" x14ac:dyDescent="0.3">
      <c r="A449" s="1">
        <v>44855</v>
      </c>
      <c r="B449">
        <v>174.45</v>
      </c>
      <c r="C449">
        <f t="shared" si="25"/>
        <v>-1.0212765957446872E-2</v>
      </c>
      <c r="D449" s="2">
        <f t="shared" si="26"/>
        <v>-1.0212765957446872E-2</v>
      </c>
      <c r="O449" s="1">
        <v>44855</v>
      </c>
      <c r="P449">
        <v>59307.15</v>
      </c>
      <c r="Q449">
        <f t="shared" si="27"/>
        <v>1.7608934697455698E-3</v>
      </c>
      <c r="R449" s="2">
        <f t="shared" si="28"/>
        <v>1.7608934697455698E-3</v>
      </c>
    </row>
    <row r="450" spans="1:18" x14ac:dyDescent="0.3">
      <c r="A450" s="1">
        <v>44858</v>
      </c>
      <c r="B450">
        <v>178.15</v>
      </c>
      <c r="C450">
        <f t="shared" si="25"/>
        <v>2.120951562052174E-2</v>
      </c>
      <c r="D450" s="2">
        <f t="shared" si="26"/>
        <v>2.120951562052174E-2</v>
      </c>
      <c r="O450" s="1">
        <v>44858</v>
      </c>
      <c r="P450">
        <v>59831.66</v>
      </c>
      <c r="Q450">
        <f t="shared" si="27"/>
        <v>8.8439589493004133E-3</v>
      </c>
      <c r="R450" s="2">
        <f t="shared" si="28"/>
        <v>8.8439589493004133E-3</v>
      </c>
    </row>
    <row r="451" spans="1:18" x14ac:dyDescent="0.3">
      <c r="A451" s="1">
        <v>44859</v>
      </c>
      <c r="B451">
        <v>173.85</v>
      </c>
      <c r="C451">
        <f t="shared" si="25"/>
        <v>-2.4136963233230488E-2</v>
      </c>
      <c r="D451" s="2">
        <f t="shared" si="26"/>
        <v>-2.4136963233230488E-2</v>
      </c>
      <c r="O451" s="1">
        <v>44859</v>
      </c>
      <c r="P451">
        <v>59543.96</v>
      </c>
      <c r="Q451">
        <f t="shared" si="27"/>
        <v>-4.8084910229802139E-3</v>
      </c>
      <c r="R451" s="2">
        <f t="shared" si="28"/>
        <v>-4.8084910229802139E-3</v>
      </c>
    </row>
    <row r="452" spans="1:18" x14ac:dyDescent="0.3">
      <c r="A452" s="1">
        <v>44861</v>
      </c>
      <c r="B452">
        <v>182.25</v>
      </c>
      <c r="C452">
        <f t="shared" ref="C452:C515" si="29">(B452-B451)/B451</f>
        <v>4.8317515099223503E-2</v>
      </c>
      <c r="D452" s="2">
        <f t="shared" ref="D452:D515" si="30">(B452-B451)/B451</f>
        <v>4.8317515099223503E-2</v>
      </c>
      <c r="O452" s="1">
        <v>44861</v>
      </c>
      <c r="P452">
        <v>59756.84</v>
      </c>
      <c r="Q452">
        <f t="shared" ref="Q452:Q515" si="31">(P452-P451)/P451</f>
        <v>3.5751737035964251E-3</v>
      </c>
      <c r="R452" s="2">
        <f t="shared" ref="R452:R515" si="32">(P452-P451)/P451</f>
        <v>3.5751737035964251E-3</v>
      </c>
    </row>
    <row r="453" spans="1:18" x14ac:dyDescent="0.3">
      <c r="A453" s="1">
        <v>44862</v>
      </c>
      <c r="B453">
        <v>179.15</v>
      </c>
      <c r="C453">
        <f t="shared" si="29"/>
        <v>-1.7009602194787348E-2</v>
      </c>
      <c r="D453" s="2">
        <f t="shared" si="30"/>
        <v>-1.7009602194787348E-2</v>
      </c>
      <c r="O453" s="1">
        <v>44862</v>
      </c>
      <c r="P453">
        <v>59959.85</v>
      </c>
      <c r="Q453">
        <f t="shared" si="31"/>
        <v>3.3972679947601322E-3</v>
      </c>
      <c r="R453" s="2">
        <f t="shared" si="32"/>
        <v>3.3972679947601322E-3</v>
      </c>
    </row>
    <row r="454" spans="1:18" x14ac:dyDescent="0.3">
      <c r="A454" s="1">
        <v>44865</v>
      </c>
      <c r="B454">
        <v>178.5</v>
      </c>
      <c r="C454">
        <f t="shared" si="29"/>
        <v>-3.6282444878593676E-3</v>
      </c>
      <c r="D454" s="2">
        <f t="shared" si="30"/>
        <v>-3.6282444878593676E-3</v>
      </c>
      <c r="O454" s="1">
        <v>44865</v>
      </c>
      <c r="P454">
        <v>60746.59</v>
      </c>
      <c r="Q454">
        <f t="shared" si="31"/>
        <v>1.3121113545147261E-2</v>
      </c>
      <c r="R454" s="2">
        <f t="shared" si="32"/>
        <v>1.3121113545147261E-2</v>
      </c>
    </row>
    <row r="455" spans="1:18" x14ac:dyDescent="0.3">
      <c r="A455" s="1">
        <v>44866</v>
      </c>
      <c r="B455">
        <v>179.45</v>
      </c>
      <c r="C455">
        <f t="shared" si="29"/>
        <v>5.3221288515405522E-3</v>
      </c>
      <c r="D455" s="2">
        <f t="shared" si="30"/>
        <v>5.3221288515405522E-3</v>
      </c>
      <c r="O455" s="1">
        <v>44866</v>
      </c>
      <c r="P455">
        <v>61121.35</v>
      </c>
      <c r="Q455">
        <f t="shared" si="31"/>
        <v>6.1692351784684877E-3</v>
      </c>
      <c r="R455" s="2">
        <f t="shared" si="32"/>
        <v>6.1692351784684877E-3</v>
      </c>
    </row>
    <row r="456" spans="1:18" x14ac:dyDescent="0.3">
      <c r="A456" s="1">
        <v>44867</v>
      </c>
      <c r="B456">
        <v>176.9</v>
      </c>
      <c r="C456">
        <f t="shared" si="29"/>
        <v>-1.4210086375034734E-2</v>
      </c>
      <c r="D456" s="2">
        <f t="shared" si="30"/>
        <v>-1.4210086375034734E-2</v>
      </c>
      <c r="O456" s="1">
        <v>44867</v>
      </c>
      <c r="P456">
        <v>60906.09</v>
      </c>
      <c r="Q456">
        <f t="shared" si="31"/>
        <v>-3.5218462942981795E-3</v>
      </c>
      <c r="R456" s="2">
        <f t="shared" si="32"/>
        <v>-3.5218462942981795E-3</v>
      </c>
    </row>
    <row r="457" spans="1:18" x14ac:dyDescent="0.3">
      <c r="A457" s="1">
        <v>44868</v>
      </c>
      <c r="B457">
        <v>177.95</v>
      </c>
      <c r="C457">
        <f t="shared" si="29"/>
        <v>5.9355568117579584E-3</v>
      </c>
      <c r="D457" s="2">
        <f t="shared" si="30"/>
        <v>5.9355568117579584E-3</v>
      </c>
      <c r="O457" s="1">
        <v>44868</v>
      </c>
      <c r="P457">
        <v>60836.41</v>
      </c>
      <c r="Q457">
        <f t="shared" si="31"/>
        <v>-1.144056366120252E-3</v>
      </c>
      <c r="R457" s="2">
        <f t="shared" si="32"/>
        <v>-1.144056366120252E-3</v>
      </c>
    </row>
    <row r="458" spans="1:18" x14ac:dyDescent="0.3">
      <c r="A458" s="1">
        <v>44869</v>
      </c>
      <c r="B458">
        <v>178</v>
      </c>
      <c r="C458">
        <f t="shared" si="29"/>
        <v>2.809778027536464E-4</v>
      </c>
      <c r="D458" s="2">
        <f t="shared" si="30"/>
        <v>2.809778027536464E-4</v>
      </c>
      <c r="O458" s="1">
        <v>44869</v>
      </c>
      <c r="P458">
        <v>60950.36</v>
      </c>
      <c r="Q458">
        <f t="shared" si="31"/>
        <v>1.8730559544851034E-3</v>
      </c>
      <c r="R458" s="2">
        <f t="shared" si="32"/>
        <v>1.8730559544851034E-3</v>
      </c>
    </row>
    <row r="459" spans="1:18" x14ac:dyDescent="0.3">
      <c r="A459" s="1">
        <v>44872</v>
      </c>
      <c r="B459">
        <v>177.15</v>
      </c>
      <c r="C459">
        <f t="shared" si="29"/>
        <v>-4.7752808988763724E-3</v>
      </c>
      <c r="D459" s="2">
        <f t="shared" si="30"/>
        <v>-4.7752808988763724E-3</v>
      </c>
      <c r="O459" s="1">
        <v>44872</v>
      </c>
      <c r="P459">
        <v>61185.15</v>
      </c>
      <c r="Q459">
        <f t="shared" si="31"/>
        <v>3.8521511603869258E-3</v>
      </c>
      <c r="R459" s="2">
        <f t="shared" si="32"/>
        <v>3.8521511603869258E-3</v>
      </c>
    </row>
    <row r="460" spans="1:18" x14ac:dyDescent="0.3">
      <c r="A460" s="1">
        <v>44874</v>
      </c>
      <c r="B460">
        <v>178.65</v>
      </c>
      <c r="C460">
        <f t="shared" si="29"/>
        <v>8.4674005080440304E-3</v>
      </c>
      <c r="D460" s="2">
        <f t="shared" si="30"/>
        <v>8.4674005080440304E-3</v>
      </c>
      <c r="O460" s="1">
        <v>44874</v>
      </c>
      <c r="P460">
        <v>61033.55</v>
      </c>
      <c r="Q460">
        <f t="shared" si="31"/>
        <v>-2.4777253957863721E-3</v>
      </c>
      <c r="R460" s="2">
        <f t="shared" si="32"/>
        <v>-2.4777253957863721E-3</v>
      </c>
    </row>
    <row r="461" spans="1:18" x14ac:dyDescent="0.3">
      <c r="A461" s="1">
        <v>44875</v>
      </c>
      <c r="B461">
        <v>178.5</v>
      </c>
      <c r="C461">
        <f t="shared" si="29"/>
        <v>-8.3963056255250865E-4</v>
      </c>
      <c r="D461" s="2">
        <f t="shared" si="30"/>
        <v>-8.3963056255250865E-4</v>
      </c>
      <c r="O461" s="1">
        <v>44875</v>
      </c>
      <c r="P461">
        <v>60613.7</v>
      </c>
      <c r="Q461">
        <f t="shared" si="31"/>
        <v>-6.87900343335765E-3</v>
      </c>
      <c r="R461" s="2">
        <f t="shared" si="32"/>
        <v>-6.87900343335765E-3</v>
      </c>
    </row>
    <row r="462" spans="1:18" x14ac:dyDescent="0.3">
      <c r="A462" s="1">
        <v>44876</v>
      </c>
      <c r="B462">
        <v>178.75</v>
      </c>
      <c r="C462">
        <f t="shared" si="29"/>
        <v>1.4005602240896359E-3</v>
      </c>
      <c r="D462" s="2">
        <f t="shared" si="30"/>
        <v>1.4005602240896359E-3</v>
      </c>
      <c r="O462" s="1">
        <v>44876</v>
      </c>
      <c r="P462">
        <v>61795.040000000001</v>
      </c>
      <c r="Q462">
        <f t="shared" si="31"/>
        <v>1.9489653329197918E-2</v>
      </c>
      <c r="R462" s="2">
        <f t="shared" si="32"/>
        <v>1.9489653329197918E-2</v>
      </c>
    </row>
    <row r="463" spans="1:18" x14ac:dyDescent="0.3">
      <c r="A463" s="1">
        <v>44879</v>
      </c>
      <c r="B463">
        <v>164.8</v>
      </c>
      <c r="C463">
        <f t="shared" si="29"/>
        <v>-7.8041958041957973E-2</v>
      </c>
      <c r="D463" s="2">
        <f t="shared" si="30"/>
        <v>-7.8041958041957973E-2</v>
      </c>
      <c r="O463" s="1">
        <v>44879</v>
      </c>
      <c r="P463">
        <v>61624.15</v>
      </c>
      <c r="Q463">
        <f t="shared" si="31"/>
        <v>-2.765432306541098E-3</v>
      </c>
      <c r="R463" s="2">
        <f t="shared" si="32"/>
        <v>-2.765432306541098E-3</v>
      </c>
    </row>
    <row r="464" spans="1:18" x14ac:dyDescent="0.3">
      <c r="A464" s="1">
        <v>44880</v>
      </c>
      <c r="B464">
        <v>166.4</v>
      </c>
      <c r="C464">
        <f t="shared" si="29"/>
        <v>9.7087378640776344E-3</v>
      </c>
      <c r="D464" s="2">
        <f t="shared" si="30"/>
        <v>9.7087378640776344E-3</v>
      </c>
      <c r="O464" s="1">
        <v>44880</v>
      </c>
      <c r="P464">
        <v>61872.99</v>
      </c>
      <c r="Q464">
        <f t="shared" si="31"/>
        <v>4.0380272993622872E-3</v>
      </c>
      <c r="R464" s="2">
        <f t="shared" si="32"/>
        <v>4.0380272993622872E-3</v>
      </c>
    </row>
    <row r="465" spans="1:18" x14ac:dyDescent="0.3">
      <c r="A465" s="1">
        <v>44881</v>
      </c>
      <c r="B465">
        <v>169.45</v>
      </c>
      <c r="C465">
        <f t="shared" si="29"/>
        <v>1.832932692307682E-2</v>
      </c>
      <c r="D465" s="2">
        <f t="shared" si="30"/>
        <v>1.832932692307682E-2</v>
      </c>
      <c r="O465" s="1">
        <v>44881</v>
      </c>
      <c r="P465">
        <v>61980.72</v>
      </c>
      <c r="Q465">
        <f t="shared" si="31"/>
        <v>1.7411474700027138E-3</v>
      </c>
      <c r="R465" s="2">
        <f t="shared" si="32"/>
        <v>1.7411474700027138E-3</v>
      </c>
    </row>
    <row r="466" spans="1:18" x14ac:dyDescent="0.3">
      <c r="A466" s="1">
        <v>44882</v>
      </c>
      <c r="B466">
        <v>166.6</v>
      </c>
      <c r="C466">
        <f t="shared" si="29"/>
        <v>-1.6819120684567687E-2</v>
      </c>
      <c r="D466" s="2">
        <f t="shared" si="30"/>
        <v>-1.6819120684567687E-2</v>
      </c>
      <c r="O466" s="1">
        <v>44882</v>
      </c>
      <c r="P466">
        <v>61750.6</v>
      </c>
      <c r="Q466">
        <f t="shared" si="31"/>
        <v>-3.7127674541373931E-3</v>
      </c>
      <c r="R466" s="2">
        <f t="shared" si="32"/>
        <v>-3.7127674541373931E-3</v>
      </c>
    </row>
    <row r="467" spans="1:18" x14ac:dyDescent="0.3">
      <c r="A467" s="1">
        <v>44883</v>
      </c>
      <c r="B467">
        <v>165.05</v>
      </c>
      <c r="C467">
        <f t="shared" si="29"/>
        <v>-9.303721488595337E-3</v>
      </c>
      <c r="D467" s="2">
        <f t="shared" si="30"/>
        <v>-9.303721488595337E-3</v>
      </c>
      <c r="O467" s="1">
        <v>44883</v>
      </c>
      <c r="P467">
        <v>61663.48</v>
      </c>
      <c r="Q467">
        <f t="shared" si="31"/>
        <v>-1.4108364938963402E-3</v>
      </c>
      <c r="R467" s="2">
        <f t="shared" si="32"/>
        <v>-1.4108364938963402E-3</v>
      </c>
    </row>
    <row r="468" spans="1:18" x14ac:dyDescent="0.3">
      <c r="A468" s="1">
        <v>44886</v>
      </c>
      <c r="B468">
        <v>162.75</v>
      </c>
      <c r="C468">
        <f t="shared" si="29"/>
        <v>-1.3935171160254537E-2</v>
      </c>
      <c r="D468" s="2">
        <f t="shared" si="30"/>
        <v>-1.3935171160254537E-2</v>
      </c>
      <c r="O468" s="1">
        <v>44886</v>
      </c>
      <c r="P468">
        <v>61144.84</v>
      </c>
      <c r="Q468">
        <f t="shared" si="31"/>
        <v>-8.4108130128239065E-3</v>
      </c>
      <c r="R468" s="2">
        <f t="shared" si="32"/>
        <v>-8.4108130128239065E-3</v>
      </c>
    </row>
    <row r="469" spans="1:18" x14ac:dyDescent="0.3">
      <c r="A469" s="1">
        <v>44887</v>
      </c>
      <c r="B469">
        <v>160.4</v>
      </c>
      <c r="C469">
        <f t="shared" si="29"/>
        <v>-1.4439324116743436E-2</v>
      </c>
      <c r="D469" s="2">
        <f t="shared" si="30"/>
        <v>-1.4439324116743436E-2</v>
      </c>
      <c r="O469" s="1">
        <v>44887</v>
      </c>
      <c r="P469">
        <v>61418.96</v>
      </c>
      <c r="Q469">
        <f t="shared" si="31"/>
        <v>4.4831256406918825E-3</v>
      </c>
      <c r="R469" s="2">
        <f t="shared" si="32"/>
        <v>4.4831256406918825E-3</v>
      </c>
    </row>
    <row r="470" spans="1:18" x14ac:dyDescent="0.3">
      <c r="A470" s="1">
        <v>44888</v>
      </c>
      <c r="B470">
        <v>163.25</v>
      </c>
      <c r="C470">
        <f t="shared" si="29"/>
        <v>1.7768079800498719E-2</v>
      </c>
      <c r="D470" s="2">
        <f t="shared" si="30"/>
        <v>1.7768079800498719E-2</v>
      </c>
      <c r="O470" s="1">
        <v>44888</v>
      </c>
      <c r="P470">
        <v>61510.58</v>
      </c>
      <c r="Q470">
        <f t="shared" si="31"/>
        <v>1.4917217745139713E-3</v>
      </c>
      <c r="R470" s="2">
        <f t="shared" si="32"/>
        <v>1.4917217745139713E-3</v>
      </c>
    </row>
    <row r="471" spans="1:18" x14ac:dyDescent="0.3">
      <c r="A471" s="1">
        <v>44889</v>
      </c>
      <c r="B471">
        <v>162.44999999999999</v>
      </c>
      <c r="C471">
        <f t="shared" si="29"/>
        <v>-4.9004594180705133E-3</v>
      </c>
      <c r="D471" s="2">
        <f t="shared" si="30"/>
        <v>-4.9004594180705133E-3</v>
      </c>
      <c r="O471" s="1">
        <v>44889</v>
      </c>
      <c r="P471">
        <v>62272.68</v>
      </c>
      <c r="Q471">
        <f t="shared" si="31"/>
        <v>1.2389738480762148E-2</v>
      </c>
      <c r="R471" s="2">
        <f t="shared" si="32"/>
        <v>1.2389738480762148E-2</v>
      </c>
    </row>
    <row r="472" spans="1:18" x14ac:dyDescent="0.3">
      <c r="A472" s="1">
        <v>44890</v>
      </c>
      <c r="B472">
        <v>168.7</v>
      </c>
      <c r="C472">
        <f t="shared" si="29"/>
        <v>3.8473376423514928E-2</v>
      </c>
      <c r="D472" s="2">
        <f t="shared" si="30"/>
        <v>3.8473376423514928E-2</v>
      </c>
      <c r="O472" s="1">
        <v>44890</v>
      </c>
      <c r="P472">
        <v>62293.64</v>
      </c>
      <c r="Q472">
        <f t="shared" si="31"/>
        <v>3.3658419711499692E-4</v>
      </c>
      <c r="R472" s="2">
        <f t="shared" si="32"/>
        <v>3.3658419711499692E-4</v>
      </c>
    </row>
    <row r="473" spans="1:18" x14ac:dyDescent="0.3">
      <c r="A473" s="1">
        <v>44893</v>
      </c>
      <c r="B473">
        <v>167.5</v>
      </c>
      <c r="C473">
        <f t="shared" si="29"/>
        <v>-7.113218731475926E-3</v>
      </c>
      <c r="D473" s="2">
        <f t="shared" si="30"/>
        <v>-7.113218731475926E-3</v>
      </c>
      <c r="O473" s="1">
        <v>44893</v>
      </c>
      <c r="P473">
        <v>62504.800000000003</v>
      </c>
      <c r="Q473">
        <f t="shared" si="31"/>
        <v>3.3897521480524095E-3</v>
      </c>
      <c r="R473" s="2">
        <f t="shared" si="32"/>
        <v>3.3897521480524095E-3</v>
      </c>
    </row>
    <row r="474" spans="1:18" x14ac:dyDescent="0.3">
      <c r="A474" s="1">
        <v>44894</v>
      </c>
      <c r="B474">
        <v>164.35</v>
      </c>
      <c r="C474">
        <f t="shared" si="29"/>
        <v>-1.8805970149253764E-2</v>
      </c>
      <c r="D474" s="2">
        <f t="shared" si="30"/>
        <v>-1.8805970149253764E-2</v>
      </c>
      <c r="O474" s="1">
        <v>44894</v>
      </c>
      <c r="P474">
        <v>62681.84</v>
      </c>
      <c r="Q474">
        <f t="shared" si="31"/>
        <v>2.8324224699542051E-3</v>
      </c>
      <c r="R474" s="2">
        <f t="shared" si="32"/>
        <v>2.8324224699542051E-3</v>
      </c>
    </row>
    <row r="475" spans="1:18" x14ac:dyDescent="0.3">
      <c r="A475" s="1">
        <v>44895</v>
      </c>
      <c r="B475">
        <v>166.4</v>
      </c>
      <c r="C475">
        <f t="shared" si="29"/>
        <v>1.2473379981746344E-2</v>
      </c>
      <c r="D475" s="2">
        <f t="shared" si="30"/>
        <v>1.2473379981746344E-2</v>
      </c>
      <c r="O475" s="1">
        <v>44895</v>
      </c>
      <c r="P475">
        <v>63099.65</v>
      </c>
      <c r="Q475">
        <f t="shared" si="31"/>
        <v>6.6655669329426992E-3</v>
      </c>
      <c r="R475" s="2">
        <f t="shared" si="32"/>
        <v>6.6655669329426992E-3</v>
      </c>
    </row>
    <row r="476" spans="1:18" x14ac:dyDescent="0.3">
      <c r="A476" s="1">
        <v>44896</v>
      </c>
      <c r="B476">
        <v>162.65</v>
      </c>
      <c r="C476">
        <f t="shared" si="29"/>
        <v>-2.2536057692307692E-2</v>
      </c>
      <c r="D476" s="2">
        <f t="shared" si="30"/>
        <v>-2.2536057692307692E-2</v>
      </c>
      <c r="O476" s="1">
        <v>44896</v>
      </c>
      <c r="P476">
        <v>63284.19</v>
      </c>
      <c r="Q476">
        <f t="shared" si="31"/>
        <v>2.9245804057550376E-3</v>
      </c>
      <c r="R476" s="2">
        <f t="shared" si="32"/>
        <v>2.9245804057550376E-3</v>
      </c>
    </row>
    <row r="477" spans="1:18" x14ac:dyDescent="0.3">
      <c r="A477" s="1">
        <v>44897</v>
      </c>
      <c r="B477">
        <v>160.94999999999999</v>
      </c>
      <c r="C477">
        <f t="shared" si="29"/>
        <v>-1.0451890562557744E-2</v>
      </c>
      <c r="D477" s="2">
        <f t="shared" si="30"/>
        <v>-1.0451890562557744E-2</v>
      </c>
      <c r="O477" s="1">
        <v>44897</v>
      </c>
      <c r="P477">
        <v>62868.5</v>
      </c>
      <c r="Q477">
        <f t="shared" si="31"/>
        <v>-6.5686232216925315E-3</v>
      </c>
      <c r="R477" s="2">
        <f t="shared" si="32"/>
        <v>-6.5686232216925315E-3</v>
      </c>
    </row>
    <row r="478" spans="1:18" x14ac:dyDescent="0.3">
      <c r="A478" s="1">
        <v>44900</v>
      </c>
      <c r="B478">
        <v>161.30000000000001</v>
      </c>
      <c r="C478">
        <f t="shared" si="29"/>
        <v>2.1745883814850747E-3</v>
      </c>
      <c r="D478" s="2">
        <f t="shared" si="30"/>
        <v>2.1745883814850747E-3</v>
      </c>
      <c r="O478" s="1">
        <v>44900</v>
      </c>
      <c r="P478">
        <v>62834.6</v>
      </c>
      <c r="Q478">
        <f t="shared" si="31"/>
        <v>-5.392207544318928E-4</v>
      </c>
      <c r="R478" s="2">
        <f t="shared" si="32"/>
        <v>-5.392207544318928E-4</v>
      </c>
    </row>
    <row r="479" spans="1:18" x14ac:dyDescent="0.3">
      <c r="A479" s="1">
        <v>44901</v>
      </c>
      <c r="B479">
        <v>169.35</v>
      </c>
      <c r="C479">
        <f t="shared" si="29"/>
        <v>4.9907005579665112E-2</v>
      </c>
      <c r="D479" s="2">
        <f t="shared" si="30"/>
        <v>4.9907005579665112E-2</v>
      </c>
      <c r="O479" s="1">
        <v>44901</v>
      </c>
      <c r="P479">
        <v>62626.36</v>
      </c>
      <c r="Q479">
        <f t="shared" si="31"/>
        <v>-3.3140976468378565E-3</v>
      </c>
      <c r="R479" s="2">
        <f t="shared" si="32"/>
        <v>-3.3140976468378565E-3</v>
      </c>
    </row>
    <row r="480" spans="1:18" x14ac:dyDescent="0.3">
      <c r="A480" s="1">
        <v>44902</v>
      </c>
      <c r="B480">
        <v>166.65</v>
      </c>
      <c r="C480">
        <f t="shared" si="29"/>
        <v>-1.5943312666076109E-2</v>
      </c>
      <c r="D480" s="2">
        <f t="shared" si="30"/>
        <v>-1.5943312666076109E-2</v>
      </c>
      <c r="O480" s="1">
        <v>44902</v>
      </c>
      <c r="P480">
        <v>62410.68</v>
      </c>
      <c r="Q480">
        <f t="shared" si="31"/>
        <v>-3.4439172259093502E-3</v>
      </c>
      <c r="R480" s="2">
        <f t="shared" si="32"/>
        <v>-3.4439172259093502E-3</v>
      </c>
    </row>
    <row r="481" spans="1:18" x14ac:dyDescent="0.3">
      <c r="A481" s="1">
        <v>44903</v>
      </c>
      <c r="B481">
        <v>164.1</v>
      </c>
      <c r="C481">
        <f t="shared" si="29"/>
        <v>-1.5301530153015368E-2</v>
      </c>
      <c r="D481" s="2">
        <f t="shared" si="30"/>
        <v>-1.5301530153015368E-2</v>
      </c>
      <c r="O481" s="1">
        <v>44903</v>
      </c>
      <c r="P481">
        <v>62570.68</v>
      </c>
      <c r="Q481">
        <f t="shared" si="31"/>
        <v>2.5636637831858264E-3</v>
      </c>
      <c r="R481" s="2">
        <f t="shared" si="32"/>
        <v>2.5636637831858264E-3</v>
      </c>
    </row>
    <row r="482" spans="1:18" x14ac:dyDescent="0.3">
      <c r="A482" s="1">
        <v>44904</v>
      </c>
      <c r="B482">
        <v>163.1</v>
      </c>
      <c r="C482">
        <f t="shared" si="29"/>
        <v>-6.0938452163315053E-3</v>
      </c>
      <c r="D482" s="2">
        <f t="shared" si="30"/>
        <v>-6.0938452163315053E-3</v>
      </c>
      <c r="O482" s="1">
        <v>44904</v>
      </c>
      <c r="P482">
        <v>62181.67</v>
      </c>
      <c r="Q482">
        <f t="shared" si="31"/>
        <v>-6.2171291729609147E-3</v>
      </c>
      <c r="R482" s="2">
        <f t="shared" si="32"/>
        <v>-6.2171291729609147E-3</v>
      </c>
    </row>
    <row r="483" spans="1:18" x14ac:dyDescent="0.3">
      <c r="A483" s="1">
        <v>44907</v>
      </c>
      <c r="B483">
        <v>161.69999999999999</v>
      </c>
      <c r="C483">
        <f t="shared" si="29"/>
        <v>-8.5836909871244982E-3</v>
      </c>
      <c r="D483" s="2">
        <f t="shared" si="30"/>
        <v>-8.5836909871244982E-3</v>
      </c>
      <c r="O483" s="1">
        <v>44907</v>
      </c>
      <c r="P483">
        <v>62130.57</v>
      </c>
      <c r="Q483">
        <f t="shared" si="31"/>
        <v>-8.2178558407965802E-4</v>
      </c>
      <c r="R483" s="2">
        <f t="shared" si="32"/>
        <v>-8.2178558407965802E-4</v>
      </c>
    </row>
    <row r="484" spans="1:18" x14ac:dyDescent="0.3">
      <c r="A484" s="1">
        <v>44908</v>
      </c>
      <c r="B484">
        <v>172.85</v>
      </c>
      <c r="C484">
        <f t="shared" si="29"/>
        <v>6.895485466914042E-2</v>
      </c>
      <c r="D484" s="2">
        <f t="shared" si="30"/>
        <v>6.895485466914042E-2</v>
      </c>
      <c r="O484" s="1">
        <v>44908</v>
      </c>
      <c r="P484">
        <v>62533.3</v>
      </c>
      <c r="Q484">
        <f t="shared" si="31"/>
        <v>6.4819942904113578E-3</v>
      </c>
      <c r="R484" s="2">
        <f t="shared" si="32"/>
        <v>6.4819942904113578E-3</v>
      </c>
    </row>
    <row r="485" spans="1:18" x14ac:dyDescent="0.3">
      <c r="A485" s="1">
        <v>44909</v>
      </c>
      <c r="B485">
        <v>199.6</v>
      </c>
      <c r="C485">
        <f t="shared" si="29"/>
        <v>0.15475846109343361</v>
      </c>
      <c r="D485" s="2">
        <f t="shared" si="30"/>
        <v>0.15475846109343361</v>
      </c>
      <c r="O485" s="1">
        <v>44909</v>
      </c>
      <c r="P485">
        <v>62677.91</v>
      </c>
      <c r="Q485">
        <f t="shared" si="31"/>
        <v>2.312527885142805E-3</v>
      </c>
      <c r="R485" s="2">
        <f t="shared" si="32"/>
        <v>2.312527885142805E-3</v>
      </c>
    </row>
    <row r="486" spans="1:18" x14ac:dyDescent="0.3">
      <c r="A486" s="1">
        <v>44910</v>
      </c>
      <c r="B486">
        <v>199.55</v>
      </c>
      <c r="C486">
        <f t="shared" si="29"/>
        <v>-2.5050100200392256E-4</v>
      </c>
      <c r="D486" s="2">
        <f t="shared" si="30"/>
        <v>-2.5050100200392256E-4</v>
      </c>
      <c r="O486" s="1">
        <v>44910</v>
      </c>
      <c r="P486">
        <v>61799.03</v>
      </c>
      <c r="Q486">
        <f t="shared" si="31"/>
        <v>-1.4022165065810341E-2</v>
      </c>
      <c r="R486" s="2">
        <f t="shared" si="32"/>
        <v>-1.4022165065810341E-2</v>
      </c>
    </row>
    <row r="487" spans="1:18" x14ac:dyDescent="0.3">
      <c r="A487" s="1">
        <v>44911</v>
      </c>
      <c r="B487">
        <v>197.9</v>
      </c>
      <c r="C487">
        <f t="shared" si="29"/>
        <v>-8.2686043598095994E-3</v>
      </c>
      <c r="D487" s="2">
        <f t="shared" si="30"/>
        <v>-8.2686043598095994E-3</v>
      </c>
      <c r="O487" s="1">
        <v>44911</v>
      </c>
      <c r="P487">
        <v>61337.81</v>
      </c>
      <c r="Q487">
        <f t="shared" si="31"/>
        <v>-7.4632239373336635E-3</v>
      </c>
      <c r="R487" s="2">
        <f t="shared" si="32"/>
        <v>-7.4632239373336635E-3</v>
      </c>
    </row>
    <row r="488" spans="1:18" x14ac:dyDescent="0.3">
      <c r="A488" s="1">
        <v>44914</v>
      </c>
      <c r="B488">
        <v>198.75</v>
      </c>
      <c r="C488">
        <f t="shared" si="29"/>
        <v>4.2950985346134124E-3</v>
      </c>
      <c r="D488" s="2">
        <f t="shared" si="30"/>
        <v>4.2950985346134124E-3</v>
      </c>
      <c r="O488" s="1">
        <v>44914</v>
      </c>
      <c r="P488">
        <v>61806.19</v>
      </c>
      <c r="Q488">
        <f t="shared" si="31"/>
        <v>7.6360730844483148E-3</v>
      </c>
      <c r="R488" s="2">
        <f t="shared" si="32"/>
        <v>7.6360730844483148E-3</v>
      </c>
    </row>
    <row r="489" spans="1:18" x14ac:dyDescent="0.3">
      <c r="A489" s="1">
        <v>44915</v>
      </c>
      <c r="B489">
        <v>196.05</v>
      </c>
      <c r="C489">
        <f t="shared" si="29"/>
        <v>-1.3584905660377301E-2</v>
      </c>
      <c r="D489" s="2">
        <f t="shared" si="30"/>
        <v>-1.3584905660377301E-2</v>
      </c>
      <c r="O489" s="1">
        <v>44915</v>
      </c>
      <c r="P489">
        <v>61702.29</v>
      </c>
      <c r="Q489">
        <f t="shared" si="31"/>
        <v>-1.681061395306869E-3</v>
      </c>
      <c r="R489" s="2">
        <f t="shared" si="32"/>
        <v>-1.681061395306869E-3</v>
      </c>
    </row>
    <row r="490" spans="1:18" x14ac:dyDescent="0.3">
      <c r="A490" s="1">
        <v>44916</v>
      </c>
      <c r="B490">
        <v>180.9</v>
      </c>
      <c r="C490">
        <f t="shared" si="29"/>
        <v>-7.7276205049732233E-2</v>
      </c>
      <c r="D490" s="2">
        <f t="shared" si="30"/>
        <v>-7.7276205049732233E-2</v>
      </c>
      <c r="O490" s="1">
        <v>44916</v>
      </c>
      <c r="P490">
        <v>61067.24</v>
      </c>
      <c r="Q490">
        <f t="shared" si="31"/>
        <v>-1.029216257613782E-2</v>
      </c>
      <c r="R490" s="2">
        <f t="shared" si="32"/>
        <v>-1.029216257613782E-2</v>
      </c>
    </row>
    <row r="491" spans="1:18" x14ac:dyDescent="0.3">
      <c r="A491" s="1">
        <v>44917</v>
      </c>
      <c r="B491">
        <v>173.1</v>
      </c>
      <c r="C491">
        <f t="shared" si="29"/>
        <v>-4.3117744610281984E-2</v>
      </c>
      <c r="D491" s="2">
        <f t="shared" si="30"/>
        <v>-4.3117744610281984E-2</v>
      </c>
      <c r="O491" s="1">
        <v>44917</v>
      </c>
      <c r="P491">
        <v>60826.22</v>
      </c>
      <c r="Q491">
        <f t="shared" si="31"/>
        <v>-3.9467970060542579E-3</v>
      </c>
      <c r="R491" s="2">
        <f t="shared" si="32"/>
        <v>-3.9467970060542579E-3</v>
      </c>
    </row>
    <row r="492" spans="1:18" x14ac:dyDescent="0.3">
      <c r="A492" s="1">
        <v>44918</v>
      </c>
      <c r="B492">
        <v>170.3</v>
      </c>
      <c r="C492">
        <f t="shared" si="29"/>
        <v>-1.617562102830724E-2</v>
      </c>
      <c r="D492" s="2">
        <f t="shared" si="30"/>
        <v>-1.617562102830724E-2</v>
      </c>
      <c r="O492" s="1">
        <v>44918</v>
      </c>
      <c r="P492">
        <v>59845.29</v>
      </c>
      <c r="Q492">
        <f t="shared" si="31"/>
        <v>-1.612676243896136E-2</v>
      </c>
      <c r="R492" s="2">
        <f t="shared" si="32"/>
        <v>-1.612676243896136E-2</v>
      </c>
    </row>
    <row r="493" spans="1:18" x14ac:dyDescent="0.3">
      <c r="A493" s="1">
        <v>44921</v>
      </c>
      <c r="B493">
        <v>178.3</v>
      </c>
      <c r="C493">
        <f t="shared" si="29"/>
        <v>4.6975924838520255E-2</v>
      </c>
      <c r="D493" s="2">
        <f t="shared" si="30"/>
        <v>4.6975924838520255E-2</v>
      </c>
      <c r="O493" s="1">
        <v>44921</v>
      </c>
      <c r="P493">
        <v>60566.42</v>
      </c>
      <c r="Q493">
        <f t="shared" si="31"/>
        <v>1.2049904010825202E-2</v>
      </c>
      <c r="R493" s="2">
        <f t="shared" si="32"/>
        <v>1.2049904010825202E-2</v>
      </c>
    </row>
    <row r="494" spans="1:18" x14ac:dyDescent="0.3">
      <c r="A494" s="1">
        <v>44922</v>
      </c>
      <c r="B494">
        <v>190.05</v>
      </c>
      <c r="C494">
        <f t="shared" si="29"/>
        <v>6.5900168255748737E-2</v>
      </c>
      <c r="D494" s="2">
        <f t="shared" si="30"/>
        <v>6.5900168255748737E-2</v>
      </c>
      <c r="O494" s="1">
        <v>44922</v>
      </c>
      <c r="P494">
        <v>60927.43</v>
      </c>
      <c r="Q494">
        <f t="shared" si="31"/>
        <v>5.9605636258507943E-3</v>
      </c>
      <c r="R494" s="2">
        <f t="shared" si="32"/>
        <v>5.9605636258507943E-3</v>
      </c>
    </row>
    <row r="495" spans="1:18" x14ac:dyDescent="0.3">
      <c r="A495" s="1">
        <v>44923</v>
      </c>
      <c r="B495">
        <v>187.5</v>
      </c>
      <c r="C495">
        <f t="shared" si="29"/>
        <v>-1.3417521704814582E-2</v>
      </c>
      <c r="D495" s="2">
        <f t="shared" si="30"/>
        <v>-1.3417521704814582E-2</v>
      </c>
      <c r="O495" s="1">
        <v>44923</v>
      </c>
      <c r="P495">
        <v>60910.28</v>
      </c>
      <c r="Q495">
        <f t="shared" si="31"/>
        <v>-2.8148241276550569E-4</v>
      </c>
      <c r="R495" s="2">
        <f t="shared" si="32"/>
        <v>-2.8148241276550569E-4</v>
      </c>
    </row>
    <row r="496" spans="1:18" x14ac:dyDescent="0.3">
      <c r="A496" s="1">
        <v>44924</v>
      </c>
      <c r="B496">
        <v>184.75</v>
      </c>
      <c r="C496">
        <f t="shared" si="29"/>
        <v>-1.4666666666666666E-2</v>
      </c>
      <c r="D496" s="2">
        <f t="shared" si="30"/>
        <v>-1.4666666666666666E-2</v>
      </c>
      <c r="O496" s="1">
        <v>44924</v>
      </c>
      <c r="P496">
        <v>61133.88</v>
      </c>
      <c r="Q496">
        <f t="shared" si="31"/>
        <v>3.67097310995777E-3</v>
      </c>
      <c r="R496" s="2">
        <f t="shared" si="32"/>
        <v>3.67097310995777E-3</v>
      </c>
    </row>
    <row r="497" spans="1:18" x14ac:dyDescent="0.3">
      <c r="A497" s="1">
        <v>44925</v>
      </c>
      <c r="B497">
        <v>188.85</v>
      </c>
      <c r="C497">
        <f t="shared" si="29"/>
        <v>2.2192151556156937E-2</v>
      </c>
      <c r="D497" s="2">
        <f t="shared" si="30"/>
        <v>2.2192151556156937E-2</v>
      </c>
      <c r="O497" s="1">
        <v>44925</v>
      </c>
      <c r="P497">
        <v>60840.74</v>
      </c>
      <c r="Q497">
        <f t="shared" si="31"/>
        <v>-4.7950498152579133E-3</v>
      </c>
      <c r="R497" s="2">
        <f t="shared" si="32"/>
        <v>-4.7950498152579133E-3</v>
      </c>
    </row>
    <row r="498" spans="1:18" x14ac:dyDescent="0.3">
      <c r="A498" s="1">
        <v>44928</v>
      </c>
      <c r="B498">
        <v>210.45</v>
      </c>
      <c r="C498">
        <f t="shared" si="29"/>
        <v>0.1143764892772041</v>
      </c>
      <c r="D498" s="2">
        <f t="shared" si="30"/>
        <v>0.1143764892772041</v>
      </c>
      <c r="O498" s="1">
        <v>44928</v>
      </c>
      <c r="P498">
        <v>61167.79</v>
      </c>
      <c r="Q498">
        <f t="shared" si="31"/>
        <v>5.3755098968224736E-3</v>
      </c>
      <c r="R498" s="2">
        <f t="shared" si="32"/>
        <v>5.3755098968224736E-3</v>
      </c>
    </row>
    <row r="499" spans="1:18" x14ac:dyDescent="0.3">
      <c r="A499" s="1">
        <v>44929</v>
      </c>
      <c r="B499">
        <v>221.2</v>
      </c>
      <c r="C499">
        <f t="shared" si="29"/>
        <v>5.1081016868614874E-2</v>
      </c>
      <c r="D499" s="2">
        <f t="shared" si="30"/>
        <v>5.1081016868614874E-2</v>
      </c>
      <c r="O499" s="1">
        <v>44929</v>
      </c>
      <c r="P499">
        <v>61294.2</v>
      </c>
      <c r="Q499">
        <f t="shared" si="31"/>
        <v>2.0666105478062266E-3</v>
      </c>
      <c r="R499" s="2">
        <f t="shared" si="32"/>
        <v>2.0666105478062266E-3</v>
      </c>
    </row>
    <row r="500" spans="1:18" x14ac:dyDescent="0.3">
      <c r="A500" s="1">
        <v>44930</v>
      </c>
      <c r="B500">
        <v>215.35</v>
      </c>
      <c r="C500">
        <f t="shared" si="29"/>
        <v>-2.644665461121155E-2</v>
      </c>
      <c r="D500" s="2">
        <f t="shared" si="30"/>
        <v>-2.644665461121155E-2</v>
      </c>
      <c r="O500" s="1">
        <v>44930</v>
      </c>
      <c r="P500">
        <v>60657.45</v>
      </c>
      <c r="Q500">
        <f t="shared" si="31"/>
        <v>-1.0388421743003418E-2</v>
      </c>
      <c r="R500" s="2">
        <f t="shared" si="32"/>
        <v>-1.0388421743003418E-2</v>
      </c>
    </row>
    <row r="501" spans="1:18" x14ac:dyDescent="0.3">
      <c r="A501" s="1">
        <v>44931</v>
      </c>
      <c r="B501">
        <v>210.75</v>
      </c>
      <c r="C501">
        <f t="shared" si="29"/>
        <v>-2.1360575806826071E-2</v>
      </c>
      <c r="D501" s="2">
        <f t="shared" si="30"/>
        <v>-2.1360575806826071E-2</v>
      </c>
      <c r="O501" s="1">
        <v>44931</v>
      </c>
      <c r="P501">
        <v>60353.27</v>
      </c>
      <c r="Q501">
        <f t="shared" si="31"/>
        <v>-5.0147178953286083E-3</v>
      </c>
      <c r="R501" s="2">
        <f t="shared" si="32"/>
        <v>-5.0147178953286083E-3</v>
      </c>
    </row>
    <row r="502" spans="1:18" x14ac:dyDescent="0.3">
      <c r="A502" s="1">
        <v>44932</v>
      </c>
      <c r="B502">
        <v>212.8</v>
      </c>
      <c r="C502">
        <f t="shared" si="29"/>
        <v>9.7271648873072901E-3</v>
      </c>
      <c r="D502" s="2">
        <f t="shared" si="30"/>
        <v>9.7271648873072901E-3</v>
      </c>
      <c r="O502" s="1">
        <v>44932</v>
      </c>
      <c r="P502">
        <v>59900.37</v>
      </c>
      <c r="Q502">
        <f t="shared" si="31"/>
        <v>-7.5041501479537762E-3</v>
      </c>
      <c r="R502" s="2">
        <f t="shared" si="32"/>
        <v>-7.5041501479537762E-3</v>
      </c>
    </row>
    <row r="503" spans="1:18" x14ac:dyDescent="0.3">
      <c r="A503" s="1">
        <v>44935</v>
      </c>
      <c r="B503">
        <v>205.9</v>
      </c>
      <c r="C503">
        <f t="shared" si="29"/>
        <v>-3.242481203007521E-2</v>
      </c>
      <c r="D503" s="2">
        <f t="shared" si="30"/>
        <v>-3.242481203007521E-2</v>
      </c>
      <c r="O503" s="1">
        <v>44935</v>
      </c>
      <c r="P503">
        <v>60747.31</v>
      </c>
      <c r="Q503">
        <f t="shared" si="31"/>
        <v>1.413914471646828E-2</v>
      </c>
      <c r="R503" s="2">
        <f t="shared" si="32"/>
        <v>1.413914471646828E-2</v>
      </c>
    </row>
    <row r="504" spans="1:18" x14ac:dyDescent="0.3">
      <c r="A504" s="1">
        <v>44936</v>
      </c>
      <c r="B504">
        <v>203.7</v>
      </c>
      <c r="C504">
        <f t="shared" si="29"/>
        <v>-1.0684798445847582E-2</v>
      </c>
      <c r="D504" s="2">
        <f t="shared" si="30"/>
        <v>-1.0684798445847582E-2</v>
      </c>
      <c r="O504" s="1">
        <v>44936</v>
      </c>
      <c r="P504">
        <v>60115.48</v>
      </c>
      <c r="Q504">
        <f t="shared" si="31"/>
        <v>-1.0400954379708246E-2</v>
      </c>
      <c r="R504" s="2">
        <f t="shared" si="32"/>
        <v>-1.0400954379708246E-2</v>
      </c>
    </row>
    <row r="505" spans="1:18" x14ac:dyDescent="0.3">
      <c r="A505" s="1">
        <v>44937</v>
      </c>
      <c r="B505">
        <v>202.15</v>
      </c>
      <c r="C505">
        <f t="shared" si="29"/>
        <v>-7.6092292587137114E-3</v>
      </c>
      <c r="D505" s="2">
        <f t="shared" si="30"/>
        <v>-7.6092292587137114E-3</v>
      </c>
      <c r="O505" s="1">
        <v>44937</v>
      </c>
      <c r="P505">
        <v>60105.5</v>
      </c>
      <c r="Q505">
        <f t="shared" si="31"/>
        <v>-1.6601381208306414E-4</v>
      </c>
      <c r="R505" s="2">
        <f t="shared" si="32"/>
        <v>-1.6601381208306414E-4</v>
      </c>
    </row>
    <row r="506" spans="1:18" x14ac:dyDescent="0.3">
      <c r="A506" s="1">
        <v>44938</v>
      </c>
      <c r="B506">
        <v>203.55</v>
      </c>
      <c r="C506">
        <f t="shared" si="29"/>
        <v>6.9255503339104903E-3</v>
      </c>
      <c r="D506" s="2">
        <f t="shared" si="30"/>
        <v>6.9255503339104903E-3</v>
      </c>
      <c r="O506" s="1">
        <v>44938</v>
      </c>
      <c r="P506">
        <v>59958.03</v>
      </c>
      <c r="Q506">
        <f t="shared" si="31"/>
        <v>-2.4535192286895737E-3</v>
      </c>
      <c r="R506" s="2">
        <f t="shared" si="32"/>
        <v>-2.4535192286895737E-3</v>
      </c>
    </row>
    <row r="507" spans="1:18" x14ac:dyDescent="0.3">
      <c r="A507" s="1">
        <v>44939</v>
      </c>
      <c r="B507">
        <v>203.5</v>
      </c>
      <c r="C507">
        <f t="shared" si="29"/>
        <v>-2.4563989191850338E-4</v>
      </c>
      <c r="D507" s="2">
        <f t="shared" si="30"/>
        <v>-2.4563989191850338E-4</v>
      </c>
      <c r="O507" s="1">
        <v>44939</v>
      </c>
      <c r="P507">
        <v>60261.18</v>
      </c>
      <c r="Q507">
        <f t="shared" si="31"/>
        <v>5.0560366976700449E-3</v>
      </c>
      <c r="R507" s="2">
        <f t="shared" si="32"/>
        <v>5.0560366976700449E-3</v>
      </c>
    </row>
    <row r="508" spans="1:18" x14ac:dyDescent="0.3">
      <c r="A508" s="1">
        <v>44942</v>
      </c>
      <c r="B508">
        <v>201.9</v>
      </c>
      <c r="C508">
        <f t="shared" si="29"/>
        <v>-7.8624078624078345E-3</v>
      </c>
      <c r="D508" s="2">
        <f t="shared" si="30"/>
        <v>-7.8624078624078345E-3</v>
      </c>
      <c r="O508" s="1">
        <v>44942</v>
      </c>
      <c r="P508">
        <v>60092.97</v>
      </c>
      <c r="Q508">
        <f t="shared" si="31"/>
        <v>-2.7913492566856331E-3</v>
      </c>
      <c r="R508" s="2">
        <f t="shared" si="32"/>
        <v>-2.7913492566856331E-3</v>
      </c>
    </row>
    <row r="509" spans="1:18" x14ac:dyDescent="0.3">
      <c r="A509" s="1">
        <v>44943</v>
      </c>
      <c r="B509">
        <v>202.75</v>
      </c>
      <c r="C509">
        <f t="shared" si="29"/>
        <v>4.2100049529469755E-3</v>
      </c>
      <c r="D509" s="2">
        <f t="shared" si="30"/>
        <v>4.2100049529469755E-3</v>
      </c>
      <c r="O509" s="1">
        <v>44943</v>
      </c>
      <c r="P509">
        <v>60655.72</v>
      </c>
      <c r="Q509">
        <f t="shared" si="31"/>
        <v>9.364656131990147E-3</v>
      </c>
      <c r="R509" s="2">
        <f t="shared" si="32"/>
        <v>9.364656131990147E-3</v>
      </c>
    </row>
    <row r="510" spans="1:18" x14ac:dyDescent="0.3">
      <c r="A510" s="1">
        <v>44944</v>
      </c>
      <c r="B510">
        <v>204.4</v>
      </c>
      <c r="C510">
        <f t="shared" si="29"/>
        <v>8.1381011097410878E-3</v>
      </c>
      <c r="D510" s="2">
        <f t="shared" si="30"/>
        <v>8.1381011097410878E-3</v>
      </c>
      <c r="O510" s="1">
        <v>44944</v>
      </c>
      <c r="P510">
        <v>61045.74</v>
      </c>
      <c r="Q510">
        <f t="shared" si="31"/>
        <v>6.4300613363421754E-3</v>
      </c>
      <c r="R510" s="2">
        <f t="shared" si="32"/>
        <v>6.4300613363421754E-3</v>
      </c>
    </row>
    <row r="511" spans="1:18" x14ac:dyDescent="0.3">
      <c r="A511" s="1">
        <v>44945</v>
      </c>
      <c r="B511">
        <v>201.6</v>
      </c>
      <c r="C511">
        <f t="shared" si="29"/>
        <v>-1.3698630136986356E-2</v>
      </c>
      <c r="D511" s="2">
        <f t="shared" si="30"/>
        <v>-1.3698630136986356E-2</v>
      </c>
      <c r="O511" s="1">
        <v>44945</v>
      </c>
      <c r="P511">
        <v>60858.43</v>
      </c>
      <c r="Q511">
        <f t="shared" si="31"/>
        <v>-3.06835497448303E-3</v>
      </c>
      <c r="R511" s="2">
        <f t="shared" si="32"/>
        <v>-3.06835497448303E-3</v>
      </c>
    </row>
    <row r="512" spans="1:18" x14ac:dyDescent="0.3">
      <c r="A512" s="1">
        <v>44946</v>
      </c>
      <c r="B512">
        <v>214.05</v>
      </c>
      <c r="C512">
        <f t="shared" si="29"/>
        <v>6.1755952380952467E-2</v>
      </c>
      <c r="D512" s="2">
        <f t="shared" si="30"/>
        <v>6.1755952380952467E-2</v>
      </c>
      <c r="O512" s="1">
        <v>44946</v>
      </c>
      <c r="P512">
        <v>60621.77</v>
      </c>
      <c r="Q512">
        <f t="shared" si="31"/>
        <v>-3.8886970958666449E-3</v>
      </c>
      <c r="R512" s="2">
        <f t="shared" si="32"/>
        <v>-3.8886970958666449E-3</v>
      </c>
    </row>
    <row r="513" spans="1:18" x14ac:dyDescent="0.3">
      <c r="A513" s="1">
        <v>44949</v>
      </c>
      <c r="B513">
        <v>207.3</v>
      </c>
      <c r="C513">
        <f t="shared" si="29"/>
        <v>-3.1534688156972669E-2</v>
      </c>
      <c r="D513" s="2">
        <f t="shared" si="30"/>
        <v>-3.1534688156972669E-2</v>
      </c>
      <c r="O513" s="1">
        <v>44949</v>
      </c>
      <c r="P513">
        <v>60941.67</v>
      </c>
      <c r="Q513">
        <f t="shared" si="31"/>
        <v>5.2769821798341002E-3</v>
      </c>
      <c r="R513" s="2">
        <f t="shared" si="32"/>
        <v>5.2769821798341002E-3</v>
      </c>
    </row>
    <row r="514" spans="1:18" x14ac:dyDescent="0.3">
      <c r="A514" s="1">
        <v>44950</v>
      </c>
      <c r="B514">
        <v>204.4</v>
      </c>
      <c r="C514">
        <f t="shared" si="29"/>
        <v>-1.3989387361312135E-2</v>
      </c>
      <c r="D514" s="2">
        <f t="shared" si="30"/>
        <v>-1.3989387361312135E-2</v>
      </c>
      <c r="O514" s="1">
        <v>44950</v>
      </c>
      <c r="P514">
        <v>60978.75</v>
      </c>
      <c r="Q514">
        <f t="shared" si="31"/>
        <v>6.0845067094488468E-4</v>
      </c>
      <c r="R514" s="2">
        <f t="shared" si="32"/>
        <v>6.0845067094488468E-4</v>
      </c>
    </row>
    <row r="515" spans="1:18" x14ac:dyDescent="0.3">
      <c r="A515" s="1">
        <v>44951</v>
      </c>
      <c r="B515">
        <v>206.9</v>
      </c>
      <c r="C515">
        <f t="shared" si="29"/>
        <v>1.223091976516634E-2</v>
      </c>
      <c r="D515" s="2">
        <f t="shared" si="30"/>
        <v>1.223091976516634E-2</v>
      </c>
      <c r="O515" s="1">
        <v>44951</v>
      </c>
      <c r="P515">
        <v>60205.06</v>
      </c>
      <c r="Q515">
        <f t="shared" si="31"/>
        <v>-1.2687862575077421E-2</v>
      </c>
      <c r="R515" s="2">
        <f t="shared" si="32"/>
        <v>-1.2687862575077421E-2</v>
      </c>
    </row>
    <row r="516" spans="1:18" x14ac:dyDescent="0.3">
      <c r="A516" s="1">
        <v>44953</v>
      </c>
      <c r="B516">
        <v>202.35</v>
      </c>
      <c r="C516">
        <f t="shared" ref="C516:C579" si="33">(B516-B515)/B515</f>
        <v>-2.1991300144997637E-2</v>
      </c>
      <c r="D516" s="2">
        <f t="shared" ref="D516:D579" si="34">(B516-B515)/B515</f>
        <v>-2.1991300144997637E-2</v>
      </c>
      <c r="O516" s="1">
        <v>44953</v>
      </c>
      <c r="P516">
        <v>59330.9</v>
      </c>
      <c r="Q516">
        <f t="shared" ref="Q516:Q579" si="35">(P516-P515)/P515</f>
        <v>-1.451970980512263E-2</v>
      </c>
      <c r="R516" s="2">
        <f t="shared" ref="R516:R579" si="36">(P516-P515)/P515</f>
        <v>-1.451970980512263E-2</v>
      </c>
    </row>
    <row r="517" spans="1:18" x14ac:dyDescent="0.3">
      <c r="A517" s="1">
        <v>44956</v>
      </c>
      <c r="B517">
        <v>197.65</v>
      </c>
      <c r="C517">
        <f t="shared" si="33"/>
        <v>-2.3227081788979434E-2</v>
      </c>
      <c r="D517" s="2">
        <f t="shared" si="34"/>
        <v>-2.3227081788979434E-2</v>
      </c>
      <c r="O517" s="1">
        <v>44956</v>
      </c>
      <c r="P517">
        <v>59500.41</v>
      </c>
      <c r="Q517">
        <f t="shared" si="35"/>
        <v>2.8570272825796006E-3</v>
      </c>
      <c r="R517" s="2">
        <f t="shared" si="36"/>
        <v>2.8570272825796006E-3</v>
      </c>
    </row>
    <row r="518" spans="1:18" x14ac:dyDescent="0.3">
      <c r="A518" s="1">
        <v>44957</v>
      </c>
      <c r="B518">
        <v>206.75</v>
      </c>
      <c r="C518">
        <f t="shared" si="33"/>
        <v>4.6040981533012872E-2</v>
      </c>
      <c r="D518" s="2">
        <f t="shared" si="34"/>
        <v>4.6040981533012872E-2</v>
      </c>
      <c r="O518" s="1">
        <v>44957</v>
      </c>
      <c r="P518">
        <v>59549.9</v>
      </c>
      <c r="Q518">
        <f t="shared" si="35"/>
        <v>8.3175897443392335E-4</v>
      </c>
      <c r="R518" s="2">
        <f t="shared" si="36"/>
        <v>8.3175897443392335E-4</v>
      </c>
    </row>
    <row r="519" spans="1:18" x14ac:dyDescent="0.3">
      <c r="A519" s="1">
        <v>44958</v>
      </c>
      <c r="B519">
        <v>196.7</v>
      </c>
      <c r="C519">
        <f t="shared" si="33"/>
        <v>-4.8609431680773939E-2</v>
      </c>
      <c r="D519" s="2">
        <f t="shared" si="34"/>
        <v>-4.8609431680773939E-2</v>
      </c>
      <c r="O519" s="1">
        <v>44958</v>
      </c>
      <c r="P519">
        <v>59708.08</v>
      </c>
      <c r="Q519">
        <f t="shared" si="35"/>
        <v>2.6562597082446871E-3</v>
      </c>
      <c r="R519" s="2">
        <f t="shared" si="36"/>
        <v>2.6562597082446871E-3</v>
      </c>
    </row>
    <row r="520" spans="1:18" x14ac:dyDescent="0.3">
      <c r="A520" s="1">
        <v>44959</v>
      </c>
      <c r="B520">
        <v>212.3</v>
      </c>
      <c r="C520">
        <f t="shared" si="33"/>
        <v>7.93085917641079E-2</v>
      </c>
      <c r="D520" s="2">
        <f t="shared" si="34"/>
        <v>7.93085917641079E-2</v>
      </c>
      <c r="O520" s="1">
        <v>44959</v>
      </c>
      <c r="P520">
        <v>59932.24</v>
      </c>
      <c r="Q520">
        <f t="shared" si="35"/>
        <v>3.7542657543166054E-3</v>
      </c>
      <c r="R520" s="2">
        <f t="shared" si="36"/>
        <v>3.7542657543166054E-3</v>
      </c>
    </row>
    <row r="521" spans="1:18" x14ac:dyDescent="0.3">
      <c r="A521" s="1">
        <v>44960</v>
      </c>
      <c r="B521">
        <v>207.55</v>
      </c>
      <c r="C521">
        <f t="shared" si="33"/>
        <v>-2.237399905793688E-2</v>
      </c>
      <c r="D521" s="2">
        <f t="shared" si="34"/>
        <v>-2.237399905793688E-2</v>
      </c>
      <c r="O521" s="1">
        <v>44960</v>
      </c>
      <c r="P521">
        <v>60841.88</v>
      </c>
      <c r="Q521">
        <f t="shared" si="35"/>
        <v>1.5177807470570088E-2</v>
      </c>
      <c r="R521" s="2">
        <f t="shared" si="36"/>
        <v>1.5177807470570088E-2</v>
      </c>
    </row>
    <row r="522" spans="1:18" x14ac:dyDescent="0.3">
      <c r="A522" s="1">
        <v>44963</v>
      </c>
      <c r="B522">
        <v>203.5</v>
      </c>
      <c r="C522">
        <f t="shared" si="33"/>
        <v>-1.9513370272223614E-2</v>
      </c>
      <c r="D522" s="2">
        <f t="shared" si="34"/>
        <v>-1.9513370272223614E-2</v>
      </c>
      <c r="O522" s="1">
        <v>44963</v>
      </c>
      <c r="P522">
        <v>60506.9</v>
      </c>
      <c r="Q522">
        <f t="shared" si="35"/>
        <v>-5.5057470281982728E-3</v>
      </c>
      <c r="R522" s="2">
        <f t="shared" si="36"/>
        <v>-5.5057470281982728E-3</v>
      </c>
    </row>
    <row r="523" spans="1:18" x14ac:dyDescent="0.3">
      <c r="A523" s="1">
        <v>44964</v>
      </c>
      <c r="B523">
        <v>201.6</v>
      </c>
      <c r="C523">
        <f t="shared" si="33"/>
        <v>-9.3366093366093646E-3</v>
      </c>
      <c r="D523" s="2">
        <f t="shared" si="34"/>
        <v>-9.3366093366093646E-3</v>
      </c>
      <c r="O523" s="1">
        <v>44964</v>
      </c>
      <c r="P523">
        <v>60286.04</v>
      </c>
      <c r="Q523">
        <f t="shared" si="35"/>
        <v>-3.6501622129046533E-3</v>
      </c>
      <c r="R523" s="2">
        <f t="shared" si="36"/>
        <v>-3.6501622129046533E-3</v>
      </c>
    </row>
    <row r="524" spans="1:18" x14ac:dyDescent="0.3">
      <c r="A524" s="1">
        <v>44965</v>
      </c>
      <c r="B524">
        <v>179.95</v>
      </c>
      <c r="C524">
        <f t="shared" si="33"/>
        <v>-0.10739087301587305</v>
      </c>
      <c r="D524" s="2">
        <f t="shared" si="34"/>
        <v>-0.10739087301587305</v>
      </c>
      <c r="O524" s="1">
        <v>44965</v>
      </c>
      <c r="P524">
        <v>60663.79</v>
      </c>
      <c r="Q524">
        <f t="shared" si="35"/>
        <v>6.2659614066540113E-3</v>
      </c>
      <c r="R524" s="2">
        <f t="shared" si="36"/>
        <v>6.2659614066540113E-3</v>
      </c>
    </row>
    <row r="525" spans="1:18" x14ac:dyDescent="0.3">
      <c r="A525" s="1">
        <v>44966</v>
      </c>
      <c r="B525">
        <v>178.9</v>
      </c>
      <c r="C525">
        <f t="shared" si="33"/>
        <v>-5.8349541539315531E-3</v>
      </c>
      <c r="D525" s="2">
        <f t="shared" si="34"/>
        <v>-5.8349541539315531E-3</v>
      </c>
      <c r="O525" s="1">
        <v>44966</v>
      </c>
      <c r="P525">
        <v>60806.22</v>
      </c>
      <c r="Q525">
        <f t="shared" si="35"/>
        <v>2.3478585825250993E-3</v>
      </c>
      <c r="R525" s="2">
        <f t="shared" si="36"/>
        <v>2.3478585825250993E-3</v>
      </c>
    </row>
    <row r="526" spans="1:18" x14ac:dyDescent="0.3">
      <c r="A526" s="1">
        <v>44967</v>
      </c>
      <c r="B526">
        <v>177.85</v>
      </c>
      <c r="C526">
        <f t="shared" si="33"/>
        <v>-5.8692006707658541E-3</v>
      </c>
      <c r="D526" s="2">
        <f t="shared" si="34"/>
        <v>-5.8692006707658541E-3</v>
      </c>
      <c r="O526" s="1">
        <v>44967</v>
      </c>
      <c r="P526">
        <v>60682.7</v>
      </c>
      <c r="Q526">
        <f t="shared" si="35"/>
        <v>-2.0313711327558936E-3</v>
      </c>
      <c r="R526" s="2">
        <f t="shared" si="36"/>
        <v>-2.0313711327558936E-3</v>
      </c>
    </row>
    <row r="527" spans="1:18" x14ac:dyDescent="0.3">
      <c r="A527" s="1">
        <v>44970</v>
      </c>
      <c r="B527">
        <v>163.05000000000001</v>
      </c>
      <c r="C527">
        <f t="shared" si="33"/>
        <v>-8.321619342142246E-2</v>
      </c>
      <c r="D527" s="2">
        <f t="shared" si="34"/>
        <v>-8.321619342142246E-2</v>
      </c>
      <c r="O527" s="1">
        <v>44970</v>
      </c>
      <c r="P527">
        <v>60431.839999999997</v>
      </c>
      <c r="Q527">
        <f t="shared" si="35"/>
        <v>-4.1339623978498092E-3</v>
      </c>
      <c r="R527" s="2">
        <f t="shared" si="36"/>
        <v>-4.1339623978498092E-3</v>
      </c>
    </row>
    <row r="528" spans="1:18" x14ac:dyDescent="0.3">
      <c r="A528" s="1">
        <v>44971</v>
      </c>
      <c r="B528">
        <v>167.1</v>
      </c>
      <c r="C528">
        <f t="shared" si="33"/>
        <v>2.4839006439742305E-2</v>
      </c>
      <c r="D528" s="2">
        <f t="shared" si="34"/>
        <v>2.4839006439742305E-2</v>
      </c>
      <c r="O528" s="1">
        <v>44971</v>
      </c>
      <c r="P528">
        <v>61032.26</v>
      </c>
      <c r="Q528">
        <f t="shared" si="35"/>
        <v>9.9354909597325781E-3</v>
      </c>
      <c r="R528" s="2">
        <f t="shared" si="36"/>
        <v>9.9354909597325781E-3</v>
      </c>
    </row>
    <row r="529" spans="1:18" x14ac:dyDescent="0.3">
      <c r="A529" s="1">
        <v>44972</v>
      </c>
      <c r="B529">
        <v>168.75</v>
      </c>
      <c r="C529">
        <f t="shared" si="33"/>
        <v>9.8743267504488672E-3</v>
      </c>
      <c r="D529" s="2">
        <f t="shared" si="34"/>
        <v>9.8743267504488672E-3</v>
      </c>
      <c r="O529" s="1">
        <v>44972</v>
      </c>
      <c r="P529">
        <v>61275.09</v>
      </c>
      <c r="Q529">
        <f t="shared" si="35"/>
        <v>3.9787155186452941E-3</v>
      </c>
      <c r="R529" s="2">
        <f t="shared" si="36"/>
        <v>3.9787155186452941E-3</v>
      </c>
    </row>
    <row r="530" spans="1:18" x14ac:dyDescent="0.3">
      <c r="A530" s="1">
        <v>44973</v>
      </c>
      <c r="B530">
        <v>170.05</v>
      </c>
      <c r="C530">
        <f t="shared" si="33"/>
        <v>7.7037037037037707E-3</v>
      </c>
      <c r="D530" s="2">
        <f t="shared" si="34"/>
        <v>7.7037037037037707E-3</v>
      </c>
      <c r="O530" s="1">
        <v>44973</v>
      </c>
      <c r="P530">
        <v>61319.51</v>
      </c>
      <c r="Q530">
        <f t="shared" si="35"/>
        <v>7.2492753580623921E-4</v>
      </c>
      <c r="R530" s="2">
        <f t="shared" si="36"/>
        <v>7.2492753580623921E-4</v>
      </c>
    </row>
    <row r="531" spans="1:18" x14ac:dyDescent="0.3">
      <c r="A531" s="1">
        <v>44974</v>
      </c>
      <c r="B531">
        <v>171.85</v>
      </c>
      <c r="C531">
        <f t="shared" si="33"/>
        <v>1.058512202293433E-2</v>
      </c>
      <c r="D531" s="2">
        <f t="shared" si="34"/>
        <v>1.058512202293433E-2</v>
      </c>
      <c r="O531" s="1">
        <v>44974</v>
      </c>
      <c r="P531">
        <v>61002.57</v>
      </c>
      <c r="Q531">
        <f t="shared" si="35"/>
        <v>-5.1686649159460394E-3</v>
      </c>
      <c r="R531" s="2">
        <f t="shared" si="36"/>
        <v>-5.1686649159460394E-3</v>
      </c>
    </row>
    <row r="532" spans="1:18" x14ac:dyDescent="0.3">
      <c r="A532" s="1">
        <v>44977</v>
      </c>
      <c r="B532">
        <v>171.85</v>
      </c>
      <c r="C532">
        <f t="shared" si="33"/>
        <v>0</v>
      </c>
      <c r="D532" s="2">
        <f t="shared" si="34"/>
        <v>0</v>
      </c>
      <c r="O532" s="1">
        <v>44977</v>
      </c>
      <c r="P532">
        <v>60691.54</v>
      </c>
      <c r="Q532">
        <f t="shared" si="35"/>
        <v>-5.0986376475613869E-3</v>
      </c>
      <c r="R532" s="2">
        <f t="shared" si="36"/>
        <v>-5.0986376475613869E-3</v>
      </c>
    </row>
    <row r="533" spans="1:18" x14ac:dyDescent="0.3">
      <c r="A533" s="1">
        <v>44978</v>
      </c>
      <c r="B533">
        <v>172.25</v>
      </c>
      <c r="C533">
        <f t="shared" si="33"/>
        <v>2.3276112889147843E-3</v>
      </c>
      <c r="D533" s="2">
        <f t="shared" si="34"/>
        <v>2.3276112889147843E-3</v>
      </c>
      <c r="O533" s="1">
        <v>44978</v>
      </c>
      <c r="P533">
        <v>60672.72</v>
      </c>
      <c r="Q533">
        <f t="shared" si="35"/>
        <v>-3.1009264223645844E-4</v>
      </c>
      <c r="R533" s="2">
        <f t="shared" si="36"/>
        <v>-3.1009264223645844E-4</v>
      </c>
    </row>
    <row r="534" spans="1:18" x14ac:dyDescent="0.3">
      <c r="A534" s="1">
        <v>44979</v>
      </c>
      <c r="B534">
        <v>170.95</v>
      </c>
      <c r="C534">
        <f t="shared" si="33"/>
        <v>-7.5471698113208207E-3</v>
      </c>
      <c r="D534" s="2">
        <f t="shared" si="34"/>
        <v>-7.5471698113208207E-3</v>
      </c>
      <c r="O534" s="1">
        <v>44979</v>
      </c>
      <c r="P534">
        <v>59744.98</v>
      </c>
      <c r="Q534">
        <f t="shared" si="35"/>
        <v>-1.5290891853867734E-2</v>
      </c>
      <c r="R534" s="2">
        <f t="shared" si="36"/>
        <v>-1.5290891853867734E-2</v>
      </c>
    </row>
    <row r="535" spans="1:18" x14ac:dyDescent="0.3">
      <c r="A535" s="1">
        <v>44980</v>
      </c>
      <c r="B535">
        <v>170.15</v>
      </c>
      <c r="C535">
        <f t="shared" si="33"/>
        <v>-4.6797309154722605E-3</v>
      </c>
      <c r="D535" s="2">
        <f t="shared" si="34"/>
        <v>-4.6797309154722605E-3</v>
      </c>
      <c r="O535" s="1">
        <v>44980</v>
      </c>
      <c r="P535">
        <v>59605.8</v>
      </c>
      <c r="Q535">
        <f t="shared" si="35"/>
        <v>-2.3295681076468734E-3</v>
      </c>
      <c r="R535" s="2">
        <f t="shared" si="36"/>
        <v>-2.3295681076468734E-3</v>
      </c>
    </row>
    <row r="536" spans="1:18" x14ac:dyDescent="0.3">
      <c r="A536" s="1">
        <v>44981</v>
      </c>
      <c r="B536">
        <v>167.8</v>
      </c>
      <c r="C536">
        <f t="shared" si="33"/>
        <v>-1.3811342932706402E-2</v>
      </c>
      <c r="D536" s="2">
        <f t="shared" si="34"/>
        <v>-1.3811342932706402E-2</v>
      </c>
      <c r="O536" s="1">
        <v>44981</v>
      </c>
      <c r="P536">
        <v>59463.93</v>
      </c>
      <c r="Q536">
        <f t="shared" si="35"/>
        <v>-2.3801375033973642E-3</v>
      </c>
      <c r="R536" s="2">
        <f t="shared" si="36"/>
        <v>-2.3801375033973642E-3</v>
      </c>
    </row>
    <row r="537" spans="1:18" x14ac:dyDescent="0.3">
      <c r="A537" s="1">
        <v>44984</v>
      </c>
      <c r="B537">
        <v>165.65</v>
      </c>
      <c r="C537">
        <f t="shared" si="33"/>
        <v>-1.2812872467222918E-2</v>
      </c>
      <c r="D537" s="2">
        <f t="shared" si="34"/>
        <v>-1.2812872467222918E-2</v>
      </c>
      <c r="O537" s="1">
        <v>44984</v>
      </c>
      <c r="P537">
        <v>59288.35</v>
      </c>
      <c r="Q537">
        <f t="shared" si="35"/>
        <v>-2.952714359780824E-3</v>
      </c>
      <c r="R537" s="2">
        <f t="shared" si="36"/>
        <v>-2.952714359780824E-3</v>
      </c>
    </row>
    <row r="538" spans="1:18" x14ac:dyDescent="0.3">
      <c r="A538" s="1">
        <v>44985</v>
      </c>
      <c r="B538">
        <v>164.55</v>
      </c>
      <c r="C538">
        <f t="shared" si="33"/>
        <v>-6.640507093268906E-3</v>
      </c>
      <c r="D538" s="2">
        <f t="shared" si="34"/>
        <v>-6.640507093268906E-3</v>
      </c>
      <c r="O538" s="1">
        <v>44985</v>
      </c>
      <c r="P538">
        <v>58962.12</v>
      </c>
      <c r="Q538">
        <f t="shared" si="35"/>
        <v>-5.5024300726870612E-3</v>
      </c>
      <c r="R538" s="2">
        <f t="shared" si="36"/>
        <v>-5.5024300726870612E-3</v>
      </c>
    </row>
    <row r="539" spans="1:18" x14ac:dyDescent="0.3">
      <c r="A539" s="1">
        <v>44986</v>
      </c>
      <c r="B539">
        <v>166.65</v>
      </c>
      <c r="C539">
        <f t="shared" si="33"/>
        <v>1.2762078395624394E-2</v>
      </c>
      <c r="D539" s="2">
        <f t="shared" si="34"/>
        <v>1.2762078395624394E-2</v>
      </c>
      <c r="O539" s="1">
        <v>44986</v>
      </c>
      <c r="P539">
        <v>59411.08</v>
      </c>
      <c r="Q539">
        <f t="shared" si="35"/>
        <v>7.6143802156367364E-3</v>
      </c>
      <c r="R539" s="2">
        <f t="shared" si="36"/>
        <v>7.6143802156367364E-3</v>
      </c>
    </row>
    <row r="540" spans="1:18" x14ac:dyDescent="0.3">
      <c r="A540" s="1">
        <v>44987</v>
      </c>
      <c r="B540">
        <v>169.05</v>
      </c>
      <c r="C540">
        <f t="shared" si="33"/>
        <v>1.4401440144014436E-2</v>
      </c>
      <c r="D540" s="2">
        <f t="shared" si="34"/>
        <v>1.4401440144014436E-2</v>
      </c>
      <c r="O540" s="1">
        <v>44987</v>
      </c>
      <c r="P540">
        <v>58909.35</v>
      </c>
      <c r="Q540">
        <f t="shared" si="35"/>
        <v>-8.4450577232395574E-3</v>
      </c>
      <c r="R540" s="2">
        <f t="shared" si="36"/>
        <v>-8.4450577232395574E-3</v>
      </c>
    </row>
    <row r="541" spans="1:18" x14ac:dyDescent="0.3">
      <c r="A541" s="1">
        <v>44988</v>
      </c>
      <c r="B541">
        <v>169.8</v>
      </c>
      <c r="C541">
        <f t="shared" si="33"/>
        <v>4.4365572315882874E-3</v>
      </c>
      <c r="D541" s="2">
        <f t="shared" si="34"/>
        <v>4.4365572315882874E-3</v>
      </c>
      <c r="O541" s="1">
        <v>44988</v>
      </c>
      <c r="P541">
        <v>59808.97</v>
      </c>
      <c r="Q541">
        <f t="shared" si="35"/>
        <v>1.5271259995230005E-2</v>
      </c>
      <c r="R541" s="2">
        <f t="shared" si="36"/>
        <v>1.5271259995230005E-2</v>
      </c>
    </row>
    <row r="542" spans="1:18" x14ac:dyDescent="0.3">
      <c r="A542" s="1">
        <v>44991</v>
      </c>
      <c r="B542">
        <v>175.95</v>
      </c>
      <c r="C542">
        <f t="shared" si="33"/>
        <v>3.6219081272084667E-2</v>
      </c>
      <c r="D542" s="2">
        <f t="shared" si="34"/>
        <v>3.6219081272084667E-2</v>
      </c>
      <c r="O542" s="1">
        <v>44991</v>
      </c>
      <c r="P542">
        <v>60224.46</v>
      </c>
      <c r="Q542">
        <f t="shared" si="35"/>
        <v>6.9469512683465028E-3</v>
      </c>
      <c r="R542" s="2">
        <f t="shared" si="36"/>
        <v>6.9469512683465028E-3</v>
      </c>
    </row>
    <row r="543" spans="1:18" x14ac:dyDescent="0.3">
      <c r="A543" s="1">
        <v>44993</v>
      </c>
      <c r="B543">
        <v>173.95</v>
      </c>
      <c r="C543">
        <f t="shared" si="33"/>
        <v>-1.1366865586814436E-2</v>
      </c>
      <c r="D543" s="2">
        <f t="shared" si="34"/>
        <v>-1.1366865586814436E-2</v>
      </c>
      <c r="O543" s="1">
        <v>44993</v>
      </c>
      <c r="P543">
        <v>60348.09</v>
      </c>
      <c r="Q543">
        <f t="shared" si="35"/>
        <v>2.0528203988877175E-3</v>
      </c>
      <c r="R543" s="2">
        <f t="shared" si="36"/>
        <v>2.0528203988877175E-3</v>
      </c>
    </row>
    <row r="544" spans="1:18" x14ac:dyDescent="0.3">
      <c r="A544" s="1">
        <v>44994</v>
      </c>
      <c r="B544">
        <v>171.15</v>
      </c>
      <c r="C544">
        <f t="shared" si="33"/>
        <v>-1.6096579476861071E-2</v>
      </c>
      <c r="D544" s="2">
        <f t="shared" si="34"/>
        <v>-1.6096579476861071E-2</v>
      </c>
      <c r="O544" s="1">
        <v>44994</v>
      </c>
      <c r="P544">
        <v>59806.28</v>
      </c>
      <c r="Q544">
        <f t="shared" si="35"/>
        <v>-8.9780803336111832E-3</v>
      </c>
      <c r="R544" s="2">
        <f t="shared" si="36"/>
        <v>-8.9780803336111832E-3</v>
      </c>
    </row>
    <row r="545" spans="1:18" x14ac:dyDescent="0.3">
      <c r="A545" s="1">
        <v>44995</v>
      </c>
      <c r="B545">
        <v>171.45</v>
      </c>
      <c r="C545">
        <f t="shared" si="33"/>
        <v>1.7528483786151501E-3</v>
      </c>
      <c r="D545" s="2">
        <f t="shared" si="34"/>
        <v>1.7528483786151501E-3</v>
      </c>
      <c r="O545" s="1">
        <v>44995</v>
      </c>
      <c r="P545">
        <v>59135.13</v>
      </c>
      <c r="Q545">
        <f t="shared" si="35"/>
        <v>-1.1222065642604782E-2</v>
      </c>
      <c r="R545" s="2">
        <f t="shared" si="36"/>
        <v>-1.1222065642604782E-2</v>
      </c>
    </row>
    <row r="546" spans="1:18" x14ac:dyDescent="0.3">
      <c r="A546" s="1">
        <v>44998</v>
      </c>
      <c r="B546">
        <v>168.95</v>
      </c>
      <c r="C546">
        <f t="shared" si="33"/>
        <v>-1.4581510644502771E-2</v>
      </c>
      <c r="D546" s="2">
        <f t="shared" si="34"/>
        <v>-1.4581510644502771E-2</v>
      </c>
      <c r="O546" s="1">
        <v>44998</v>
      </c>
      <c r="P546">
        <v>58237.85</v>
      </c>
      <c r="Q546">
        <f t="shared" si="35"/>
        <v>-1.5173383401710606E-2</v>
      </c>
      <c r="R546" s="2">
        <f t="shared" si="36"/>
        <v>-1.5173383401710606E-2</v>
      </c>
    </row>
    <row r="547" spans="1:18" x14ac:dyDescent="0.3">
      <c r="A547" s="1">
        <v>44999</v>
      </c>
      <c r="B547">
        <v>171.3</v>
      </c>
      <c r="C547">
        <f t="shared" si="33"/>
        <v>1.3909440662918158E-2</v>
      </c>
      <c r="D547" s="2">
        <f t="shared" si="34"/>
        <v>1.3909440662918158E-2</v>
      </c>
      <c r="O547" s="1">
        <v>44999</v>
      </c>
      <c r="P547">
        <v>57900.19</v>
      </c>
      <c r="Q547">
        <f t="shared" si="35"/>
        <v>-5.7979475547259426E-3</v>
      </c>
      <c r="R547" s="2">
        <f t="shared" si="36"/>
        <v>-5.7979475547259426E-3</v>
      </c>
    </row>
    <row r="548" spans="1:18" x14ac:dyDescent="0.3">
      <c r="A548" s="1">
        <v>45000</v>
      </c>
      <c r="B548">
        <v>169.75</v>
      </c>
      <c r="C548">
        <f t="shared" si="33"/>
        <v>-9.0484530064215488E-3</v>
      </c>
      <c r="D548" s="2">
        <f t="shared" si="34"/>
        <v>-9.0484530064215488E-3</v>
      </c>
      <c r="O548" s="1">
        <v>45000</v>
      </c>
      <c r="P548">
        <v>57555.9</v>
      </c>
      <c r="Q548">
        <f t="shared" si="35"/>
        <v>-5.9462671884151132E-3</v>
      </c>
      <c r="R548" s="2">
        <f t="shared" si="36"/>
        <v>-5.9462671884151132E-3</v>
      </c>
    </row>
    <row r="549" spans="1:18" x14ac:dyDescent="0.3">
      <c r="A549" s="1">
        <v>45001</v>
      </c>
      <c r="B549">
        <v>166.7</v>
      </c>
      <c r="C549">
        <f t="shared" si="33"/>
        <v>-1.7967599410898448E-2</v>
      </c>
      <c r="D549" s="2">
        <f t="shared" si="34"/>
        <v>-1.7967599410898448E-2</v>
      </c>
      <c r="O549" s="1">
        <v>45001</v>
      </c>
      <c r="P549">
        <v>57634.84</v>
      </c>
      <c r="Q549">
        <f t="shared" si="35"/>
        <v>1.3715361935091807E-3</v>
      </c>
      <c r="R549" s="2">
        <f t="shared" si="36"/>
        <v>1.3715361935091807E-3</v>
      </c>
    </row>
    <row r="550" spans="1:18" x14ac:dyDescent="0.3">
      <c r="A550" s="1">
        <v>45002</v>
      </c>
      <c r="B550">
        <v>168.15</v>
      </c>
      <c r="C550">
        <f t="shared" si="33"/>
        <v>8.6982603479305171E-3</v>
      </c>
      <c r="D550" s="2">
        <f t="shared" si="34"/>
        <v>8.6982603479305171E-3</v>
      </c>
      <c r="O550" s="1">
        <v>45002</v>
      </c>
      <c r="P550">
        <v>57989.9</v>
      </c>
      <c r="Q550">
        <f t="shared" si="35"/>
        <v>6.1605098582733116E-3</v>
      </c>
      <c r="R550" s="2">
        <f t="shared" si="36"/>
        <v>6.1605098582733116E-3</v>
      </c>
    </row>
    <row r="551" spans="1:18" x14ac:dyDescent="0.3">
      <c r="A551" s="1">
        <v>45005</v>
      </c>
      <c r="B551">
        <v>168.4</v>
      </c>
      <c r="C551">
        <f t="shared" si="33"/>
        <v>1.486767766874814E-3</v>
      </c>
      <c r="D551" s="2">
        <f t="shared" si="34"/>
        <v>1.486767766874814E-3</v>
      </c>
      <c r="O551" s="1">
        <v>45005</v>
      </c>
      <c r="P551">
        <v>57628.95</v>
      </c>
      <c r="Q551">
        <f t="shared" si="35"/>
        <v>-6.2243597591995223E-3</v>
      </c>
      <c r="R551" s="2">
        <f t="shared" si="36"/>
        <v>-6.2243597591995223E-3</v>
      </c>
    </row>
    <row r="552" spans="1:18" x14ac:dyDescent="0.3">
      <c r="A552" s="1">
        <v>45006</v>
      </c>
      <c r="B552">
        <v>168.55</v>
      </c>
      <c r="C552">
        <f t="shared" si="33"/>
        <v>8.907363420427891E-4</v>
      </c>
      <c r="D552" s="2">
        <f t="shared" si="34"/>
        <v>8.907363420427891E-4</v>
      </c>
      <c r="O552" s="1">
        <v>45006</v>
      </c>
      <c r="P552">
        <v>58074.68</v>
      </c>
      <c r="Q552">
        <f t="shared" si="35"/>
        <v>7.7344806733421869E-3</v>
      </c>
      <c r="R552" s="2">
        <f t="shared" si="36"/>
        <v>7.7344806733421869E-3</v>
      </c>
    </row>
    <row r="553" spans="1:18" x14ac:dyDescent="0.3">
      <c r="A553" s="1">
        <v>45007</v>
      </c>
      <c r="B553">
        <v>169.05</v>
      </c>
      <c r="C553">
        <f t="shared" si="33"/>
        <v>2.9664787896766538E-3</v>
      </c>
      <c r="D553" s="2">
        <f t="shared" si="34"/>
        <v>2.9664787896766538E-3</v>
      </c>
      <c r="O553" s="1">
        <v>45007</v>
      </c>
      <c r="P553">
        <v>58214.59</v>
      </c>
      <c r="Q553">
        <f t="shared" si="35"/>
        <v>2.4091394046423711E-3</v>
      </c>
      <c r="R553" s="2">
        <f t="shared" si="36"/>
        <v>2.4091394046423711E-3</v>
      </c>
    </row>
    <row r="554" spans="1:18" x14ac:dyDescent="0.3">
      <c r="A554" s="1">
        <v>45008</v>
      </c>
      <c r="B554">
        <v>166.8</v>
      </c>
      <c r="C554">
        <f t="shared" si="33"/>
        <v>-1.3309671694764862E-2</v>
      </c>
      <c r="D554" s="2">
        <f t="shared" si="34"/>
        <v>-1.3309671694764862E-2</v>
      </c>
      <c r="O554" s="1">
        <v>45008</v>
      </c>
      <c r="P554">
        <v>57925.279999999999</v>
      </c>
      <c r="Q554">
        <f t="shared" si="35"/>
        <v>-4.969716354611407E-3</v>
      </c>
      <c r="R554" s="2">
        <f t="shared" si="36"/>
        <v>-4.969716354611407E-3</v>
      </c>
    </row>
    <row r="555" spans="1:18" x14ac:dyDescent="0.3">
      <c r="A555" s="1">
        <v>45009</v>
      </c>
      <c r="B555">
        <v>165.05</v>
      </c>
      <c r="C555">
        <f t="shared" si="33"/>
        <v>-1.0491606714628296E-2</v>
      </c>
      <c r="D555" s="2">
        <f t="shared" si="34"/>
        <v>-1.0491606714628296E-2</v>
      </c>
      <c r="O555" s="1">
        <v>45009</v>
      </c>
      <c r="P555">
        <v>57527.1</v>
      </c>
      <c r="Q555">
        <f t="shared" si="35"/>
        <v>-6.8740280582156926E-3</v>
      </c>
      <c r="R555" s="2">
        <f t="shared" si="36"/>
        <v>-6.8740280582156926E-3</v>
      </c>
    </row>
    <row r="556" spans="1:18" x14ac:dyDescent="0.3">
      <c r="A556" s="1">
        <v>45012</v>
      </c>
      <c r="B556">
        <v>161.9</v>
      </c>
      <c r="C556">
        <f t="shared" si="33"/>
        <v>-1.9085125719478978E-2</v>
      </c>
      <c r="D556" s="2">
        <f t="shared" si="34"/>
        <v>-1.9085125719478978E-2</v>
      </c>
      <c r="O556" s="1">
        <v>45012</v>
      </c>
      <c r="P556">
        <v>57653.86</v>
      </c>
      <c r="Q556">
        <f t="shared" si="35"/>
        <v>2.203483227904797E-3</v>
      </c>
      <c r="R556" s="2">
        <f t="shared" si="36"/>
        <v>2.203483227904797E-3</v>
      </c>
    </row>
    <row r="557" spans="1:18" x14ac:dyDescent="0.3">
      <c r="A557" s="1">
        <v>45013</v>
      </c>
      <c r="B557">
        <v>158.1</v>
      </c>
      <c r="C557">
        <f t="shared" si="33"/>
        <v>-2.3471278567016748E-2</v>
      </c>
      <c r="D557" s="2">
        <f t="shared" si="34"/>
        <v>-2.3471278567016748E-2</v>
      </c>
      <c r="O557" s="1">
        <v>45013</v>
      </c>
      <c r="P557">
        <v>57613.72</v>
      </c>
      <c r="Q557">
        <f t="shared" si="35"/>
        <v>-6.9622398222771934E-4</v>
      </c>
      <c r="R557" s="2">
        <f t="shared" si="36"/>
        <v>-6.9622398222771934E-4</v>
      </c>
    </row>
    <row r="558" spans="1:18" x14ac:dyDescent="0.3">
      <c r="A558" s="1">
        <v>45014</v>
      </c>
      <c r="B558">
        <v>165.8</v>
      </c>
      <c r="C558">
        <f t="shared" si="33"/>
        <v>4.8703352308665508E-2</v>
      </c>
      <c r="D558" s="2">
        <f t="shared" si="34"/>
        <v>4.8703352308665508E-2</v>
      </c>
      <c r="O558" s="1">
        <v>45014</v>
      </c>
      <c r="P558">
        <v>57960.09</v>
      </c>
      <c r="Q558">
        <f t="shared" si="35"/>
        <v>6.0119360457890122E-3</v>
      </c>
      <c r="R558" s="2">
        <f t="shared" si="36"/>
        <v>6.0119360457890122E-3</v>
      </c>
    </row>
    <row r="559" spans="1:18" x14ac:dyDescent="0.3">
      <c r="A559" s="1">
        <v>45016</v>
      </c>
      <c r="B559">
        <v>167.5</v>
      </c>
      <c r="C559">
        <f t="shared" si="33"/>
        <v>1.0253317249698362E-2</v>
      </c>
      <c r="D559" s="2">
        <f t="shared" si="34"/>
        <v>1.0253317249698362E-2</v>
      </c>
      <c r="O559" s="1">
        <v>45016</v>
      </c>
      <c r="P559">
        <v>58991.519999999997</v>
      </c>
      <c r="Q559">
        <f t="shared" si="35"/>
        <v>1.7795521021447696E-2</v>
      </c>
      <c r="R559" s="2">
        <f t="shared" si="36"/>
        <v>1.7795521021447696E-2</v>
      </c>
    </row>
    <row r="560" spans="1:18" x14ac:dyDescent="0.3">
      <c r="A560" s="1">
        <v>45019</v>
      </c>
      <c r="B560">
        <v>168.85</v>
      </c>
      <c r="C560">
        <f t="shared" si="33"/>
        <v>8.059701492537279E-3</v>
      </c>
      <c r="D560" s="2">
        <f t="shared" si="34"/>
        <v>8.059701492537279E-3</v>
      </c>
      <c r="O560" s="1">
        <v>45019</v>
      </c>
      <c r="P560">
        <v>59106.44</v>
      </c>
      <c r="Q560">
        <f t="shared" si="35"/>
        <v>1.9480766049087316E-3</v>
      </c>
      <c r="R560" s="2">
        <f t="shared" si="36"/>
        <v>1.9480766049087316E-3</v>
      </c>
    </row>
    <row r="561" spans="1:18" x14ac:dyDescent="0.3">
      <c r="A561" s="1">
        <v>45021</v>
      </c>
      <c r="B561">
        <v>171.65</v>
      </c>
      <c r="C561">
        <f t="shared" si="33"/>
        <v>1.658276576843359E-2</v>
      </c>
      <c r="D561" s="2">
        <f t="shared" si="34"/>
        <v>1.658276576843359E-2</v>
      </c>
      <c r="O561" s="1">
        <v>45021</v>
      </c>
      <c r="P561">
        <v>59689.31</v>
      </c>
      <c r="Q561">
        <f t="shared" si="35"/>
        <v>9.8613619767997408E-3</v>
      </c>
      <c r="R561" s="2">
        <f t="shared" si="36"/>
        <v>9.8613619767997408E-3</v>
      </c>
    </row>
    <row r="562" spans="1:18" x14ac:dyDescent="0.3">
      <c r="A562" s="1">
        <v>45022</v>
      </c>
      <c r="B562">
        <v>171.55</v>
      </c>
      <c r="C562">
        <f t="shared" si="33"/>
        <v>-5.825808330905582E-4</v>
      </c>
      <c r="D562" s="2">
        <f t="shared" si="34"/>
        <v>-5.825808330905582E-4</v>
      </c>
      <c r="O562" s="1">
        <v>45022</v>
      </c>
      <c r="P562">
        <v>59832.97</v>
      </c>
      <c r="Q562">
        <f t="shared" si="35"/>
        <v>2.4067961248002952E-3</v>
      </c>
      <c r="R562" s="2">
        <f t="shared" si="36"/>
        <v>2.4067961248002952E-3</v>
      </c>
    </row>
    <row r="563" spans="1:18" x14ac:dyDescent="0.3">
      <c r="A563" s="1">
        <v>45026</v>
      </c>
      <c r="B563">
        <v>170.9</v>
      </c>
      <c r="C563">
        <f t="shared" si="33"/>
        <v>-3.7889828038473079E-3</v>
      </c>
      <c r="D563" s="2">
        <f t="shared" si="34"/>
        <v>-3.7889828038473079E-3</v>
      </c>
      <c r="O563" s="1">
        <v>45026</v>
      </c>
      <c r="P563">
        <v>59846.51</v>
      </c>
      <c r="Q563">
        <f t="shared" si="35"/>
        <v>2.262966387929744E-4</v>
      </c>
      <c r="R563" s="2">
        <f t="shared" si="36"/>
        <v>2.262966387929744E-4</v>
      </c>
    </row>
    <row r="564" spans="1:18" x14ac:dyDescent="0.3">
      <c r="A564" s="1">
        <v>45027</v>
      </c>
      <c r="B564">
        <v>174.75</v>
      </c>
      <c r="C564">
        <f t="shared" si="33"/>
        <v>2.2527794031597392E-2</v>
      </c>
      <c r="D564" s="2">
        <f t="shared" si="34"/>
        <v>2.2527794031597392E-2</v>
      </c>
      <c r="O564" s="1">
        <v>45027</v>
      </c>
      <c r="P564">
        <v>60157.72</v>
      </c>
      <c r="Q564">
        <f t="shared" si="35"/>
        <v>5.2001361482900028E-3</v>
      </c>
      <c r="R564" s="2">
        <f t="shared" si="36"/>
        <v>5.2001361482900028E-3</v>
      </c>
    </row>
    <row r="565" spans="1:18" x14ac:dyDescent="0.3">
      <c r="A565" s="1">
        <v>45028</v>
      </c>
      <c r="B565">
        <v>174.15</v>
      </c>
      <c r="C565">
        <f t="shared" si="33"/>
        <v>-3.4334763948497527E-3</v>
      </c>
      <c r="D565" s="2">
        <f t="shared" si="34"/>
        <v>-3.4334763948497527E-3</v>
      </c>
      <c r="O565" s="1">
        <v>45028</v>
      </c>
      <c r="P565">
        <v>60392.77</v>
      </c>
      <c r="Q565">
        <f t="shared" si="35"/>
        <v>3.9072291968511377E-3</v>
      </c>
      <c r="R565" s="2">
        <f t="shared" si="36"/>
        <v>3.9072291968511377E-3</v>
      </c>
    </row>
    <row r="566" spans="1:18" x14ac:dyDescent="0.3">
      <c r="A566" s="1">
        <v>45029</v>
      </c>
      <c r="B566">
        <v>175.05</v>
      </c>
      <c r="C566">
        <f t="shared" si="33"/>
        <v>5.1679586563307817E-3</v>
      </c>
      <c r="D566" s="2">
        <f t="shared" si="34"/>
        <v>5.1679586563307817E-3</v>
      </c>
      <c r="O566" s="1">
        <v>45029</v>
      </c>
      <c r="P566">
        <v>60431</v>
      </c>
      <c r="Q566">
        <f t="shared" si="35"/>
        <v>6.3302279395370011E-4</v>
      </c>
      <c r="R566" s="2">
        <f t="shared" si="36"/>
        <v>6.3302279395370011E-4</v>
      </c>
    </row>
    <row r="567" spans="1:18" x14ac:dyDescent="0.3">
      <c r="A567" s="1">
        <v>45033</v>
      </c>
      <c r="B567">
        <v>179.9</v>
      </c>
      <c r="C567">
        <f t="shared" si="33"/>
        <v>2.7706369608683199E-2</v>
      </c>
      <c r="D567" s="2">
        <f t="shared" si="34"/>
        <v>2.7706369608683199E-2</v>
      </c>
      <c r="O567" s="1">
        <v>45033</v>
      </c>
      <c r="P567">
        <v>59910.75</v>
      </c>
      <c r="Q567">
        <f t="shared" si="35"/>
        <v>-8.6089920736046061E-3</v>
      </c>
      <c r="R567" s="2">
        <f t="shared" si="36"/>
        <v>-8.6089920736046061E-3</v>
      </c>
    </row>
    <row r="568" spans="1:18" x14ac:dyDescent="0.3">
      <c r="A568" s="1">
        <v>45034</v>
      </c>
      <c r="B568">
        <v>181.05</v>
      </c>
      <c r="C568">
        <f t="shared" si="33"/>
        <v>6.3924402445803535E-3</v>
      </c>
      <c r="D568" s="2">
        <f t="shared" si="34"/>
        <v>6.3924402445803535E-3</v>
      </c>
      <c r="O568" s="1">
        <v>45034</v>
      </c>
      <c r="P568">
        <v>59727.01</v>
      </c>
      <c r="Q568">
        <f t="shared" si="35"/>
        <v>-3.0668953401517753E-3</v>
      </c>
      <c r="R568" s="2">
        <f t="shared" si="36"/>
        <v>-3.0668953401517753E-3</v>
      </c>
    </row>
    <row r="569" spans="1:18" x14ac:dyDescent="0.3">
      <c r="A569" s="1">
        <v>45035</v>
      </c>
      <c r="B569">
        <v>182.3</v>
      </c>
      <c r="C569">
        <f t="shared" si="33"/>
        <v>6.9041701187517257E-3</v>
      </c>
      <c r="D569" s="2">
        <f t="shared" si="34"/>
        <v>6.9041701187517257E-3</v>
      </c>
      <c r="O569" s="1">
        <v>45035</v>
      </c>
      <c r="P569">
        <v>59567.8</v>
      </c>
      <c r="Q569">
        <f t="shared" si="35"/>
        <v>-2.6656281638742525E-3</v>
      </c>
      <c r="R569" s="2">
        <f t="shared" si="36"/>
        <v>-2.6656281638742525E-3</v>
      </c>
    </row>
    <row r="570" spans="1:18" x14ac:dyDescent="0.3">
      <c r="A570" s="1">
        <v>45036</v>
      </c>
      <c r="B570">
        <v>183.15</v>
      </c>
      <c r="C570">
        <f t="shared" si="33"/>
        <v>4.6626439934174119E-3</v>
      </c>
      <c r="D570" s="2">
        <f t="shared" si="34"/>
        <v>4.6626439934174119E-3</v>
      </c>
      <c r="O570" s="1">
        <v>45036</v>
      </c>
      <c r="P570">
        <v>59632.35</v>
      </c>
      <c r="Q570">
        <f t="shared" si="35"/>
        <v>1.0836391473244879E-3</v>
      </c>
      <c r="R570" s="2">
        <f t="shared" si="36"/>
        <v>1.0836391473244879E-3</v>
      </c>
    </row>
    <row r="571" spans="1:18" x14ac:dyDescent="0.3">
      <c r="A571" s="1">
        <v>45037</v>
      </c>
      <c r="B571">
        <v>183.45</v>
      </c>
      <c r="C571">
        <f t="shared" si="33"/>
        <v>1.6380016380015449E-3</v>
      </c>
      <c r="D571" s="2">
        <f t="shared" si="34"/>
        <v>1.6380016380015449E-3</v>
      </c>
      <c r="O571" s="1">
        <v>45037</v>
      </c>
      <c r="P571">
        <v>59655.06</v>
      </c>
      <c r="Q571">
        <f t="shared" si="35"/>
        <v>3.8083355762432851E-4</v>
      </c>
      <c r="R571" s="2">
        <f t="shared" si="36"/>
        <v>3.8083355762432851E-4</v>
      </c>
    </row>
    <row r="572" spans="1:18" x14ac:dyDescent="0.3">
      <c r="A572" s="1">
        <v>45040</v>
      </c>
      <c r="B572">
        <v>182.2</v>
      </c>
      <c r="C572">
        <f t="shared" si="33"/>
        <v>-6.8138457345325708E-3</v>
      </c>
      <c r="D572" s="2">
        <f t="shared" si="34"/>
        <v>-6.8138457345325708E-3</v>
      </c>
      <c r="O572" s="1">
        <v>45040</v>
      </c>
      <c r="P572">
        <v>60056.1</v>
      </c>
      <c r="Q572">
        <f t="shared" si="35"/>
        <v>6.7226485062625184E-3</v>
      </c>
      <c r="R572" s="2">
        <f t="shared" si="36"/>
        <v>6.7226485062625184E-3</v>
      </c>
    </row>
    <row r="573" spans="1:18" x14ac:dyDescent="0.3">
      <c r="A573" s="1">
        <v>45041</v>
      </c>
      <c r="B573">
        <v>180.85</v>
      </c>
      <c r="C573">
        <f t="shared" si="33"/>
        <v>-7.409440175631144E-3</v>
      </c>
      <c r="D573" s="2">
        <f t="shared" si="34"/>
        <v>-7.409440175631144E-3</v>
      </c>
      <c r="O573" s="1">
        <v>45041</v>
      </c>
      <c r="P573">
        <v>60130.71</v>
      </c>
      <c r="Q573">
        <f t="shared" si="35"/>
        <v>1.2423384135833093E-3</v>
      </c>
      <c r="R573" s="2">
        <f t="shared" si="36"/>
        <v>1.2423384135833093E-3</v>
      </c>
    </row>
    <row r="574" spans="1:18" x14ac:dyDescent="0.3">
      <c r="A574" s="1">
        <v>45042</v>
      </c>
      <c r="B574">
        <v>180.6</v>
      </c>
      <c r="C574">
        <f t="shared" si="33"/>
        <v>-1.3823610727121925E-3</v>
      </c>
      <c r="D574" s="2">
        <f t="shared" si="34"/>
        <v>-1.3823610727121925E-3</v>
      </c>
      <c r="O574" s="1">
        <v>45042</v>
      </c>
      <c r="P574">
        <v>60300.58</v>
      </c>
      <c r="Q574">
        <f t="shared" si="35"/>
        <v>2.8250123772029737E-3</v>
      </c>
      <c r="R574" s="2">
        <f t="shared" si="36"/>
        <v>2.8250123772029737E-3</v>
      </c>
    </row>
    <row r="575" spans="1:18" x14ac:dyDescent="0.3">
      <c r="A575" s="1">
        <v>45043</v>
      </c>
      <c r="B575">
        <v>180.6</v>
      </c>
      <c r="C575">
        <f t="shared" si="33"/>
        <v>0</v>
      </c>
      <c r="D575" s="2">
        <f t="shared" si="34"/>
        <v>0</v>
      </c>
      <c r="O575" s="1">
        <v>45043</v>
      </c>
      <c r="P575">
        <v>60649.38</v>
      </c>
      <c r="Q575">
        <f t="shared" si="35"/>
        <v>5.7843556396969253E-3</v>
      </c>
      <c r="R575" s="2">
        <f t="shared" si="36"/>
        <v>5.7843556396969253E-3</v>
      </c>
    </row>
    <row r="576" spans="1:18" x14ac:dyDescent="0.3">
      <c r="A576" s="1">
        <v>45044</v>
      </c>
      <c r="B576">
        <v>180.5</v>
      </c>
      <c r="C576">
        <f t="shared" si="33"/>
        <v>-5.5370985603540597E-4</v>
      </c>
      <c r="D576" s="2">
        <f t="shared" si="34"/>
        <v>-5.5370985603540597E-4</v>
      </c>
      <c r="O576" s="1">
        <v>45044</v>
      </c>
      <c r="P576">
        <v>61112.44</v>
      </c>
      <c r="Q576">
        <f t="shared" si="35"/>
        <v>7.6350327076716192E-3</v>
      </c>
      <c r="R576" s="2">
        <f t="shared" si="36"/>
        <v>7.6350327076716192E-3</v>
      </c>
    </row>
    <row r="577" spans="1:18" x14ac:dyDescent="0.3">
      <c r="A577" s="1">
        <v>45048</v>
      </c>
      <c r="B577">
        <v>184.85</v>
      </c>
      <c r="C577">
        <f t="shared" si="33"/>
        <v>2.409972299168972E-2</v>
      </c>
      <c r="D577" s="2">
        <f t="shared" si="34"/>
        <v>2.409972299168972E-2</v>
      </c>
      <c r="O577" s="1">
        <v>45048</v>
      </c>
      <c r="P577">
        <v>61354.71</v>
      </c>
      <c r="Q577">
        <f t="shared" si="35"/>
        <v>3.9643319756173506E-3</v>
      </c>
      <c r="R577" s="2">
        <f t="shared" si="36"/>
        <v>3.9643319756173506E-3</v>
      </c>
    </row>
    <row r="578" spans="1:18" x14ac:dyDescent="0.3">
      <c r="A578" s="1">
        <v>45049</v>
      </c>
      <c r="B578">
        <v>185.25</v>
      </c>
      <c r="C578">
        <f t="shared" si="33"/>
        <v>2.1639166892074963E-3</v>
      </c>
      <c r="D578" s="2">
        <f t="shared" si="34"/>
        <v>2.1639166892074963E-3</v>
      </c>
      <c r="O578" s="1">
        <v>45049</v>
      </c>
      <c r="P578">
        <v>61193.3</v>
      </c>
      <c r="Q578">
        <f t="shared" si="35"/>
        <v>-2.63076787421856E-3</v>
      </c>
      <c r="R578" s="2">
        <f t="shared" si="36"/>
        <v>-2.63076787421856E-3</v>
      </c>
    </row>
    <row r="579" spans="1:18" x14ac:dyDescent="0.3">
      <c r="A579" s="1">
        <v>45050</v>
      </c>
      <c r="B579">
        <v>190.65</v>
      </c>
      <c r="C579">
        <f t="shared" si="33"/>
        <v>2.9149797570850233E-2</v>
      </c>
      <c r="D579" s="2">
        <f t="shared" si="34"/>
        <v>2.9149797570850233E-2</v>
      </c>
      <c r="O579" s="1">
        <v>45050</v>
      </c>
      <c r="P579">
        <v>61749.25</v>
      </c>
      <c r="Q579">
        <f t="shared" si="35"/>
        <v>9.0851449423384103E-3</v>
      </c>
      <c r="R579" s="2">
        <f t="shared" si="36"/>
        <v>9.0851449423384103E-3</v>
      </c>
    </row>
    <row r="580" spans="1:18" x14ac:dyDescent="0.3">
      <c r="A580" s="1">
        <v>45051</v>
      </c>
      <c r="B580">
        <v>187.25</v>
      </c>
      <c r="C580">
        <f t="shared" ref="C580:C643" si="37">(B580-B579)/B579</f>
        <v>-1.7833726724364046E-2</v>
      </c>
      <c r="D580" s="2">
        <f t="shared" ref="D580:D643" si="38">(B580-B579)/B579</f>
        <v>-1.7833726724364046E-2</v>
      </c>
      <c r="O580" s="1">
        <v>45051</v>
      </c>
      <c r="P580">
        <v>61054.29</v>
      </c>
      <c r="Q580">
        <f t="shared" ref="Q580:Q643" si="39">(P580-P579)/P579</f>
        <v>-1.1254549650400599E-2</v>
      </c>
      <c r="R580" s="2">
        <f t="shared" ref="R580:R643" si="40">(P580-P579)/P579</f>
        <v>-1.1254549650400599E-2</v>
      </c>
    </row>
    <row r="581" spans="1:18" x14ac:dyDescent="0.3">
      <c r="A581" s="1">
        <v>45054</v>
      </c>
      <c r="B581">
        <v>186.95</v>
      </c>
      <c r="C581">
        <f t="shared" si="37"/>
        <v>-1.6021361815754945E-3</v>
      </c>
      <c r="D581" s="2">
        <f t="shared" si="38"/>
        <v>-1.6021361815754945E-3</v>
      </c>
      <c r="O581" s="1">
        <v>45054</v>
      </c>
      <c r="P581">
        <v>61764.25</v>
      </c>
      <c r="Q581">
        <f t="shared" si="39"/>
        <v>1.1628339302610825E-2</v>
      </c>
      <c r="R581" s="2">
        <f t="shared" si="40"/>
        <v>1.1628339302610825E-2</v>
      </c>
    </row>
    <row r="582" spans="1:18" x14ac:dyDescent="0.3">
      <c r="A582" s="1">
        <v>45055</v>
      </c>
      <c r="B582">
        <v>187.55</v>
      </c>
      <c r="C582">
        <f t="shared" si="37"/>
        <v>3.2094142818936762E-3</v>
      </c>
      <c r="D582" s="2">
        <f t="shared" si="38"/>
        <v>3.2094142818936762E-3</v>
      </c>
      <c r="O582" s="1">
        <v>45055</v>
      </c>
      <c r="P582">
        <v>61761.33</v>
      </c>
      <c r="Q582">
        <f t="shared" si="39"/>
        <v>-4.7276539422048417E-5</v>
      </c>
      <c r="R582" s="2">
        <f t="shared" si="40"/>
        <v>-4.7276539422048417E-5</v>
      </c>
    </row>
    <row r="583" spans="1:18" x14ac:dyDescent="0.3">
      <c r="A583" s="1">
        <v>45056</v>
      </c>
      <c r="B583">
        <v>190.3</v>
      </c>
      <c r="C583">
        <f t="shared" si="37"/>
        <v>1.4662756598240468E-2</v>
      </c>
      <c r="D583" s="2">
        <f t="shared" si="38"/>
        <v>1.4662756598240468E-2</v>
      </c>
      <c r="O583" s="1">
        <v>45056</v>
      </c>
      <c r="P583">
        <v>61940.2</v>
      </c>
      <c r="Q583">
        <f t="shared" si="39"/>
        <v>2.8961487714075349E-3</v>
      </c>
      <c r="R583" s="2">
        <f t="shared" si="40"/>
        <v>2.8961487714075349E-3</v>
      </c>
    </row>
    <row r="584" spans="1:18" x14ac:dyDescent="0.3">
      <c r="A584" s="1">
        <v>45057</v>
      </c>
      <c r="B584">
        <v>190.7</v>
      </c>
      <c r="C584">
        <f t="shared" si="37"/>
        <v>2.1019442984759706E-3</v>
      </c>
      <c r="D584" s="2">
        <f t="shared" si="38"/>
        <v>2.1019442984759706E-3</v>
      </c>
      <c r="O584" s="1">
        <v>45057</v>
      </c>
      <c r="P584">
        <v>61904.52</v>
      </c>
      <c r="Q584">
        <f t="shared" si="39"/>
        <v>-5.7603947032783709E-4</v>
      </c>
      <c r="R584" s="2">
        <f t="shared" si="40"/>
        <v>-5.7603947032783709E-4</v>
      </c>
    </row>
    <row r="585" spans="1:18" x14ac:dyDescent="0.3">
      <c r="A585" s="1">
        <v>45058</v>
      </c>
      <c r="B585">
        <v>189.85</v>
      </c>
      <c r="C585">
        <f t="shared" si="37"/>
        <v>-4.4572627163083078E-3</v>
      </c>
      <c r="D585" s="2">
        <f t="shared" si="38"/>
        <v>-4.4572627163083078E-3</v>
      </c>
      <c r="O585" s="1">
        <v>45058</v>
      </c>
      <c r="P585">
        <v>62027.9</v>
      </c>
      <c r="Q585">
        <f t="shared" si="39"/>
        <v>1.9930693267632906E-3</v>
      </c>
      <c r="R585" s="2">
        <f t="shared" si="40"/>
        <v>1.9930693267632906E-3</v>
      </c>
    </row>
    <row r="586" spans="1:18" x14ac:dyDescent="0.3">
      <c r="A586" s="1">
        <v>45061</v>
      </c>
      <c r="B586">
        <v>191.7</v>
      </c>
      <c r="C586">
        <f t="shared" si="37"/>
        <v>9.7445351593362893E-3</v>
      </c>
      <c r="D586" s="2">
        <f t="shared" si="38"/>
        <v>9.7445351593362893E-3</v>
      </c>
      <c r="O586" s="1">
        <v>45061</v>
      </c>
      <c r="P586">
        <v>62345.71</v>
      </c>
      <c r="Q586">
        <f t="shared" si="39"/>
        <v>5.1236620939931494E-3</v>
      </c>
      <c r="R586" s="2">
        <f t="shared" si="40"/>
        <v>5.1236620939931494E-3</v>
      </c>
    </row>
    <row r="587" spans="1:18" x14ac:dyDescent="0.3">
      <c r="A587" s="1">
        <v>45062</v>
      </c>
      <c r="B587">
        <v>192.45</v>
      </c>
      <c r="C587">
        <f t="shared" si="37"/>
        <v>3.9123630672926448E-3</v>
      </c>
      <c r="D587" s="2">
        <f t="shared" si="38"/>
        <v>3.9123630672926448E-3</v>
      </c>
      <c r="O587" s="1">
        <v>45062</v>
      </c>
      <c r="P587">
        <v>61932.47</v>
      </c>
      <c r="Q587">
        <f t="shared" si="39"/>
        <v>-6.6282026461804344E-3</v>
      </c>
      <c r="R587" s="2">
        <f t="shared" si="40"/>
        <v>-6.6282026461804344E-3</v>
      </c>
    </row>
    <row r="588" spans="1:18" x14ac:dyDescent="0.3">
      <c r="A588" s="1">
        <v>45063</v>
      </c>
      <c r="B588">
        <v>192.1</v>
      </c>
      <c r="C588">
        <f t="shared" si="37"/>
        <v>-1.8186541958950082E-3</v>
      </c>
      <c r="D588" s="2">
        <f t="shared" si="38"/>
        <v>-1.8186541958950082E-3</v>
      </c>
      <c r="O588" s="1">
        <v>45063</v>
      </c>
      <c r="P588">
        <v>61560.639999999999</v>
      </c>
      <c r="Q588">
        <f t="shared" si="39"/>
        <v>-6.0037973618685282E-3</v>
      </c>
      <c r="R588" s="2">
        <f t="shared" si="40"/>
        <v>-6.0037973618685282E-3</v>
      </c>
    </row>
    <row r="589" spans="1:18" x14ac:dyDescent="0.3">
      <c r="A589" s="1">
        <v>45064</v>
      </c>
      <c r="B589">
        <v>193.2</v>
      </c>
      <c r="C589">
        <f t="shared" si="37"/>
        <v>5.7261842790213135E-3</v>
      </c>
      <c r="D589" s="2">
        <f t="shared" si="38"/>
        <v>5.7261842790213135E-3</v>
      </c>
      <c r="O589" s="1">
        <v>45064</v>
      </c>
      <c r="P589">
        <v>61431.74</v>
      </c>
      <c r="Q589">
        <f t="shared" si="39"/>
        <v>-2.093870369118993E-3</v>
      </c>
      <c r="R589" s="2">
        <f t="shared" si="40"/>
        <v>-2.093870369118993E-3</v>
      </c>
    </row>
    <row r="590" spans="1:18" x14ac:dyDescent="0.3">
      <c r="A590" s="1">
        <v>45065</v>
      </c>
      <c r="B590">
        <v>189</v>
      </c>
      <c r="C590">
        <f t="shared" si="37"/>
        <v>-2.1739130434782553E-2</v>
      </c>
      <c r="D590" s="2">
        <f t="shared" si="38"/>
        <v>-2.1739130434782553E-2</v>
      </c>
      <c r="O590" s="1">
        <v>45065</v>
      </c>
      <c r="P590">
        <v>61729.68</v>
      </c>
      <c r="Q590">
        <f t="shared" si="39"/>
        <v>4.8499358800516206E-3</v>
      </c>
      <c r="R590" s="2">
        <f t="shared" si="40"/>
        <v>4.8499358800516206E-3</v>
      </c>
    </row>
    <row r="591" spans="1:18" x14ac:dyDescent="0.3">
      <c r="A591" s="1">
        <v>45068</v>
      </c>
      <c r="B591">
        <v>190.45</v>
      </c>
      <c r="C591">
        <f t="shared" si="37"/>
        <v>7.671957671957612E-3</v>
      </c>
      <c r="D591" s="2">
        <f t="shared" si="38"/>
        <v>7.671957671957612E-3</v>
      </c>
      <c r="O591" s="1">
        <v>45068</v>
      </c>
      <c r="P591">
        <v>61963.68</v>
      </c>
      <c r="Q591">
        <f t="shared" si="39"/>
        <v>3.7907210923497415E-3</v>
      </c>
      <c r="R591" s="2">
        <f t="shared" si="40"/>
        <v>3.7907210923497415E-3</v>
      </c>
    </row>
    <row r="592" spans="1:18" x14ac:dyDescent="0.3">
      <c r="A592" s="1">
        <v>45069</v>
      </c>
      <c r="B592">
        <v>189.1</v>
      </c>
      <c r="C592">
        <f t="shared" si="37"/>
        <v>-7.0884746652664444E-3</v>
      </c>
      <c r="D592" s="2">
        <f t="shared" si="38"/>
        <v>-7.0884746652664444E-3</v>
      </c>
      <c r="O592" s="1">
        <v>45069</v>
      </c>
      <c r="P592">
        <v>61981.79</v>
      </c>
      <c r="Q592">
        <f t="shared" si="39"/>
        <v>2.9226798666574647E-4</v>
      </c>
      <c r="R592" s="2">
        <f t="shared" si="40"/>
        <v>2.9226798666574647E-4</v>
      </c>
    </row>
    <row r="593" spans="1:18" x14ac:dyDescent="0.3">
      <c r="A593" s="1">
        <v>45070</v>
      </c>
      <c r="B593">
        <v>214.35</v>
      </c>
      <c r="C593">
        <f t="shared" si="37"/>
        <v>0.13352723426758328</v>
      </c>
      <c r="D593" s="2">
        <f t="shared" si="38"/>
        <v>0.13352723426758328</v>
      </c>
      <c r="O593" s="1">
        <v>45070</v>
      </c>
      <c r="P593">
        <v>61773.78</v>
      </c>
      <c r="Q593">
        <f t="shared" si="39"/>
        <v>-3.3559856854731372E-3</v>
      </c>
      <c r="R593" s="2">
        <f t="shared" si="40"/>
        <v>-3.3559856854731372E-3</v>
      </c>
    </row>
    <row r="594" spans="1:18" x14ac:dyDescent="0.3">
      <c r="A594" s="1">
        <v>45071</v>
      </c>
      <c r="B594">
        <v>223.35</v>
      </c>
      <c r="C594">
        <f t="shared" si="37"/>
        <v>4.1987403778866339E-2</v>
      </c>
      <c r="D594" s="2">
        <f t="shared" si="38"/>
        <v>4.1987403778866339E-2</v>
      </c>
      <c r="O594" s="1">
        <v>45071</v>
      </c>
      <c r="P594">
        <v>61872.62</v>
      </c>
      <c r="Q594">
        <f t="shared" si="39"/>
        <v>1.6000315991672161E-3</v>
      </c>
      <c r="R594" s="2">
        <f t="shared" si="40"/>
        <v>1.6000315991672161E-3</v>
      </c>
    </row>
    <row r="595" spans="1:18" x14ac:dyDescent="0.3">
      <c r="A595" s="1">
        <v>45072</v>
      </c>
      <c r="B595">
        <v>228.6</v>
      </c>
      <c r="C595">
        <f t="shared" si="37"/>
        <v>2.3505708529214239E-2</v>
      </c>
      <c r="D595" s="2">
        <f t="shared" si="38"/>
        <v>2.3505708529214239E-2</v>
      </c>
      <c r="O595" s="1">
        <v>45072</v>
      </c>
      <c r="P595">
        <v>62501.69</v>
      </c>
      <c r="Q595">
        <f t="shared" si="39"/>
        <v>1.0167178955731949E-2</v>
      </c>
      <c r="R595" s="2">
        <f t="shared" si="40"/>
        <v>1.0167178955731949E-2</v>
      </c>
    </row>
    <row r="596" spans="1:18" x14ac:dyDescent="0.3">
      <c r="A596" s="1">
        <v>45075</v>
      </c>
      <c r="B596">
        <v>236.9</v>
      </c>
      <c r="C596">
        <f t="shared" si="37"/>
        <v>3.6307961504811949E-2</v>
      </c>
      <c r="D596" s="2">
        <f t="shared" si="38"/>
        <v>3.6307961504811949E-2</v>
      </c>
      <c r="O596" s="1">
        <v>45075</v>
      </c>
      <c r="P596">
        <v>62846.38</v>
      </c>
      <c r="Q596">
        <f t="shared" si="39"/>
        <v>5.5148908773505973E-3</v>
      </c>
      <c r="R596" s="2">
        <f t="shared" si="40"/>
        <v>5.5148908773505973E-3</v>
      </c>
    </row>
    <row r="597" spans="1:18" x14ac:dyDescent="0.3">
      <c r="A597" s="1">
        <v>45076</v>
      </c>
      <c r="B597">
        <v>243.5</v>
      </c>
      <c r="C597">
        <f t="shared" si="37"/>
        <v>2.7859856479527201E-2</v>
      </c>
      <c r="D597" s="2">
        <f t="shared" si="38"/>
        <v>2.7859856479527201E-2</v>
      </c>
      <c r="O597" s="1">
        <v>45076</v>
      </c>
      <c r="P597">
        <v>62969.13</v>
      </c>
      <c r="Q597">
        <f t="shared" si="39"/>
        <v>1.9531753459785593E-3</v>
      </c>
      <c r="R597" s="2">
        <f t="shared" si="40"/>
        <v>1.9531753459785593E-3</v>
      </c>
    </row>
    <row r="598" spans="1:18" x14ac:dyDescent="0.3">
      <c r="A598" s="1">
        <v>45077</v>
      </c>
      <c r="B598">
        <v>248.25</v>
      </c>
      <c r="C598">
        <f t="shared" si="37"/>
        <v>1.9507186858316223E-2</v>
      </c>
      <c r="D598" s="2">
        <f t="shared" si="38"/>
        <v>1.9507186858316223E-2</v>
      </c>
      <c r="O598" s="1">
        <v>45077</v>
      </c>
      <c r="P598">
        <v>62622.239999999998</v>
      </c>
      <c r="Q598">
        <f t="shared" si="39"/>
        <v>-5.5088898322082488E-3</v>
      </c>
      <c r="R598" s="2">
        <f t="shared" si="40"/>
        <v>-5.5088898322082488E-3</v>
      </c>
    </row>
    <row r="599" spans="1:18" x14ac:dyDescent="0.3">
      <c r="A599" s="1">
        <v>45078</v>
      </c>
      <c r="B599">
        <v>238.05</v>
      </c>
      <c r="C599">
        <f t="shared" si="37"/>
        <v>-4.1087613293051314E-2</v>
      </c>
      <c r="D599" s="2">
        <f t="shared" si="38"/>
        <v>-4.1087613293051314E-2</v>
      </c>
      <c r="O599" s="1">
        <v>45078</v>
      </c>
      <c r="P599">
        <v>62428.54</v>
      </c>
      <c r="Q599">
        <f t="shared" si="39"/>
        <v>-3.0931502929310273E-3</v>
      </c>
      <c r="R599" s="2">
        <f t="shared" si="40"/>
        <v>-3.0931502929310273E-3</v>
      </c>
    </row>
    <row r="600" spans="1:18" x14ac:dyDescent="0.3">
      <c r="A600" s="1">
        <v>45079</v>
      </c>
      <c r="B600">
        <v>234.65</v>
      </c>
      <c r="C600">
        <f t="shared" si="37"/>
        <v>-1.4282713715605988E-2</v>
      </c>
      <c r="D600" s="2">
        <f t="shared" si="38"/>
        <v>-1.4282713715605988E-2</v>
      </c>
      <c r="O600" s="1">
        <v>45079</v>
      </c>
      <c r="P600">
        <v>62547.11</v>
      </c>
      <c r="Q600">
        <f t="shared" si="39"/>
        <v>1.89929157401406E-3</v>
      </c>
      <c r="R600" s="2">
        <f t="shared" si="40"/>
        <v>1.89929157401406E-3</v>
      </c>
    </row>
    <row r="601" spans="1:18" x14ac:dyDescent="0.3">
      <c r="A601" s="1">
        <v>45082</v>
      </c>
      <c r="B601">
        <v>238.1</v>
      </c>
      <c r="C601">
        <f t="shared" si="37"/>
        <v>1.4702748774770886E-2</v>
      </c>
      <c r="D601" s="2">
        <f t="shared" si="38"/>
        <v>1.4702748774770886E-2</v>
      </c>
      <c r="O601" s="1">
        <v>45082</v>
      </c>
      <c r="P601">
        <v>62787.47</v>
      </c>
      <c r="Q601">
        <f t="shared" si="39"/>
        <v>3.8428634032811521E-3</v>
      </c>
      <c r="R601" s="2">
        <f t="shared" si="40"/>
        <v>3.8428634032811521E-3</v>
      </c>
    </row>
    <row r="602" spans="1:18" x14ac:dyDescent="0.3">
      <c r="A602" s="1">
        <v>45083</v>
      </c>
      <c r="B602">
        <v>239.5</v>
      </c>
      <c r="C602">
        <f t="shared" si="37"/>
        <v>5.8798824023519767E-3</v>
      </c>
      <c r="D602" s="2">
        <f t="shared" si="38"/>
        <v>5.8798824023519767E-3</v>
      </c>
      <c r="O602" s="1">
        <v>45083</v>
      </c>
      <c r="P602">
        <v>62792.88</v>
      </c>
      <c r="Q602">
        <f t="shared" si="39"/>
        <v>8.6163688391907112E-5</v>
      </c>
      <c r="R602" s="2">
        <f t="shared" si="40"/>
        <v>8.6163688391907112E-5</v>
      </c>
    </row>
    <row r="603" spans="1:18" x14ac:dyDescent="0.3">
      <c r="A603" s="1">
        <v>45084</v>
      </c>
      <c r="B603">
        <v>235.2</v>
      </c>
      <c r="C603">
        <f t="shared" si="37"/>
        <v>-1.7954070981210903E-2</v>
      </c>
      <c r="D603" s="2">
        <f t="shared" si="38"/>
        <v>-1.7954070981210903E-2</v>
      </c>
      <c r="O603" s="1">
        <v>45084</v>
      </c>
      <c r="P603">
        <v>63142.96</v>
      </c>
      <c r="Q603">
        <f t="shared" si="39"/>
        <v>5.575154380560372E-3</v>
      </c>
      <c r="R603" s="2">
        <f t="shared" si="40"/>
        <v>5.575154380560372E-3</v>
      </c>
    </row>
    <row r="604" spans="1:18" x14ac:dyDescent="0.3">
      <c r="A604" s="1">
        <v>45085</v>
      </c>
      <c r="B604">
        <v>225.65</v>
      </c>
      <c r="C604">
        <f t="shared" si="37"/>
        <v>-4.0603741496598567E-2</v>
      </c>
      <c r="D604" s="2">
        <f t="shared" si="38"/>
        <v>-4.0603741496598567E-2</v>
      </c>
      <c r="O604" s="1">
        <v>45085</v>
      </c>
      <c r="P604">
        <v>62848.639999999999</v>
      </c>
      <c r="Q604">
        <f t="shared" si="39"/>
        <v>-4.66116887773395E-3</v>
      </c>
      <c r="R604" s="2">
        <f t="shared" si="40"/>
        <v>-4.66116887773395E-3</v>
      </c>
    </row>
    <row r="605" spans="1:18" x14ac:dyDescent="0.3">
      <c r="A605" s="1">
        <v>45086</v>
      </c>
      <c r="B605">
        <v>258.39999999999998</v>
      </c>
      <c r="C605">
        <f t="shared" si="37"/>
        <v>0.14513627298914233</v>
      </c>
      <c r="D605" s="2">
        <f t="shared" si="38"/>
        <v>0.14513627298914233</v>
      </c>
      <c r="O605" s="1">
        <v>45086</v>
      </c>
      <c r="P605">
        <v>62625.63</v>
      </c>
      <c r="Q605">
        <f t="shared" si="39"/>
        <v>-3.5483663608313885E-3</v>
      </c>
      <c r="R605" s="2">
        <f t="shared" si="40"/>
        <v>-3.5483663608313885E-3</v>
      </c>
    </row>
    <row r="606" spans="1:18" x14ac:dyDescent="0.3">
      <c r="A606" s="1">
        <v>45089</v>
      </c>
      <c r="B606">
        <v>260.3</v>
      </c>
      <c r="C606">
        <f t="shared" si="37"/>
        <v>7.3529411764707208E-3</v>
      </c>
      <c r="D606" s="2">
        <f t="shared" si="38"/>
        <v>7.3529411764707208E-3</v>
      </c>
      <c r="O606" s="1">
        <v>45089</v>
      </c>
      <c r="P606">
        <v>62724.71</v>
      </c>
      <c r="Q606">
        <f t="shared" si="39"/>
        <v>1.5820998527280564E-3</v>
      </c>
      <c r="R606" s="2">
        <f t="shared" si="40"/>
        <v>1.5820998527280564E-3</v>
      </c>
    </row>
    <row r="607" spans="1:18" x14ac:dyDescent="0.3">
      <c r="A607" s="1">
        <v>45090</v>
      </c>
      <c r="B607">
        <v>266</v>
      </c>
      <c r="C607">
        <f t="shared" si="37"/>
        <v>2.1897810218978058E-2</v>
      </c>
      <c r="D607" s="2">
        <f t="shared" si="38"/>
        <v>2.1897810218978058E-2</v>
      </c>
      <c r="O607" s="1">
        <v>45090</v>
      </c>
      <c r="P607">
        <v>63143.16</v>
      </c>
      <c r="Q607">
        <f t="shared" si="39"/>
        <v>6.6712145819407438E-3</v>
      </c>
      <c r="R607" s="2">
        <f t="shared" si="40"/>
        <v>6.6712145819407438E-3</v>
      </c>
    </row>
    <row r="608" spans="1:18" x14ac:dyDescent="0.3">
      <c r="A608" s="1">
        <v>45091</v>
      </c>
      <c r="B608">
        <v>286.2</v>
      </c>
      <c r="C608">
        <f t="shared" si="37"/>
        <v>7.5939849624060113E-2</v>
      </c>
      <c r="D608" s="2">
        <f t="shared" si="38"/>
        <v>7.5939849624060113E-2</v>
      </c>
      <c r="O608" s="1">
        <v>45091</v>
      </c>
      <c r="P608">
        <v>63228.51</v>
      </c>
      <c r="Q608">
        <f t="shared" si="39"/>
        <v>1.3516903493584823E-3</v>
      </c>
      <c r="R608" s="2">
        <f t="shared" si="40"/>
        <v>1.3516903493584823E-3</v>
      </c>
    </row>
    <row r="609" spans="1:18" x14ac:dyDescent="0.3">
      <c r="A609" s="1">
        <v>45092</v>
      </c>
      <c r="B609">
        <v>281.60000000000002</v>
      </c>
      <c r="C609">
        <f t="shared" si="37"/>
        <v>-1.6072676450034823E-2</v>
      </c>
      <c r="D609" s="2">
        <f t="shared" si="38"/>
        <v>-1.6072676450034823E-2</v>
      </c>
      <c r="O609" s="1">
        <v>45092</v>
      </c>
      <c r="P609">
        <v>62917.63</v>
      </c>
      <c r="Q609">
        <f t="shared" si="39"/>
        <v>-4.9167693497759891E-3</v>
      </c>
      <c r="R609" s="2">
        <f t="shared" si="40"/>
        <v>-4.9167693497759891E-3</v>
      </c>
    </row>
    <row r="610" spans="1:18" x14ac:dyDescent="0.3">
      <c r="A610" s="1">
        <v>45093</v>
      </c>
      <c r="B610">
        <v>296.05</v>
      </c>
      <c r="C610">
        <f t="shared" si="37"/>
        <v>5.1313920454545407E-2</v>
      </c>
      <c r="D610" s="2">
        <f t="shared" si="38"/>
        <v>5.1313920454545407E-2</v>
      </c>
      <c r="O610" s="1">
        <v>45093</v>
      </c>
      <c r="P610">
        <v>63384.58</v>
      </c>
      <c r="Q610">
        <f t="shared" si="39"/>
        <v>7.4216082201444076E-3</v>
      </c>
      <c r="R610" s="2">
        <f t="shared" si="40"/>
        <v>7.4216082201444076E-3</v>
      </c>
    </row>
    <row r="611" spans="1:18" x14ac:dyDescent="0.3">
      <c r="A611" s="1">
        <v>45096</v>
      </c>
      <c r="B611">
        <v>333.65</v>
      </c>
      <c r="C611">
        <f t="shared" si="37"/>
        <v>0.12700557338287438</v>
      </c>
      <c r="D611" s="2">
        <f t="shared" si="38"/>
        <v>0.12700557338287438</v>
      </c>
      <c r="O611" s="1">
        <v>45096</v>
      </c>
      <c r="P611">
        <v>63168.3</v>
      </c>
      <c r="Q611">
        <f t="shared" si="39"/>
        <v>-3.4121863708807226E-3</v>
      </c>
      <c r="R611" s="2">
        <f t="shared" si="40"/>
        <v>-3.4121863708807226E-3</v>
      </c>
    </row>
    <row r="612" spans="1:18" x14ac:dyDescent="0.3">
      <c r="A612" s="1">
        <v>45097</v>
      </c>
      <c r="B612">
        <v>325</v>
      </c>
      <c r="C612">
        <f t="shared" si="37"/>
        <v>-2.5925370897647168E-2</v>
      </c>
      <c r="D612" s="2">
        <f t="shared" si="38"/>
        <v>-2.5925370897647168E-2</v>
      </c>
      <c r="O612" s="1">
        <v>45097</v>
      </c>
      <c r="P612">
        <v>63327.7</v>
      </c>
      <c r="Q612">
        <f t="shared" si="39"/>
        <v>2.5234176002835941E-3</v>
      </c>
      <c r="R612" s="2">
        <f t="shared" si="40"/>
        <v>2.5234176002835941E-3</v>
      </c>
    </row>
    <row r="613" spans="1:18" x14ac:dyDescent="0.3">
      <c r="A613" s="1">
        <v>45098</v>
      </c>
      <c r="B613">
        <v>315.64999999999998</v>
      </c>
      <c r="C613">
        <f t="shared" si="37"/>
        <v>-2.8769230769230839E-2</v>
      </c>
      <c r="D613" s="2">
        <f t="shared" si="38"/>
        <v>-2.8769230769230839E-2</v>
      </c>
      <c r="O613" s="1">
        <v>45098</v>
      </c>
      <c r="P613">
        <v>63523.15</v>
      </c>
      <c r="Q613">
        <f t="shared" si="39"/>
        <v>3.086327152257296E-3</v>
      </c>
      <c r="R613" s="2">
        <f t="shared" si="40"/>
        <v>3.086327152257296E-3</v>
      </c>
    </row>
    <row r="614" spans="1:18" x14ac:dyDescent="0.3">
      <c r="A614" s="1">
        <v>45099</v>
      </c>
      <c r="B614">
        <v>322.8</v>
      </c>
      <c r="C614">
        <f t="shared" si="37"/>
        <v>2.265167115476013E-2</v>
      </c>
      <c r="D614" s="2">
        <f t="shared" si="38"/>
        <v>2.265167115476013E-2</v>
      </c>
      <c r="O614" s="1">
        <v>45099</v>
      </c>
      <c r="P614">
        <v>63238.89</v>
      </c>
      <c r="Q614">
        <f t="shared" si="39"/>
        <v>-4.4749040310501295E-3</v>
      </c>
      <c r="R614" s="2">
        <f t="shared" si="40"/>
        <v>-4.4749040310501295E-3</v>
      </c>
    </row>
    <row r="615" spans="1:18" x14ac:dyDescent="0.3">
      <c r="A615" s="1">
        <v>45100</v>
      </c>
      <c r="B615">
        <v>314.3</v>
      </c>
      <c r="C615">
        <f t="shared" si="37"/>
        <v>-2.6332094175960347E-2</v>
      </c>
      <c r="D615" s="2">
        <f t="shared" si="38"/>
        <v>-2.6332094175960347E-2</v>
      </c>
      <c r="O615" s="1">
        <v>45100</v>
      </c>
      <c r="P615">
        <v>62979.37</v>
      </c>
      <c r="Q615">
        <f t="shared" si="39"/>
        <v>-4.1038038460193844E-3</v>
      </c>
      <c r="R615" s="2">
        <f t="shared" si="40"/>
        <v>-4.1038038460193844E-3</v>
      </c>
    </row>
    <row r="616" spans="1:18" x14ac:dyDescent="0.3">
      <c r="A616" s="1">
        <v>45103</v>
      </c>
      <c r="B616">
        <v>317.7</v>
      </c>
      <c r="C616">
        <f t="shared" si="37"/>
        <v>1.0817690104995155E-2</v>
      </c>
      <c r="D616" s="2">
        <f t="shared" si="38"/>
        <v>1.0817690104995155E-2</v>
      </c>
      <c r="O616" s="1">
        <v>45103</v>
      </c>
      <c r="P616">
        <v>62970</v>
      </c>
      <c r="Q616">
        <f t="shared" si="39"/>
        <v>-1.4877887790879172E-4</v>
      </c>
      <c r="R616" s="2">
        <f t="shared" si="40"/>
        <v>-1.4877887790879172E-4</v>
      </c>
    </row>
    <row r="617" spans="1:18" x14ac:dyDescent="0.3">
      <c r="A617" s="1">
        <v>45104</v>
      </c>
      <c r="B617">
        <v>315.14999999999998</v>
      </c>
      <c r="C617">
        <f t="shared" si="37"/>
        <v>-8.0264400377715178E-3</v>
      </c>
      <c r="D617" s="2">
        <f t="shared" si="38"/>
        <v>-8.0264400377715178E-3</v>
      </c>
      <c r="O617" s="1">
        <v>45104</v>
      </c>
      <c r="P617">
        <v>63416.03</v>
      </c>
      <c r="Q617">
        <f t="shared" si="39"/>
        <v>7.083214228997917E-3</v>
      </c>
      <c r="R617" s="2">
        <f t="shared" si="40"/>
        <v>7.083214228997917E-3</v>
      </c>
    </row>
    <row r="618" spans="1:18" x14ac:dyDescent="0.3">
      <c r="A618" s="1">
        <v>45105</v>
      </c>
      <c r="B618">
        <v>335.95</v>
      </c>
      <c r="C618">
        <f t="shared" si="37"/>
        <v>6.6000317309217876E-2</v>
      </c>
      <c r="D618" s="2">
        <f t="shared" si="38"/>
        <v>6.6000317309217876E-2</v>
      </c>
      <c r="O618" s="1">
        <v>45105</v>
      </c>
      <c r="P618">
        <v>63915.42</v>
      </c>
      <c r="Q618">
        <f t="shared" si="39"/>
        <v>7.8748228168808339E-3</v>
      </c>
      <c r="R618" s="2">
        <f t="shared" si="40"/>
        <v>7.8748228168808339E-3</v>
      </c>
    </row>
    <row r="619" spans="1:18" x14ac:dyDescent="0.3">
      <c r="A619" s="1">
        <v>45107</v>
      </c>
      <c r="B619">
        <v>357.65</v>
      </c>
      <c r="C619">
        <f t="shared" si="37"/>
        <v>6.4592945378776578E-2</v>
      </c>
      <c r="D619" s="2">
        <f t="shared" si="38"/>
        <v>6.4592945378776578E-2</v>
      </c>
      <c r="O619" s="1">
        <v>45107</v>
      </c>
      <c r="P619">
        <v>64718.559999999998</v>
      </c>
      <c r="Q619">
        <f t="shared" si="39"/>
        <v>1.2565668816695555E-2</v>
      </c>
      <c r="R619" s="2">
        <f t="shared" si="40"/>
        <v>1.2565668816695555E-2</v>
      </c>
    </row>
    <row r="620" spans="1:18" x14ac:dyDescent="0.3">
      <c r="A620" s="1">
        <v>45110</v>
      </c>
      <c r="B620">
        <v>357.85</v>
      </c>
      <c r="C620">
        <f t="shared" si="37"/>
        <v>5.5920592758295956E-4</v>
      </c>
      <c r="D620" s="2">
        <f t="shared" si="38"/>
        <v>5.5920592758295956E-4</v>
      </c>
      <c r="O620" s="1">
        <v>45110</v>
      </c>
      <c r="P620">
        <v>65205.05</v>
      </c>
      <c r="Q620">
        <f t="shared" si="39"/>
        <v>7.5170090311033689E-3</v>
      </c>
      <c r="R620" s="2">
        <f t="shared" si="40"/>
        <v>7.5170090311033689E-3</v>
      </c>
    </row>
    <row r="621" spans="1:18" x14ac:dyDescent="0.3">
      <c r="A621" s="1">
        <v>45111</v>
      </c>
      <c r="B621">
        <v>358.5</v>
      </c>
      <c r="C621">
        <f t="shared" si="37"/>
        <v>1.8164035210283002E-3</v>
      </c>
      <c r="D621" s="2">
        <f t="shared" si="38"/>
        <v>1.8164035210283002E-3</v>
      </c>
      <c r="O621" s="1">
        <v>45111</v>
      </c>
      <c r="P621">
        <v>65479.05</v>
      </c>
      <c r="Q621">
        <f t="shared" si="39"/>
        <v>4.2021285161195337E-3</v>
      </c>
      <c r="R621" s="2">
        <f t="shared" si="40"/>
        <v>4.2021285161195337E-3</v>
      </c>
    </row>
    <row r="622" spans="1:18" x14ac:dyDescent="0.3">
      <c r="A622" s="1">
        <v>45112</v>
      </c>
      <c r="B622">
        <v>359.2</v>
      </c>
      <c r="C622">
        <f t="shared" si="37"/>
        <v>1.9525801952579877E-3</v>
      </c>
      <c r="D622" s="2">
        <f t="shared" si="38"/>
        <v>1.9525801952579877E-3</v>
      </c>
      <c r="O622" s="1">
        <v>45112</v>
      </c>
      <c r="P622">
        <v>65446.04</v>
      </c>
      <c r="Q622">
        <f t="shared" si="39"/>
        <v>-5.0413071050972851E-4</v>
      </c>
      <c r="R622" s="2">
        <f t="shared" si="40"/>
        <v>-5.0413071050972851E-4</v>
      </c>
    </row>
    <row r="623" spans="1:18" x14ac:dyDescent="0.3">
      <c r="A623" s="1">
        <v>45113</v>
      </c>
      <c r="B623">
        <v>355.95</v>
      </c>
      <c r="C623">
        <f t="shared" si="37"/>
        <v>-9.047884187082406E-3</v>
      </c>
      <c r="D623" s="2">
        <f t="shared" si="38"/>
        <v>-9.047884187082406E-3</v>
      </c>
      <c r="O623" s="1">
        <v>45113</v>
      </c>
      <c r="P623">
        <v>65785.64</v>
      </c>
      <c r="Q623">
        <f t="shared" si="39"/>
        <v>5.1890076160451964E-3</v>
      </c>
      <c r="R623" s="2">
        <f t="shared" si="40"/>
        <v>5.1890076160451964E-3</v>
      </c>
    </row>
    <row r="624" spans="1:18" x14ac:dyDescent="0.3">
      <c r="A624" s="1">
        <v>45114</v>
      </c>
      <c r="B624">
        <v>345.1</v>
      </c>
      <c r="C624">
        <f t="shared" si="37"/>
        <v>-3.0481809242871093E-2</v>
      </c>
      <c r="D624" s="2">
        <f t="shared" si="38"/>
        <v>-3.0481809242871093E-2</v>
      </c>
      <c r="O624" s="1">
        <v>45114</v>
      </c>
      <c r="P624">
        <v>65280.45</v>
      </c>
      <c r="Q624">
        <f t="shared" si="39"/>
        <v>-7.6793354902377226E-3</v>
      </c>
      <c r="R624" s="2">
        <f t="shared" si="40"/>
        <v>-7.6793354902377226E-3</v>
      </c>
    </row>
    <row r="625" spans="1:18" x14ac:dyDescent="0.3">
      <c r="A625" s="1">
        <v>45117</v>
      </c>
      <c r="B625">
        <v>353</v>
      </c>
      <c r="C625">
        <f t="shared" si="37"/>
        <v>2.2891915386844326E-2</v>
      </c>
      <c r="D625" s="2">
        <f t="shared" si="38"/>
        <v>2.2891915386844326E-2</v>
      </c>
      <c r="O625" s="1">
        <v>45117</v>
      </c>
      <c r="P625">
        <v>65344.17</v>
      </c>
      <c r="Q625">
        <f t="shared" si="39"/>
        <v>9.7609621257208198E-4</v>
      </c>
      <c r="R625" s="2">
        <f t="shared" si="40"/>
        <v>9.7609621257208198E-4</v>
      </c>
    </row>
    <row r="626" spans="1:18" x14ac:dyDescent="0.3">
      <c r="A626" s="1">
        <v>45118</v>
      </c>
      <c r="B626">
        <v>360.1</v>
      </c>
      <c r="C626">
        <f t="shared" si="37"/>
        <v>2.0113314447592134E-2</v>
      </c>
      <c r="D626" s="2">
        <f t="shared" si="38"/>
        <v>2.0113314447592134E-2</v>
      </c>
      <c r="O626" s="1">
        <v>45118</v>
      </c>
      <c r="P626">
        <v>65617.84</v>
      </c>
      <c r="Q626">
        <f t="shared" si="39"/>
        <v>4.1881318562925849E-3</v>
      </c>
      <c r="R626" s="2">
        <f t="shared" si="40"/>
        <v>4.1881318562925849E-3</v>
      </c>
    </row>
    <row r="627" spans="1:18" x14ac:dyDescent="0.3">
      <c r="A627" s="1">
        <v>45119</v>
      </c>
      <c r="B627">
        <v>366.25</v>
      </c>
      <c r="C627">
        <f t="shared" si="37"/>
        <v>1.7078589280755282E-2</v>
      </c>
      <c r="D627" s="2">
        <f t="shared" si="38"/>
        <v>1.7078589280755282E-2</v>
      </c>
      <c r="O627" s="1">
        <v>45119</v>
      </c>
      <c r="P627">
        <v>65393.9</v>
      </c>
      <c r="Q627">
        <f t="shared" si="39"/>
        <v>-3.4127913994120361E-3</v>
      </c>
      <c r="R627" s="2">
        <f t="shared" si="40"/>
        <v>-3.4127913994120361E-3</v>
      </c>
    </row>
    <row r="628" spans="1:18" x14ac:dyDescent="0.3">
      <c r="A628" s="1">
        <v>45120</v>
      </c>
      <c r="B628">
        <v>367.4</v>
      </c>
      <c r="C628">
        <f t="shared" si="37"/>
        <v>3.1399317406142725E-3</v>
      </c>
      <c r="D628" s="2">
        <f t="shared" si="38"/>
        <v>3.1399317406142725E-3</v>
      </c>
      <c r="O628" s="1">
        <v>45120</v>
      </c>
      <c r="P628">
        <v>65558.89</v>
      </c>
      <c r="Q628">
        <f t="shared" si="39"/>
        <v>2.5230182020035195E-3</v>
      </c>
      <c r="R628" s="2">
        <f t="shared" si="40"/>
        <v>2.5230182020035195E-3</v>
      </c>
    </row>
    <row r="629" spans="1:18" x14ac:dyDescent="0.3">
      <c r="A629" s="1">
        <v>45121</v>
      </c>
      <c r="B629">
        <v>367.75</v>
      </c>
      <c r="C629">
        <f t="shared" si="37"/>
        <v>9.5264017419712237E-4</v>
      </c>
      <c r="D629" s="2">
        <f t="shared" si="38"/>
        <v>9.5264017419712237E-4</v>
      </c>
      <c r="O629" s="1">
        <v>45121</v>
      </c>
      <c r="P629">
        <v>66060.899999999994</v>
      </c>
      <c r="Q629">
        <f t="shared" si="39"/>
        <v>7.6573901724082691E-3</v>
      </c>
      <c r="R629" s="2">
        <f t="shared" si="40"/>
        <v>7.6573901724082691E-3</v>
      </c>
    </row>
    <row r="630" spans="1:18" x14ac:dyDescent="0.3">
      <c r="A630" s="1">
        <v>45124</v>
      </c>
      <c r="B630">
        <v>366.75</v>
      </c>
      <c r="C630">
        <f t="shared" si="37"/>
        <v>-2.7192386131883071E-3</v>
      </c>
      <c r="D630" s="2">
        <f t="shared" si="38"/>
        <v>-2.7192386131883071E-3</v>
      </c>
      <c r="O630" s="1">
        <v>45124</v>
      </c>
      <c r="P630">
        <v>66589.929999999993</v>
      </c>
      <c r="Q630">
        <f t="shared" si="39"/>
        <v>8.0082166606873194E-3</v>
      </c>
      <c r="R630" s="2">
        <f t="shared" si="40"/>
        <v>8.0082166606873194E-3</v>
      </c>
    </row>
    <row r="631" spans="1:18" x14ac:dyDescent="0.3">
      <c r="A631" s="1">
        <v>45125</v>
      </c>
      <c r="B631">
        <v>363.55</v>
      </c>
      <c r="C631">
        <f t="shared" si="37"/>
        <v>-8.7252897068847684E-3</v>
      </c>
      <c r="D631" s="2">
        <f t="shared" si="38"/>
        <v>-8.7252897068847684E-3</v>
      </c>
      <c r="O631" s="1">
        <v>45125</v>
      </c>
      <c r="P631">
        <v>66795.14</v>
      </c>
      <c r="Q631">
        <f t="shared" si="39"/>
        <v>3.0816971875478232E-3</v>
      </c>
      <c r="R631" s="2">
        <f t="shared" si="40"/>
        <v>3.0816971875478232E-3</v>
      </c>
    </row>
    <row r="632" spans="1:18" x14ac:dyDescent="0.3">
      <c r="A632" s="1">
        <v>45126</v>
      </c>
      <c r="B632">
        <v>376.05</v>
      </c>
      <c r="C632">
        <f t="shared" si="37"/>
        <v>3.438316600192546E-2</v>
      </c>
      <c r="D632" s="2">
        <f t="shared" si="38"/>
        <v>3.438316600192546E-2</v>
      </c>
      <c r="O632" s="1">
        <v>45126</v>
      </c>
      <c r="P632">
        <v>67097.440000000002</v>
      </c>
      <c r="Q632">
        <f t="shared" si="39"/>
        <v>4.5257783724984022E-3</v>
      </c>
      <c r="R632" s="2">
        <f t="shared" si="40"/>
        <v>4.5257783724984022E-3</v>
      </c>
    </row>
    <row r="633" spans="1:18" x14ac:dyDescent="0.3">
      <c r="A633" s="1">
        <v>45127</v>
      </c>
      <c r="B633">
        <v>391.2</v>
      </c>
      <c r="C633">
        <f t="shared" si="37"/>
        <v>4.0287195851615415E-2</v>
      </c>
      <c r="D633" s="2">
        <f t="shared" si="38"/>
        <v>4.0287195851615415E-2</v>
      </c>
      <c r="O633" s="1">
        <v>45127</v>
      </c>
      <c r="P633">
        <v>67571.899999999994</v>
      </c>
      <c r="Q633">
        <f t="shared" si="39"/>
        <v>7.0712086780060739E-3</v>
      </c>
      <c r="R633" s="2">
        <f t="shared" si="40"/>
        <v>7.0712086780060739E-3</v>
      </c>
    </row>
    <row r="634" spans="1:18" x14ac:dyDescent="0.3">
      <c r="A634" s="1">
        <v>45128</v>
      </c>
      <c r="B634">
        <v>419.2</v>
      </c>
      <c r="C634">
        <f t="shared" si="37"/>
        <v>7.1574642126789365E-2</v>
      </c>
      <c r="D634" s="2">
        <f t="shared" si="38"/>
        <v>7.1574642126789365E-2</v>
      </c>
      <c r="O634" s="1">
        <v>45128</v>
      </c>
      <c r="P634">
        <v>66684.259999999995</v>
      </c>
      <c r="Q634">
        <f t="shared" si="39"/>
        <v>-1.3136229704951312E-2</v>
      </c>
      <c r="R634" s="2">
        <f t="shared" si="40"/>
        <v>-1.3136229704951312E-2</v>
      </c>
    </row>
    <row r="635" spans="1:18" x14ac:dyDescent="0.3">
      <c r="A635" s="1">
        <v>45131</v>
      </c>
      <c r="B635">
        <v>443.2</v>
      </c>
      <c r="C635">
        <f t="shared" si="37"/>
        <v>5.7251908396946563E-2</v>
      </c>
      <c r="D635" s="2">
        <f t="shared" si="38"/>
        <v>5.7251908396946563E-2</v>
      </c>
      <c r="O635" s="1">
        <v>45131</v>
      </c>
      <c r="P635">
        <v>66384.78</v>
      </c>
      <c r="Q635">
        <f t="shared" si="39"/>
        <v>-4.4910148211886273E-3</v>
      </c>
      <c r="R635" s="2">
        <f t="shared" si="40"/>
        <v>-4.4910148211886273E-3</v>
      </c>
    </row>
    <row r="636" spans="1:18" x14ac:dyDescent="0.3">
      <c r="A636" s="1">
        <v>45132</v>
      </c>
      <c r="B636">
        <v>434.3</v>
      </c>
      <c r="C636">
        <f t="shared" si="37"/>
        <v>-2.0081227436823054E-2</v>
      </c>
      <c r="D636" s="2">
        <f t="shared" si="38"/>
        <v>-2.0081227436823054E-2</v>
      </c>
      <c r="O636" s="1">
        <v>45132</v>
      </c>
      <c r="P636">
        <v>66355.710000000006</v>
      </c>
      <c r="Q636">
        <f t="shared" si="39"/>
        <v>-4.3790157924741835E-4</v>
      </c>
      <c r="R636" s="2">
        <f t="shared" si="40"/>
        <v>-4.3790157924741835E-4</v>
      </c>
    </row>
    <row r="637" spans="1:18" x14ac:dyDescent="0.3">
      <c r="A637" s="1">
        <v>45133</v>
      </c>
      <c r="B637">
        <v>436.6</v>
      </c>
      <c r="C637">
        <f t="shared" si="37"/>
        <v>5.2958784250518335E-3</v>
      </c>
      <c r="D637" s="2">
        <f t="shared" si="38"/>
        <v>5.2958784250518335E-3</v>
      </c>
      <c r="O637" s="1">
        <v>45133</v>
      </c>
      <c r="P637">
        <v>66707.199999999997</v>
      </c>
      <c r="Q637">
        <f t="shared" si="39"/>
        <v>5.2970573293540319E-3</v>
      </c>
      <c r="R637" s="2">
        <f t="shared" si="40"/>
        <v>5.2970573293540319E-3</v>
      </c>
    </row>
    <row r="638" spans="1:18" x14ac:dyDescent="0.3">
      <c r="A638" s="1">
        <v>45134</v>
      </c>
      <c r="B638">
        <v>435.15</v>
      </c>
      <c r="C638">
        <f t="shared" si="37"/>
        <v>-3.3211177278974929E-3</v>
      </c>
      <c r="D638" s="2">
        <f t="shared" si="38"/>
        <v>-3.3211177278974929E-3</v>
      </c>
      <c r="O638" s="1">
        <v>45134</v>
      </c>
      <c r="P638">
        <v>66266.820000000007</v>
      </c>
      <c r="Q638">
        <f t="shared" si="39"/>
        <v>-6.60168617480557E-3</v>
      </c>
      <c r="R638" s="2">
        <f t="shared" si="40"/>
        <v>-6.60168617480557E-3</v>
      </c>
    </row>
    <row r="639" spans="1:18" x14ac:dyDescent="0.3">
      <c r="A639" s="1">
        <v>45135</v>
      </c>
      <c r="B639">
        <v>464.1</v>
      </c>
      <c r="C639">
        <f t="shared" si="37"/>
        <v>6.6528783178214521E-2</v>
      </c>
      <c r="D639" s="2">
        <f t="shared" si="38"/>
        <v>6.6528783178214521E-2</v>
      </c>
      <c r="O639" s="1">
        <v>45135</v>
      </c>
      <c r="P639">
        <v>66160.2</v>
      </c>
      <c r="Q639">
        <f t="shared" si="39"/>
        <v>-1.6089499994116194E-3</v>
      </c>
      <c r="R639" s="2">
        <f t="shared" si="40"/>
        <v>-1.6089499994116194E-3</v>
      </c>
    </row>
    <row r="640" spans="1:18" x14ac:dyDescent="0.3">
      <c r="A640" s="1">
        <v>45138</v>
      </c>
      <c r="B640">
        <v>419.25</v>
      </c>
      <c r="C640">
        <f t="shared" si="37"/>
        <v>-9.6638655462184919E-2</v>
      </c>
      <c r="D640" s="2">
        <f t="shared" si="38"/>
        <v>-9.6638655462184919E-2</v>
      </c>
      <c r="O640" s="1">
        <v>45138</v>
      </c>
      <c r="P640">
        <v>66527.67</v>
      </c>
      <c r="Q640">
        <f t="shared" si="39"/>
        <v>5.5542456038524847E-3</v>
      </c>
      <c r="R640" s="2">
        <f t="shared" si="40"/>
        <v>5.5542456038524847E-3</v>
      </c>
    </row>
    <row r="641" spans="1:18" x14ac:dyDescent="0.3">
      <c r="A641" s="1">
        <v>45139</v>
      </c>
      <c r="B641">
        <v>485.55</v>
      </c>
      <c r="C641">
        <f t="shared" si="37"/>
        <v>0.15813953488372096</v>
      </c>
      <c r="D641" s="2">
        <f t="shared" si="38"/>
        <v>0.15813953488372096</v>
      </c>
      <c r="O641" s="1">
        <v>45139</v>
      </c>
      <c r="P641">
        <v>66459.31</v>
      </c>
      <c r="Q641">
        <f t="shared" si="39"/>
        <v>-1.0275423744736676E-3</v>
      </c>
      <c r="R641" s="2">
        <f t="shared" si="40"/>
        <v>-1.0275423744736676E-3</v>
      </c>
    </row>
    <row r="642" spans="1:18" x14ac:dyDescent="0.3">
      <c r="A642" s="1">
        <v>45140</v>
      </c>
      <c r="B642">
        <v>529.29999999999995</v>
      </c>
      <c r="C642">
        <f t="shared" si="37"/>
        <v>9.0104005766656253E-2</v>
      </c>
      <c r="D642" s="2">
        <f t="shared" si="38"/>
        <v>9.0104005766656253E-2</v>
      </c>
      <c r="O642" s="1">
        <v>45140</v>
      </c>
      <c r="P642">
        <v>65782.78</v>
      </c>
      <c r="Q642">
        <f t="shared" si="39"/>
        <v>-1.0179612156671486E-2</v>
      </c>
      <c r="R642" s="2">
        <f t="shared" si="40"/>
        <v>-1.0179612156671486E-2</v>
      </c>
    </row>
    <row r="643" spans="1:18" x14ac:dyDescent="0.3">
      <c r="A643" s="1">
        <v>45141</v>
      </c>
      <c r="B643">
        <v>572.04999999999995</v>
      </c>
      <c r="C643">
        <f t="shared" si="37"/>
        <v>8.0767050821840172E-2</v>
      </c>
      <c r="D643" s="2">
        <f t="shared" si="38"/>
        <v>8.0767050821840172E-2</v>
      </c>
      <c r="O643" s="1">
        <v>45141</v>
      </c>
      <c r="P643">
        <v>65240.68</v>
      </c>
      <c r="Q643">
        <f t="shared" si="39"/>
        <v>-8.2407584477274844E-3</v>
      </c>
      <c r="R643" s="2">
        <f t="shared" si="40"/>
        <v>-8.2407584477274844E-3</v>
      </c>
    </row>
    <row r="644" spans="1:18" x14ac:dyDescent="0.3">
      <c r="A644" s="1">
        <v>45142</v>
      </c>
      <c r="B644">
        <v>599.6</v>
      </c>
      <c r="C644">
        <f t="shared" ref="C644:C707" si="41">(B644-B643)/B643</f>
        <v>4.8160125863123973E-2</v>
      </c>
      <c r="D644" s="2">
        <f t="shared" ref="D644:D707" si="42">(B644-B643)/B643</f>
        <v>4.8160125863123973E-2</v>
      </c>
      <c r="O644" s="1">
        <v>45142</v>
      </c>
      <c r="P644">
        <v>65721.25</v>
      </c>
      <c r="Q644">
        <f t="shared" ref="Q644:Q707" si="43">(P644-P643)/P643</f>
        <v>7.3661096113651747E-3</v>
      </c>
      <c r="R644" s="2">
        <f t="shared" ref="R644:R707" si="44">(P644-P643)/P643</f>
        <v>7.3661096113651747E-3</v>
      </c>
    </row>
    <row r="645" spans="1:18" x14ac:dyDescent="0.3">
      <c r="A645" s="1">
        <v>45145</v>
      </c>
      <c r="B645">
        <v>587</v>
      </c>
      <c r="C645">
        <f t="shared" si="41"/>
        <v>-2.1014009339559745E-2</v>
      </c>
      <c r="D645" s="2">
        <f t="shared" si="42"/>
        <v>-2.1014009339559745E-2</v>
      </c>
      <c r="O645" s="1">
        <v>45145</v>
      </c>
      <c r="P645">
        <v>65953.48</v>
      </c>
      <c r="Q645">
        <f t="shared" si="43"/>
        <v>3.5335603020331466E-3</v>
      </c>
      <c r="R645" s="2">
        <f t="shared" si="44"/>
        <v>3.5335603020331466E-3</v>
      </c>
    </row>
    <row r="646" spans="1:18" x14ac:dyDescent="0.3">
      <c r="A646" s="1">
        <v>45146</v>
      </c>
      <c r="B646">
        <v>573</v>
      </c>
      <c r="C646">
        <f t="shared" si="41"/>
        <v>-2.385008517887564E-2</v>
      </c>
      <c r="D646" s="2">
        <f t="shared" si="42"/>
        <v>-2.385008517887564E-2</v>
      </c>
      <c r="O646" s="1">
        <v>45146</v>
      </c>
      <c r="P646">
        <v>65846.5</v>
      </c>
      <c r="Q646">
        <f t="shared" si="43"/>
        <v>-1.6220523920799316E-3</v>
      </c>
      <c r="R646" s="2">
        <f t="shared" si="44"/>
        <v>-1.6220523920799316E-3</v>
      </c>
    </row>
    <row r="647" spans="1:18" x14ac:dyDescent="0.3">
      <c r="A647" s="1">
        <v>45147</v>
      </c>
      <c r="B647">
        <v>527.9</v>
      </c>
      <c r="C647">
        <f t="shared" si="41"/>
        <v>-7.8708551483420638E-2</v>
      </c>
      <c r="D647" s="2">
        <f t="shared" si="42"/>
        <v>-7.8708551483420638E-2</v>
      </c>
      <c r="O647" s="1">
        <v>45147</v>
      </c>
      <c r="P647">
        <v>65995.81</v>
      </c>
      <c r="Q647">
        <f t="shared" si="43"/>
        <v>2.2675464907018243E-3</v>
      </c>
      <c r="R647" s="2">
        <f t="shared" si="44"/>
        <v>2.2675464907018243E-3</v>
      </c>
    </row>
    <row r="648" spans="1:18" x14ac:dyDescent="0.3">
      <c r="A648" s="1">
        <v>45148</v>
      </c>
      <c r="B648">
        <v>501.55</v>
      </c>
      <c r="C648">
        <f t="shared" si="41"/>
        <v>-4.991475658268605E-2</v>
      </c>
      <c r="D648" s="2">
        <f t="shared" si="42"/>
        <v>-4.991475658268605E-2</v>
      </c>
      <c r="O648" s="1">
        <v>45148</v>
      </c>
      <c r="P648">
        <v>65688.179999999993</v>
      </c>
      <c r="Q648">
        <f t="shared" si="43"/>
        <v>-4.6613565315738173E-3</v>
      </c>
      <c r="R648" s="2">
        <f t="shared" si="44"/>
        <v>-4.6613565315738173E-3</v>
      </c>
    </row>
    <row r="649" spans="1:18" x14ac:dyDescent="0.3">
      <c r="A649" s="1">
        <v>45149</v>
      </c>
      <c r="B649">
        <v>476.5</v>
      </c>
      <c r="C649">
        <f t="shared" si="41"/>
        <v>-4.9945169973083466E-2</v>
      </c>
      <c r="D649" s="2">
        <f t="shared" si="42"/>
        <v>-4.9945169973083466E-2</v>
      </c>
      <c r="O649" s="1">
        <v>45149</v>
      </c>
      <c r="P649">
        <v>65322.65</v>
      </c>
      <c r="Q649">
        <f t="shared" si="43"/>
        <v>-5.5646236507084163E-3</v>
      </c>
      <c r="R649" s="2">
        <f t="shared" si="44"/>
        <v>-5.5646236507084163E-3</v>
      </c>
    </row>
    <row r="650" spans="1:18" x14ac:dyDescent="0.3">
      <c r="A650" s="1">
        <v>45152</v>
      </c>
      <c r="B650">
        <v>500.3</v>
      </c>
      <c r="C650">
        <f t="shared" si="41"/>
        <v>4.9947534102833181E-2</v>
      </c>
      <c r="D650" s="2">
        <f t="shared" si="42"/>
        <v>4.9947534102833181E-2</v>
      </c>
      <c r="O650" s="1">
        <v>45152</v>
      </c>
      <c r="P650">
        <v>65401.919999999998</v>
      </c>
      <c r="Q650">
        <f t="shared" si="43"/>
        <v>1.2135147609595874E-3</v>
      </c>
      <c r="R650" s="2">
        <f t="shared" si="44"/>
        <v>1.2135147609595874E-3</v>
      </c>
    </row>
    <row r="651" spans="1:18" x14ac:dyDescent="0.3">
      <c r="A651" s="1">
        <v>45154</v>
      </c>
      <c r="B651">
        <v>502.75</v>
      </c>
      <c r="C651">
        <f t="shared" si="41"/>
        <v>4.8970617629422114E-3</v>
      </c>
      <c r="D651" s="2">
        <f t="shared" si="42"/>
        <v>4.8970617629422114E-3</v>
      </c>
      <c r="O651" s="1">
        <v>45154</v>
      </c>
      <c r="P651">
        <v>65539.42</v>
      </c>
      <c r="Q651">
        <f t="shared" si="43"/>
        <v>2.1023847617929262E-3</v>
      </c>
      <c r="R651" s="2">
        <f t="shared" si="44"/>
        <v>2.1023847617929262E-3</v>
      </c>
    </row>
    <row r="652" spans="1:18" x14ac:dyDescent="0.3">
      <c r="A652" s="1">
        <v>45155</v>
      </c>
      <c r="B652">
        <v>495.35</v>
      </c>
      <c r="C652">
        <f t="shared" si="41"/>
        <v>-1.4719045251118801E-2</v>
      </c>
      <c r="D652" s="2">
        <f t="shared" si="42"/>
        <v>-1.4719045251118801E-2</v>
      </c>
      <c r="O652" s="1">
        <v>45155</v>
      </c>
      <c r="P652">
        <v>65151.02</v>
      </c>
      <c r="Q652">
        <f t="shared" si="43"/>
        <v>-5.9262044125505146E-3</v>
      </c>
      <c r="R652" s="2">
        <f t="shared" si="44"/>
        <v>-5.9262044125505146E-3</v>
      </c>
    </row>
    <row r="653" spans="1:18" x14ac:dyDescent="0.3">
      <c r="A653" s="1">
        <v>45156</v>
      </c>
      <c r="B653">
        <v>476.25</v>
      </c>
      <c r="C653">
        <f t="shared" si="41"/>
        <v>-3.8558594932875785E-2</v>
      </c>
      <c r="D653" s="2">
        <f t="shared" si="42"/>
        <v>-3.8558594932875785E-2</v>
      </c>
      <c r="O653" s="1">
        <v>45156</v>
      </c>
      <c r="P653">
        <v>64948.66</v>
      </c>
      <c r="Q653">
        <f t="shared" si="43"/>
        <v>-3.1060143033830217E-3</v>
      </c>
      <c r="R653" s="2">
        <f t="shared" si="44"/>
        <v>-3.1060143033830217E-3</v>
      </c>
    </row>
    <row r="654" spans="1:18" x14ac:dyDescent="0.3">
      <c r="A654" s="1">
        <v>45159</v>
      </c>
      <c r="B654">
        <v>460.5</v>
      </c>
      <c r="C654">
        <f t="shared" si="41"/>
        <v>-3.3070866141732283E-2</v>
      </c>
      <c r="D654" s="2">
        <f t="shared" si="42"/>
        <v>-3.3070866141732283E-2</v>
      </c>
      <c r="O654" s="1">
        <v>45159</v>
      </c>
      <c r="P654">
        <v>65216.09</v>
      </c>
      <c r="Q654">
        <f t="shared" si="43"/>
        <v>4.1175599311824599E-3</v>
      </c>
      <c r="R654" s="2">
        <f t="shared" si="44"/>
        <v>4.1175599311824599E-3</v>
      </c>
    </row>
    <row r="655" spans="1:18" x14ac:dyDescent="0.3">
      <c r="A655" s="1">
        <v>45160</v>
      </c>
      <c r="B655">
        <v>483</v>
      </c>
      <c r="C655">
        <f t="shared" si="41"/>
        <v>4.8859934853420196E-2</v>
      </c>
      <c r="D655" s="2">
        <f t="shared" si="42"/>
        <v>4.8859934853420196E-2</v>
      </c>
      <c r="O655" s="1">
        <v>45160</v>
      </c>
      <c r="P655">
        <v>65220.03</v>
      </c>
      <c r="Q655">
        <f t="shared" si="43"/>
        <v>6.0414538804799986E-5</v>
      </c>
      <c r="R655" s="2">
        <f t="shared" si="44"/>
        <v>6.0414538804799986E-5</v>
      </c>
    </row>
    <row r="656" spans="1:18" x14ac:dyDescent="0.3">
      <c r="A656" s="1">
        <v>45161</v>
      </c>
      <c r="B656">
        <v>483.05</v>
      </c>
      <c r="C656">
        <f t="shared" si="41"/>
        <v>1.0351966873708358E-4</v>
      </c>
      <c r="D656" s="2">
        <f t="shared" si="42"/>
        <v>1.0351966873708358E-4</v>
      </c>
      <c r="O656" s="1">
        <v>45161</v>
      </c>
      <c r="P656">
        <v>65433.3</v>
      </c>
      <c r="Q656">
        <f t="shared" si="43"/>
        <v>3.2700076954887032E-3</v>
      </c>
      <c r="R656" s="2">
        <f t="shared" si="44"/>
        <v>3.2700076954887032E-3</v>
      </c>
    </row>
    <row r="657" spans="1:18" x14ac:dyDescent="0.3">
      <c r="A657" s="1">
        <v>45162</v>
      </c>
      <c r="B657">
        <v>477</v>
      </c>
      <c r="C657">
        <f t="shared" si="41"/>
        <v>-1.2524583376462088E-2</v>
      </c>
      <c r="D657" s="2">
        <f t="shared" si="42"/>
        <v>-1.2524583376462088E-2</v>
      </c>
      <c r="O657" s="1">
        <v>45162</v>
      </c>
      <c r="P657">
        <v>65252.34</v>
      </c>
      <c r="Q657">
        <f t="shared" si="43"/>
        <v>-2.7655643227531912E-3</v>
      </c>
      <c r="R657" s="2">
        <f t="shared" si="44"/>
        <v>-2.7655643227531912E-3</v>
      </c>
    </row>
    <row r="658" spans="1:18" x14ac:dyDescent="0.3">
      <c r="A658" s="1">
        <v>45163</v>
      </c>
      <c r="B658">
        <v>465.65</v>
      </c>
      <c r="C658">
        <f t="shared" si="41"/>
        <v>-2.3794549266247429E-2</v>
      </c>
      <c r="D658" s="2">
        <f t="shared" si="42"/>
        <v>-2.3794549266247429E-2</v>
      </c>
      <c r="O658" s="1">
        <v>45163</v>
      </c>
      <c r="P658">
        <v>64886.51</v>
      </c>
      <c r="Q658">
        <f t="shared" si="43"/>
        <v>-5.6063889816057857E-3</v>
      </c>
      <c r="R658" s="2">
        <f t="shared" si="44"/>
        <v>-5.6063889816057857E-3</v>
      </c>
    </row>
    <row r="659" spans="1:18" x14ac:dyDescent="0.3">
      <c r="A659" s="1">
        <v>45166</v>
      </c>
      <c r="B659">
        <v>454.45</v>
      </c>
      <c r="C659">
        <f t="shared" si="41"/>
        <v>-2.4052399871147833E-2</v>
      </c>
      <c r="D659" s="2">
        <f t="shared" si="42"/>
        <v>-2.4052399871147833E-2</v>
      </c>
      <c r="O659" s="1">
        <v>45166</v>
      </c>
      <c r="P659">
        <v>64996.6</v>
      </c>
      <c r="Q659">
        <f t="shared" si="43"/>
        <v>1.6966546667403827E-3</v>
      </c>
      <c r="R659" s="2">
        <f t="shared" si="44"/>
        <v>1.6966546667403827E-3</v>
      </c>
    </row>
    <row r="660" spans="1:18" x14ac:dyDescent="0.3">
      <c r="A660" s="1">
        <v>45167</v>
      </c>
      <c r="B660">
        <v>476.3</v>
      </c>
      <c r="C660">
        <f t="shared" si="41"/>
        <v>4.8080096820332319E-2</v>
      </c>
      <c r="D660" s="2">
        <f t="shared" si="42"/>
        <v>4.8080096820332319E-2</v>
      </c>
      <c r="O660" s="1">
        <v>45167</v>
      </c>
      <c r="P660">
        <v>65075.82</v>
      </c>
      <c r="Q660">
        <f t="shared" si="43"/>
        <v>1.2188329851100083E-3</v>
      </c>
      <c r="R660" s="2">
        <f t="shared" si="44"/>
        <v>1.2188329851100083E-3</v>
      </c>
    </row>
    <row r="661" spans="1:18" x14ac:dyDescent="0.3">
      <c r="A661" s="1">
        <v>45168</v>
      </c>
      <c r="B661">
        <v>475.45</v>
      </c>
      <c r="C661">
        <f t="shared" si="41"/>
        <v>-1.7845895444048346E-3</v>
      </c>
      <c r="D661" s="2">
        <f t="shared" si="42"/>
        <v>-1.7845895444048346E-3</v>
      </c>
      <c r="O661" s="1">
        <v>45168</v>
      </c>
      <c r="P661">
        <v>65087.25</v>
      </c>
      <c r="Q661">
        <f t="shared" si="43"/>
        <v>1.7564127505424122E-4</v>
      </c>
      <c r="R661" s="2">
        <f t="shared" si="44"/>
        <v>1.7564127505424122E-4</v>
      </c>
    </row>
    <row r="662" spans="1:18" x14ac:dyDescent="0.3">
      <c r="A662" s="1">
        <v>45169</v>
      </c>
      <c r="B662">
        <v>468.8</v>
      </c>
      <c r="C662">
        <f t="shared" si="41"/>
        <v>-1.398674939530966E-2</v>
      </c>
      <c r="D662" s="2">
        <f t="shared" si="42"/>
        <v>-1.398674939530966E-2</v>
      </c>
      <c r="O662" s="1">
        <v>45169</v>
      </c>
      <c r="P662">
        <v>64831.41</v>
      </c>
      <c r="Q662">
        <f t="shared" si="43"/>
        <v>-3.9307237592615526E-3</v>
      </c>
      <c r="R662" s="2">
        <f t="shared" si="44"/>
        <v>-3.9307237592615526E-3</v>
      </c>
    </row>
    <row r="663" spans="1:18" x14ac:dyDescent="0.3">
      <c r="A663" s="1">
        <v>45170</v>
      </c>
      <c r="B663">
        <v>470.7</v>
      </c>
      <c r="C663">
        <f t="shared" si="41"/>
        <v>4.052901023890736E-3</v>
      </c>
      <c r="D663" s="2">
        <f t="shared" si="42"/>
        <v>4.052901023890736E-3</v>
      </c>
      <c r="O663" s="1">
        <v>45170</v>
      </c>
      <c r="P663">
        <v>65387.16</v>
      </c>
      <c r="Q663">
        <f t="shared" si="43"/>
        <v>8.5722337367026263E-3</v>
      </c>
      <c r="R663" s="2">
        <f t="shared" si="44"/>
        <v>8.5722337367026263E-3</v>
      </c>
    </row>
    <row r="664" spans="1:18" x14ac:dyDescent="0.3">
      <c r="A664" s="1">
        <v>45173</v>
      </c>
      <c r="B664">
        <v>465.3</v>
      </c>
      <c r="C664">
        <f t="shared" si="41"/>
        <v>-1.1472275334607982E-2</v>
      </c>
      <c r="D664" s="2">
        <f t="shared" si="42"/>
        <v>-1.1472275334607982E-2</v>
      </c>
      <c r="O664" s="1">
        <v>45173</v>
      </c>
      <c r="P664">
        <v>65628.14</v>
      </c>
      <c r="Q664">
        <f t="shared" si="43"/>
        <v>3.6854330422057772E-3</v>
      </c>
      <c r="R664" s="2">
        <f t="shared" si="44"/>
        <v>3.6854330422057772E-3</v>
      </c>
    </row>
    <row r="665" spans="1:18" x14ac:dyDescent="0.3">
      <c r="A665" s="1">
        <v>45174</v>
      </c>
      <c r="B665">
        <v>465.8</v>
      </c>
      <c r="C665">
        <f t="shared" si="41"/>
        <v>1.074575542660649E-3</v>
      </c>
      <c r="D665" s="2">
        <f t="shared" si="42"/>
        <v>1.074575542660649E-3</v>
      </c>
      <c r="O665" s="1">
        <v>45174</v>
      </c>
      <c r="P665">
        <v>65780.259999999995</v>
      </c>
      <c r="Q665">
        <f t="shared" si="43"/>
        <v>2.3179081412332478E-3</v>
      </c>
      <c r="R665" s="2">
        <f t="shared" si="44"/>
        <v>2.3179081412332478E-3</v>
      </c>
    </row>
    <row r="666" spans="1:18" x14ac:dyDescent="0.3">
      <c r="A666" s="1">
        <v>45175</v>
      </c>
      <c r="B666">
        <v>463.85</v>
      </c>
      <c r="C666">
        <f t="shared" si="41"/>
        <v>-4.1863460712752007E-3</v>
      </c>
      <c r="D666" s="2">
        <f t="shared" si="42"/>
        <v>-4.1863460712752007E-3</v>
      </c>
      <c r="O666" s="1">
        <v>45175</v>
      </c>
      <c r="P666">
        <v>65880.52</v>
      </c>
      <c r="Q666">
        <f t="shared" si="43"/>
        <v>1.5241654563239689E-3</v>
      </c>
      <c r="R666" s="2">
        <f t="shared" si="44"/>
        <v>1.5241654563239689E-3</v>
      </c>
    </row>
    <row r="667" spans="1:18" x14ac:dyDescent="0.3">
      <c r="A667" s="1">
        <v>45176</v>
      </c>
      <c r="B667">
        <v>462.4</v>
      </c>
      <c r="C667">
        <f t="shared" si="41"/>
        <v>-3.1260105637599339E-3</v>
      </c>
      <c r="D667" s="2">
        <f t="shared" si="42"/>
        <v>-3.1260105637599339E-3</v>
      </c>
      <c r="O667" s="1">
        <v>45176</v>
      </c>
      <c r="P667">
        <v>66265.56</v>
      </c>
      <c r="Q667">
        <f t="shared" si="43"/>
        <v>5.844519745745686E-3</v>
      </c>
      <c r="R667" s="2">
        <f t="shared" si="44"/>
        <v>5.844519745745686E-3</v>
      </c>
    </row>
    <row r="668" spans="1:18" x14ac:dyDescent="0.3">
      <c r="A668" s="1">
        <v>45177</v>
      </c>
      <c r="B668">
        <v>471.3</v>
      </c>
      <c r="C668">
        <f t="shared" si="41"/>
        <v>1.9247404844290734E-2</v>
      </c>
      <c r="D668" s="2">
        <f t="shared" si="42"/>
        <v>1.9247404844290734E-2</v>
      </c>
      <c r="O668" s="1">
        <v>45177</v>
      </c>
      <c r="P668">
        <v>66598.91</v>
      </c>
      <c r="Q668">
        <f t="shared" si="43"/>
        <v>5.0305166062130291E-3</v>
      </c>
      <c r="R668" s="2">
        <f t="shared" si="44"/>
        <v>5.0305166062130291E-3</v>
      </c>
    </row>
    <row r="669" spans="1:18" x14ac:dyDescent="0.3">
      <c r="A669" s="1">
        <v>45180</v>
      </c>
      <c r="B669">
        <v>494.85</v>
      </c>
      <c r="C669">
        <f t="shared" si="41"/>
        <v>4.9968173138128603E-2</v>
      </c>
      <c r="D669" s="2">
        <f t="shared" si="42"/>
        <v>4.9968173138128603E-2</v>
      </c>
      <c r="O669" s="1">
        <v>45180</v>
      </c>
      <c r="P669">
        <v>67127.08</v>
      </c>
      <c r="Q669">
        <f t="shared" si="43"/>
        <v>7.9306102757537352E-3</v>
      </c>
      <c r="R669" s="2">
        <f t="shared" si="44"/>
        <v>7.9306102757537352E-3</v>
      </c>
    </row>
    <row r="670" spans="1:18" x14ac:dyDescent="0.3">
      <c r="A670" s="1">
        <v>45181</v>
      </c>
      <c r="B670">
        <v>494.1</v>
      </c>
      <c r="C670">
        <f t="shared" si="41"/>
        <v>-1.515610791148833E-3</v>
      </c>
      <c r="D670" s="2">
        <f t="shared" si="42"/>
        <v>-1.515610791148833E-3</v>
      </c>
      <c r="O670" s="1">
        <v>45181</v>
      </c>
      <c r="P670">
        <v>67221.13</v>
      </c>
      <c r="Q670">
        <f t="shared" si="43"/>
        <v>1.401073903408325E-3</v>
      </c>
      <c r="R670" s="2">
        <f t="shared" si="44"/>
        <v>1.401073903408325E-3</v>
      </c>
    </row>
    <row r="671" spans="1:18" x14ac:dyDescent="0.3">
      <c r="A671" s="1">
        <v>45182</v>
      </c>
      <c r="B671">
        <v>486.3</v>
      </c>
      <c r="C671">
        <f t="shared" si="41"/>
        <v>-1.5786278081360072E-2</v>
      </c>
      <c r="D671" s="2">
        <f t="shared" si="42"/>
        <v>-1.5786278081360072E-2</v>
      </c>
      <c r="O671" s="1">
        <v>45182</v>
      </c>
      <c r="P671">
        <v>67466.990000000005</v>
      </c>
      <c r="Q671">
        <f t="shared" si="43"/>
        <v>3.6574809141113897E-3</v>
      </c>
      <c r="R671" s="2">
        <f t="shared" si="44"/>
        <v>3.6574809141113897E-3</v>
      </c>
    </row>
    <row r="672" spans="1:18" x14ac:dyDescent="0.3">
      <c r="A672" s="1">
        <v>45183</v>
      </c>
      <c r="B672">
        <v>489.25</v>
      </c>
      <c r="C672">
        <f t="shared" si="41"/>
        <v>6.0662142710260917E-3</v>
      </c>
      <c r="D672" s="2">
        <f t="shared" si="42"/>
        <v>6.0662142710260917E-3</v>
      </c>
      <c r="O672" s="1">
        <v>45183</v>
      </c>
      <c r="P672">
        <v>67519</v>
      </c>
      <c r="Q672">
        <f t="shared" si="43"/>
        <v>7.7089551497695036E-4</v>
      </c>
      <c r="R672" s="2">
        <f t="shared" si="44"/>
        <v>7.7089551497695036E-4</v>
      </c>
    </row>
    <row r="673" spans="1:18" x14ac:dyDescent="0.3">
      <c r="A673" s="1">
        <v>45184</v>
      </c>
      <c r="B673">
        <v>489.9</v>
      </c>
      <c r="C673">
        <f t="shared" si="41"/>
        <v>1.3285641287684767E-3</v>
      </c>
      <c r="D673" s="2">
        <f t="shared" si="42"/>
        <v>1.3285641287684767E-3</v>
      </c>
      <c r="O673" s="1">
        <v>45184</v>
      </c>
      <c r="P673">
        <v>67838.63</v>
      </c>
      <c r="Q673">
        <f t="shared" si="43"/>
        <v>4.7339267465454854E-3</v>
      </c>
      <c r="R673" s="2">
        <f t="shared" si="44"/>
        <v>4.7339267465454854E-3</v>
      </c>
    </row>
    <row r="674" spans="1:18" x14ac:dyDescent="0.3">
      <c r="A674" s="1">
        <v>45187</v>
      </c>
      <c r="B674">
        <v>483.6</v>
      </c>
      <c r="C674">
        <f t="shared" si="41"/>
        <v>-1.2859767299448774E-2</v>
      </c>
      <c r="D674" s="2">
        <f t="shared" si="42"/>
        <v>-1.2859767299448774E-2</v>
      </c>
      <c r="O674" s="1">
        <v>45187</v>
      </c>
      <c r="P674">
        <v>67596.84</v>
      </c>
      <c r="Q674">
        <f t="shared" si="43"/>
        <v>-3.5641934396376833E-3</v>
      </c>
      <c r="R674" s="2">
        <f t="shared" si="44"/>
        <v>-3.5641934396376833E-3</v>
      </c>
    </row>
    <row r="675" spans="1:18" x14ac:dyDescent="0.3">
      <c r="A675" s="1">
        <v>45189</v>
      </c>
      <c r="B675">
        <v>477.75</v>
      </c>
      <c r="C675">
        <f t="shared" si="41"/>
        <v>-1.2096774193548434E-2</v>
      </c>
      <c r="D675" s="2">
        <f t="shared" si="42"/>
        <v>-1.2096774193548434E-2</v>
      </c>
      <c r="O675" s="1">
        <v>45189</v>
      </c>
      <c r="P675">
        <v>66800.84</v>
      </c>
      <c r="Q675">
        <f t="shared" si="43"/>
        <v>-1.1775698390634829E-2</v>
      </c>
      <c r="R675" s="2">
        <f t="shared" si="44"/>
        <v>-1.1775698390634829E-2</v>
      </c>
    </row>
    <row r="676" spans="1:18" x14ac:dyDescent="0.3">
      <c r="A676" s="1">
        <v>45190</v>
      </c>
      <c r="B676">
        <v>480.5</v>
      </c>
      <c r="C676">
        <f t="shared" si="41"/>
        <v>5.7561486132914706E-3</v>
      </c>
      <c r="D676" s="2">
        <f t="shared" si="42"/>
        <v>5.7561486132914706E-3</v>
      </c>
      <c r="O676" s="1">
        <v>45190</v>
      </c>
      <c r="P676">
        <v>66230.240000000005</v>
      </c>
      <c r="Q676">
        <f t="shared" si="43"/>
        <v>-8.5418087556981513E-3</v>
      </c>
      <c r="R676" s="2">
        <f t="shared" si="44"/>
        <v>-8.5418087556981513E-3</v>
      </c>
    </row>
    <row r="677" spans="1:18" x14ac:dyDescent="0.3">
      <c r="A677" s="1">
        <v>45191</v>
      </c>
      <c r="B677">
        <v>469.9</v>
      </c>
      <c r="C677">
        <f t="shared" si="41"/>
        <v>-2.2060353798127E-2</v>
      </c>
      <c r="D677" s="2">
        <f t="shared" si="42"/>
        <v>-2.2060353798127E-2</v>
      </c>
      <c r="O677" s="1">
        <v>45191</v>
      </c>
      <c r="P677">
        <v>66009.149999999994</v>
      </c>
      <c r="Q677">
        <f t="shared" si="43"/>
        <v>-3.3382032135171342E-3</v>
      </c>
      <c r="R677" s="2">
        <f t="shared" si="44"/>
        <v>-3.3382032135171342E-3</v>
      </c>
    </row>
    <row r="678" spans="1:18" x14ac:dyDescent="0.3">
      <c r="A678" s="1">
        <v>45194</v>
      </c>
      <c r="B678">
        <v>465.4</v>
      </c>
      <c r="C678">
        <f t="shared" si="41"/>
        <v>-9.5765056394977663E-3</v>
      </c>
      <c r="D678" s="2">
        <f t="shared" si="42"/>
        <v>-9.5765056394977663E-3</v>
      </c>
      <c r="O678" s="1">
        <v>45194</v>
      </c>
      <c r="P678">
        <v>66023.69</v>
      </c>
      <c r="Q678">
        <f t="shared" si="43"/>
        <v>2.2027249252578091E-4</v>
      </c>
      <c r="R678" s="2">
        <f t="shared" si="44"/>
        <v>2.2027249252578091E-4</v>
      </c>
    </row>
    <row r="679" spans="1:18" x14ac:dyDescent="0.3">
      <c r="A679" s="1">
        <v>45195</v>
      </c>
      <c r="B679">
        <v>456.4</v>
      </c>
      <c r="C679">
        <f t="shared" si="41"/>
        <v>-1.9338203695745595E-2</v>
      </c>
      <c r="D679" s="2">
        <f t="shared" si="42"/>
        <v>-1.9338203695745595E-2</v>
      </c>
      <c r="O679" s="1">
        <v>45195</v>
      </c>
      <c r="P679">
        <v>65945.47</v>
      </c>
      <c r="Q679">
        <f t="shared" si="43"/>
        <v>-1.1847262702221152E-3</v>
      </c>
      <c r="R679" s="2">
        <f t="shared" si="44"/>
        <v>-1.1847262702221152E-3</v>
      </c>
    </row>
    <row r="680" spans="1:18" x14ac:dyDescent="0.3">
      <c r="A680" s="1">
        <v>45196</v>
      </c>
      <c r="B680">
        <v>458.55</v>
      </c>
      <c r="C680">
        <f t="shared" si="41"/>
        <v>4.7107800175285588E-3</v>
      </c>
      <c r="D680" s="2">
        <f t="shared" si="42"/>
        <v>4.7107800175285588E-3</v>
      </c>
      <c r="O680" s="1">
        <v>45196</v>
      </c>
      <c r="P680">
        <v>66118.69</v>
      </c>
      <c r="Q680">
        <f t="shared" si="43"/>
        <v>2.6267156788783393E-3</v>
      </c>
      <c r="R680" s="2">
        <f t="shared" si="44"/>
        <v>2.6267156788783393E-3</v>
      </c>
    </row>
    <row r="681" spans="1:18" x14ac:dyDescent="0.3">
      <c r="A681" s="1">
        <v>45197</v>
      </c>
      <c r="B681">
        <v>450.3</v>
      </c>
      <c r="C681">
        <f t="shared" si="41"/>
        <v>-1.7991494929669609E-2</v>
      </c>
      <c r="D681" s="2">
        <f t="shared" si="42"/>
        <v>-1.7991494929669609E-2</v>
      </c>
      <c r="O681" s="1">
        <v>45197</v>
      </c>
      <c r="P681">
        <v>65508.32</v>
      </c>
      <c r="Q681">
        <f t="shared" si="43"/>
        <v>-9.231429116336131E-3</v>
      </c>
      <c r="R681" s="2">
        <f t="shared" si="44"/>
        <v>-9.231429116336131E-3</v>
      </c>
    </row>
    <row r="682" spans="1:18" x14ac:dyDescent="0.3">
      <c r="A682" s="1">
        <v>45198</v>
      </c>
      <c r="B682">
        <v>452.2</v>
      </c>
      <c r="C682">
        <f t="shared" si="41"/>
        <v>4.2194092827003713E-3</v>
      </c>
      <c r="D682" s="2">
        <f t="shared" si="42"/>
        <v>4.2194092827003713E-3</v>
      </c>
      <c r="O682" s="1">
        <v>45198</v>
      </c>
      <c r="P682">
        <v>65828.41</v>
      </c>
      <c r="Q682">
        <f t="shared" si="43"/>
        <v>4.8862495634142931E-3</v>
      </c>
      <c r="R682" s="2">
        <f t="shared" si="44"/>
        <v>4.8862495634142931E-3</v>
      </c>
    </row>
    <row r="683" spans="1:18" x14ac:dyDescent="0.3">
      <c r="A683" s="1">
        <v>45202</v>
      </c>
      <c r="B683">
        <v>454.4</v>
      </c>
      <c r="C683">
        <f t="shared" si="41"/>
        <v>4.8651039363113418E-3</v>
      </c>
      <c r="D683" s="2">
        <f t="shared" si="42"/>
        <v>4.8651039363113418E-3</v>
      </c>
      <c r="O683" s="1">
        <v>45202</v>
      </c>
      <c r="P683">
        <v>65512.1</v>
      </c>
      <c r="Q683">
        <f t="shared" si="43"/>
        <v>-4.8050682068730647E-3</v>
      </c>
      <c r="R683" s="2">
        <f t="shared" si="44"/>
        <v>-4.8050682068730647E-3</v>
      </c>
    </row>
    <row r="684" spans="1:18" x14ac:dyDescent="0.3">
      <c r="A684" s="1">
        <v>45203</v>
      </c>
      <c r="B684">
        <v>448</v>
      </c>
      <c r="C684">
        <f t="shared" si="41"/>
        <v>-1.4084507042253471E-2</v>
      </c>
      <c r="D684" s="2">
        <f t="shared" si="42"/>
        <v>-1.4084507042253471E-2</v>
      </c>
      <c r="O684" s="1">
        <v>45203</v>
      </c>
      <c r="P684">
        <v>65226.04</v>
      </c>
      <c r="Q684">
        <f t="shared" si="43"/>
        <v>-4.3665216044058682E-3</v>
      </c>
      <c r="R684" s="2">
        <f t="shared" si="44"/>
        <v>-4.3665216044058682E-3</v>
      </c>
    </row>
    <row r="685" spans="1:18" x14ac:dyDescent="0.3">
      <c r="A685" s="1">
        <v>45204</v>
      </c>
      <c r="B685">
        <v>447.05</v>
      </c>
      <c r="C685">
        <f t="shared" si="41"/>
        <v>-2.120535714285689E-3</v>
      </c>
      <c r="D685" s="2">
        <f t="shared" si="42"/>
        <v>-2.120535714285689E-3</v>
      </c>
      <c r="O685" s="1">
        <v>45204</v>
      </c>
      <c r="P685">
        <v>65631.570000000007</v>
      </c>
      <c r="Q685">
        <f t="shared" si="43"/>
        <v>6.2173021695017218E-3</v>
      </c>
      <c r="R685" s="2">
        <f t="shared" si="44"/>
        <v>6.2173021695017218E-3</v>
      </c>
    </row>
    <row r="686" spans="1:18" x14ac:dyDescent="0.3">
      <c r="A686" s="1">
        <v>45205</v>
      </c>
      <c r="B686">
        <v>444.25</v>
      </c>
      <c r="C686">
        <f t="shared" si="41"/>
        <v>-6.2632815121351328E-3</v>
      </c>
      <c r="D686" s="2">
        <f t="shared" si="42"/>
        <v>-6.2632815121351328E-3</v>
      </c>
      <c r="O686" s="1">
        <v>45205</v>
      </c>
      <c r="P686">
        <v>65995.63</v>
      </c>
      <c r="Q686">
        <f t="shared" si="43"/>
        <v>5.5470256158735446E-3</v>
      </c>
      <c r="R686" s="2">
        <f t="shared" si="44"/>
        <v>5.5470256158735446E-3</v>
      </c>
    </row>
    <row r="687" spans="1:18" x14ac:dyDescent="0.3">
      <c r="A687" s="1">
        <v>45208</v>
      </c>
      <c r="B687">
        <v>425.35</v>
      </c>
      <c r="C687">
        <f t="shared" si="41"/>
        <v>-4.2543612830613343E-2</v>
      </c>
      <c r="D687" s="2">
        <f t="shared" si="42"/>
        <v>-4.2543612830613343E-2</v>
      </c>
      <c r="O687" s="1">
        <v>45208</v>
      </c>
      <c r="P687">
        <v>65512.39</v>
      </c>
      <c r="Q687">
        <f t="shared" si="43"/>
        <v>-7.322303007032514E-3</v>
      </c>
      <c r="R687" s="2">
        <f t="shared" si="44"/>
        <v>-7.322303007032514E-3</v>
      </c>
    </row>
    <row r="688" spans="1:18" x14ac:dyDescent="0.3">
      <c r="A688" s="1">
        <v>45209</v>
      </c>
      <c r="B688">
        <v>435.4</v>
      </c>
      <c r="C688">
        <f t="shared" si="41"/>
        <v>2.3627600799341609E-2</v>
      </c>
      <c r="D688" s="2">
        <f t="shared" si="42"/>
        <v>2.3627600799341609E-2</v>
      </c>
      <c r="O688" s="1">
        <v>45209</v>
      </c>
      <c r="P688">
        <v>66079.360000000001</v>
      </c>
      <c r="Q688">
        <f t="shared" si="43"/>
        <v>8.65439346664045E-3</v>
      </c>
      <c r="R688" s="2">
        <f t="shared" si="44"/>
        <v>8.65439346664045E-3</v>
      </c>
    </row>
    <row r="689" spans="1:18" x14ac:dyDescent="0.3">
      <c r="A689" s="1">
        <v>45210</v>
      </c>
      <c r="B689">
        <v>457.15</v>
      </c>
      <c r="C689">
        <f t="shared" si="41"/>
        <v>4.995406522737713E-2</v>
      </c>
      <c r="D689" s="2">
        <f t="shared" si="42"/>
        <v>4.995406522737713E-2</v>
      </c>
      <c r="O689" s="1">
        <v>45210</v>
      </c>
      <c r="P689">
        <v>66473.05</v>
      </c>
      <c r="Q689">
        <f t="shared" si="43"/>
        <v>5.9578361533768236E-3</v>
      </c>
      <c r="R689" s="2">
        <f t="shared" si="44"/>
        <v>5.9578361533768236E-3</v>
      </c>
    </row>
    <row r="690" spans="1:18" x14ac:dyDescent="0.3">
      <c r="A690" s="1">
        <v>45211</v>
      </c>
      <c r="B690">
        <v>480</v>
      </c>
      <c r="C690">
        <f t="shared" si="41"/>
        <v>4.9983594006343703E-2</v>
      </c>
      <c r="D690" s="2">
        <f t="shared" si="42"/>
        <v>4.9983594006343703E-2</v>
      </c>
      <c r="O690" s="1">
        <v>45211</v>
      </c>
      <c r="P690">
        <v>66408.39</v>
      </c>
      <c r="Q690">
        <f t="shared" si="43"/>
        <v>-9.7272503668785308E-4</v>
      </c>
      <c r="R690" s="2">
        <f t="shared" si="44"/>
        <v>-9.7272503668785308E-4</v>
      </c>
    </row>
    <row r="691" spans="1:18" x14ac:dyDescent="0.3">
      <c r="A691" s="1">
        <v>45212</v>
      </c>
      <c r="B691">
        <v>485.35</v>
      </c>
      <c r="C691">
        <f t="shared" si="41"/>
        <v>1.1145833333333381E-2</v>
      </c>
      <c r="D691" s="2">
        <f t="shared" si="42"/>
        <v>1.1145833333333381E-2</v>
      </c>
      <c r="O691" s="1">
        <v>45212</v>
      </c>
      <c r="P691">
        <v>66282.740000000005</v>
      </c>
      <c r="Q691">
        <f t="shared" si="43"/>
        <v>-1.8920802025164921E-3</v>
      </c>
      <c r="R691" s="2">
        <f t="shared" si="44"/>
        <v>-1.8920802025164921E-3</v>
      </c>
    </row>
    <row r="692" spans="1:18" x14ac:dyDescent="0.3">
      <c r="A692" s="1">
        <v>45215</v>
      </c>
      <c r="B692">
        <v>477.4</v>
      </c>
      <c r="C692">
        <f t="shared" si="41"/>
        <v>-1.6379932007829494E-2</v>
      </c>
      <c r="D692" s="2">
        <f t="shared" si="42"/>
        <v>-1.6379932007829494E-2</v>
      </c>
      <c r="O692" s="1">
        <v>45215</v>
      </c>
      <c r="P692">
        <v>66166.929999999993</v>
      </c>
      <c r="Q692">
        <f t="shared" si="43"/>
        <v>-1.7472120192981192E-3</v>
      </c>
      <c r="R692" s="2">
        <f t="shared" si="44"/>
        <v>-1.7472120192981192E-3</v>
      </c>
    </row>
    <row r="693" spans="1:18" x14ac:dyDescent="0.3">
      <c r="A693" s="1">
        <v>45216</v>
      </c>
      <c r="B693">
        <v>478.75</v>
      </c>
      <c r="C693">
        <f t="shared" si="41"/>
        <v>2.8278173439464241E-3</v>
      </c>
      <c r="D693" s="2">
        <f t="shared" si="42"/>
        <v>2.8278173439464241E-3</v>
      </c>
      <c r="O693" s="1">
        <v>45216</v>
      </c>
      <c r="P693">
        <v>66428.09</v>
      </c>
      <c r="Q693">
        <f t="shared" si="43"/>
        <v>3.9469868104807567E-3</v>
      </c>
      <c r="R693" s="2">
        <f t="shared" si="44"/>
        <v>3.9469868104807567E-3</v>
      </c>
    </row>
    <row r="694" spans="1:18" x14ac:dyDescent="0.3">
      <c r="A694" s="1">
        <v>45217</v>
      </c>
      <c r="B694">
        <v>467.85</v>
      </c>
      <c r="C694">
        <f t="shared" si="41"/>
        <v>-2.2767624020887681E-2</v>
      </c>
      <c r="D694" s="2">
        <f t="shared" si="42"/>
        <v>-2.2767624020887681E-2</v>
      </c>
      <c r="O694" s="1">
        <v>45217</v>
      </c>
      <c r="P694">
        <v>65877.02</v>
      </c>
      <c r="Q694">
        <f t="shared" si="43"/>
        <v>-8.295737541151529E-3</v>
      </c>
      <c r="R694" s="2">
        <f t="shared" si="44"/>
        <v>-8.295737541151529E-3</v>
      </c>
    </row>
    <row r="695" spans="1:18" x14ac:dyDescent="0.3">
      <c r="A695" s="1">
        <v>45218</v>
      </c>
      <c r="B695">
        <v>469.45</v>
      </c>
      <c r="C695">
        <f t="shared" si="41"/>
        <v>3.4198995404509263E-3</v>
      </c>
      <c r="D695" s="2">
        <f t="shared" si="42"/>
        <v>3.4198995404509263E-3</v>
      </c>
      <c r="O695" s="1">
        <v>45218</v>
      </c>
      <c r="P695">
        <v>65629.240000000005</v>
      </c>
      <c r="Q695">
        <f t="shared" si="43"/>
        <v>-3.7612508883977875E-3</v>
      </c>
      <c r="R695" s="2">
        <f t="shared" si="44"/>
        <v>-3.7612508883977875E-3</v>
      </c>
    </row>
    <row r="696" spans="1:18" x14ac:dyDescent="0.3">
      <c r="A696" s="1">
        <v>45219</v>
      </c>
      <c r="B696">
        <v>462.7</v>
      </c>
      <c r="C696">
        <f t="shared" si="41"/>
        <v>-1.437852806475663E-2</v>
      </c>
      <c r="D696" s="2">
        <f t="shared" si="42"/>
        <v>-1.437852806475663E-2</v>
      </c>
      <c r="O696" s="1">
        <v>45219</v>
      </c>
      <c r="P696">
        <v>65397.62</v>
      </c>
      <c r="Q696">
        <f t="shared" si="43"/>
        <v>-3.5292195978500222E-3</v>
      </c>
      <c r="R696" s="2">
        <f t="shared" si="44"/>
        <v>-3.5292195978500222E-3</v>
      </c>
    </row>
    <row r="697" spans="1:18" x14ac:dyDescent="0.3">
      <c r="A697" s="1">
        <v>45222</v>
      </c>
      <c r="B697">
        <v>452.95</v>
      </c>
      <c r="C697">
        <f t="shared" si="41"/>
        <v>-2.1071968878322887E-2</v>
      </c>
      <c r="D697" s="2">
        <f t="shared" si="42"/>
        <v>-2.1071968878322887E-2</v>
      </c>
      <c r="O697" s="1">
        <v>45222</v>
      </c>
      <c r="P697">
        <v>64571.88</v>
      </c>
      <c r="Q697">
        <f t="shared" si="43"/>
        <v>-1.2626453378578689E-2</v>
      </c>
      <c r="R697" s="2">
        <f t="shared" si="44"/>
        <v>-1.2626453378578689E-2</v>
      </c>
    </row>
    <row r="698" spans="1:18" x14ac:dyDescent="0.3">
      <c r="A698" s="1">
        <v>45224</v>
      </c>
      <c r="B698">
        <v>436.5</v>
      </c>
      <c r="C698">
        <f t="shared" si="41"/>
        <v>-3.6317474334915528E-2</v>
      </c>
      <c r="D698" s="2">
        <f t="shared" si="42"/>
        <v>-3.6317474334915528E-2</v>
      </c>
      <c r="O698" s="1">
        <v>45224</v>
      </c>
      <c r="P698">
        <v>64049.06</v>
      </c>
      <c r="Q698">
        <f t="shared" si="43"/>
        <v>-8.0967133061636068E-3</v>
      </c>
      <c r="R698" s="2">
        <f t="shared" si="44"/>
        <v>-8.0967133061636068E-3</v>
      </c>
    </row>
    <row r="699" spans="1:18" x14ac:dyDescent="0.3">
      <c r="A699" s="1">
        <v>45225</v>
      </c>
      <c r="B699">
        <v>429.75</v>
      </c>
      <c r="C699">
        <f t="shared" si="41"/>
        <v>-1.5463917525773196E-2</v>
      </c>
      <c r="D699" s="2">
        <f t="shared" si="42"/>
        <v>-1.5463917525773196E-2</v>
      </c>
      <c r="O699" s="1">
        <v>45225</v>
      </c>
      <c r="P699">
        <v>63148.15</v>
      </c>
      <c r="Q699">
        <f t="shared" si="43"/>
        <v>-1.4065936330681454E-2</v>
      </c>
      <c r="R699" s="2">
        <f t="shared" si="44"/>
        <v>-1.4065936330681454E-2</v>
      </c>
    </row>
    <row r="700" spans="1:18" x14ac:dyDescent="0.3">
      <c r="A700" s="1">
        <v>45226</v>
      </c>
      <c r="B700">
        <v>451.2</v>
      </c>
      <c r="C700">
        <f t="shared" si="41"/>
        <v>4.9912739965095959E-2</v>
      </c>
      <c r="D700" s="2">
        <f t="shared" si="42"/>
        <v>4.9912739965095959E-2</v>
      </c>
      <c r="O700" s="1">
        <v>45226</v>
      </c>
      <c r="P700">
        <v>63782.8</v>
      </c>
      <c r="Q700">
        <f t="shared" si="43"/>
        <v>1.0050175658352643E-2</v>
      </c>
      <c r="R700" s="2">
        <f t="shared" si="44"/>
        <v>1.0050175658352643E-2</v>
      </c>
    </row>
    <row r="701" spans="1:18" x14ac:dyDescent="0.3">
      <c r="A701" s="1">
        <v>45229</v>
      </c>
      <c r="B701">
        <v>455.95</v>
      </c>
      <c r="C701">
        <f t="shared" si="41"/>
        <v>1.0527482269503546E-2</v>
      </c>
      <c r="D701" s="2">
        <f t="shared" si="42"/>
        <v>1.0527482269503546E-2</v>
      </c>
      <c r="O701" s="1">
        <v>45229</v>
      </c>
      <c r="P701">
        <v>64112.65</v>
      </c>
      <c r="Q701">
        <f t="shared" si="43"/>
        <v>5.1714568817925605E-3</v>
      </c>
      <c r="R701" s="2">
        <f t="shared" si="44"/>
        <v>5.1714568817925605E-3</v>
      </c>
    </row>
    <row r="702" spans="1:18" x14ac:dyDescent="0.3">
      <c r="A702" s="1">
        <v>45230</v>
      </c>
      <c r="B702">
        <v>446.4</v>
      </c>
      <c r="C702">
        <f t="shared" si="41"/>
        <v>-2.0945279087619281E-2</v>
      </c>
      <c r="D702" s="2">
        <f t="shared" si="42"/>
        <v>-2.0945279087619281E-2</v>
      </c>
      <c r="O702" s="1">
        <v>45230</v>
      </c>
      <c r="P702">
        <v>63874.93</v>
      </c>
      <c r="Q702">
        <f t="shared" si="43"/>
        <v>-3.7078486071001771E-3</v>
      </c>
      <c r="R702" s="2">
        <f t="shared" si="44"/>
        <v>-3.7078486071001771E-3</v>
      </c>
    </row>
    <row r="703" spans="1:18" x14ac:dyDescent="0.3">
      <c r="A703" s="1">
        <v>45231</v>
      </c>
      <c r="B703">
        <v>440.95</v>
      </c>
      <c r="C703">
        <f t="shared" si="41"/>
        <v>-1.2208781362007143E-2</v>
      </c>
      <c r="D703" s="2">
        <f t="shared" si="42"/>
        <v>-1.2208781362007143E-2</v>
      </c>
      <c r="O703" s="1">
        <v>45231</v>
      </c>
      <c r="P703">
        <v>63591.33</v>
      </c>
      <c r="Q703">
        <f t="shared" si="43"/>
        <v>-4.4399265877864535E-3</v>
      </c>
      <c r="R703" s="2">
        <f t="shared" si="44"/>
        <v>-4.4399265877864535E-3</v>
      </c>
    </row>
    <row r="704" spans="1:18" x14ac:dyDescent="0.3">
      <c r="A704" s="1">
        <v>45232</v>
      </c>
      <c r="B704">
        <v>445.05</v>
      </c>
      <c r="C704">
        <f t="shared" si="41"/>
        <v>9.2981063612655006E-3</v>
      </c>
      <c r="D704" s="2">
        <f t="shared" si="42"/>
        <v>9.2981063612655006E-3</v>
      </c>
      <c r="O704" s="1">
        <v>45232</v>
      </c>
      <c r="P704">
        <v>64080.9</v>
      </c>
      <c r="Q704">
        <f t="shared" si="43"/>
        <v>7.69869100080152E-3</v>
      </c>
      <c r="R704" s="2">
        <f t="shared" si="44"/>
        <v>7.69869100080152E-3</v>
      </c>
    </row>
    <row r="705" spans="1:18" x14ac:dyDescent="0.3">
      <c r="A705" s="1">
        <v>45233</v>
      </c>
      <c r="B705">
        <v>451.2</v>
      </c>
      <c r="C705">
        <f t="shared" si="41"/>
        <v>1.3818672059319127E-2</v>
      </c>
      <c r="D705" s="2">
        <f t="shared" si="42"/>
        <v>1.3818672059319127E-2</v>
      </c>
      <c r="O705" s="1">
        <v>45233</v>
      </c>
      <c r="P705">
        <v>64363.78</v>
      </c>
      <c r="Q705">
        <f t="shared" si="43"/>
        <v>4.4144198973484665E-3</v>
      </c>
      <c r="R705" s="2">
        <f t="shared" si="44"/>
        <v>4.4144198973484665E-3</v>
      </c>
    </row>
    <row r="706" spans="1:18" x14ac:dyDescent="0.3">
      <c r="A706" s="1">
        <v>45236</v>
      </c>
      <c r="B706">
        <v>455.85</v>
      </c>
      <c r="C706">
        <f t="shared" si="41"/>
        <v>1.0305851063829863E-2</v>
      </c>
      <c r="D706" s="2">
        <f t="shared" si="42"/>
        <v>1.0305851063829863E-2</v>
      </c>
      <c r="O706" s="1">
        <v>45236</v>
      </c>
      <c r="P706">
        <v>64958.69</v>
      </c>
      <c r="Q706">
        <f t="shared" si="43"/>
        <v>9.242931350520487E-3</v>
      </c>
      <c r="R706" s="2">
        <f t="shared" si="44"/>
        <v>9.242931350520487E-3</v>
      </c>
    </row>
    <row r="707" spans="1:18" x14ac:dyDescent="0.3">
      <c r="A707" s="1">
        <v>45237</v>
      </c>
      <c r="B707">
        <v>446.2</v>
      </c>
      <c r="C707">
        <f t="shared" si="41"/>
        <v>-2.1169244268948194E-2</v>
      </c>
      <c r="D707" s="2">
        <f t="shared" si="42"/>
        <v>-2.1169244268948194E-2</v>
      </c>
      <c r="O707" s="1">
        <v>45237</v>
      </c>
      <c r="P707">
        <v>64942.400000000001</v>
      </c>
      <c r="Q707">
        <f t="shared" si="43"/>
        <v>-2.5077476162159169E-4</v>
      </c>
      <c r="R707" s="2">
        <f t="shared" si="44"/>
        <v>-2.5077476162159169E-4</v>
      </c>
    </row>
    <row r="708" spans="1:18" x14ac:dyDescent="0.3">
      <c r="A708" s="1">
        <v>45238</v>
      </c>
      <c r="B708">
        <v>451.9</v>
      </c>
      <c r="C708">
        <f t="shared" ref="C708:C771" si="45">(B708-B707)/B707</f>
        <v>1.2774540564769137E-2</v>
      </c>
      <c r="D708" s="2">
        <f t="shared" ref="D708:D771" si="46">(B708-B707)/B707</f>
        <v>1.2774540564769137E-2</v>
      </c>
      <c r="O708" s="1">
        <v>45238</v>
      </c>
      <c r="P708">
        <v>64975.61</v>
      </c>
      <c r="Q708">
        <f t="shared" ref="Q708:Q771" si="47">(P708-P707)/P707</f>
        <v>5.1137623494048766E-4</v>
      </c>
      <c r="R708" s="2">
        <f t="shared" ref="R708:R771" si="48">(P708-P707)/P707</f>
        <v>5.1137623494048766E-4</v>
      </c>
    </row>
    <row r="709" spans="1:18" x14ac:dyDescent="0.3">
      <c r="A709" s="1">
        <v>45239</v>
      </c>
      <c r="B709">
        <v>440.9</v>
      </c>
      <c r="C709">
        <f t="shared" si="45"/>
        <v>-2.4341668510732464E-2</v>
      </c>
      <c r="D709" s="2">
        <f t="shared" si="46"/>
        <v>-2.4341668510732464E-2</v>
      </c>
      <c r="O709" s="1">
        <v>45239</v>
      </c>
      <c r="P709">
        <v>64832.2</v>
      </c>
      <c r="Q709">
        <f t="shared" si="47"/>
        <v>-2.207135877600895E-3</v>
      </c>
      <c r="R709" s="2">
        <f t="shared" si="48"/>
        <v>-2.207135877600895E-3</v>
      </c>
    </row>
    <row r="710" spans="1:18" x14ac:dyDescent="0.3">
      <c r="A710" s="1">
        <v>45240</v>
      </c>
      <c r="B710">
        <v>418.9</v>
      </c>
      <c r="C710">
        <f t="shared" si="45"/>
        <v>-4.989793603991835E-2</v>
      </c>
      <c r="D710" s="2">
        <f t="shared" si="46"/>
        <v>-4.989793603991835E-2</v>
      </c>
      <c r="O710" s="1">
        <v>45240</v>
      </c>
      <c r="P710">
        <v>64904.68</v>
      </c>
      <c r="Q710">
        <f t="shared" si="47"/>
        <v>1.1179629875278519E-3</v>
      </c>
      <c r="R710" s="2">
        <f t="shared" si="48"/>
        <v>1.1179629875278519E-3</v>
      </c>
    </row>
    <row r="711" spans="1:18" x14ac:dyDescent="0.3">
      <c r="A711" s="1">
        <v>45242</v>
      </c>
      <c r="B711">
        <v>398</v>
      </c>
      <c r="C711">
        <f t="shared" si="45"/>
        <v>-4.9892575793745474E-2</v>
      </c>
      <c r="D711" s="2">
        <f t="shared" si="46"/>
        <v>-4.9892575793745474E-2</v>
      </c>
      <c r="O711" s="1">
        <v>45242</v>
      </c>
      <c r="P711">
        <v>65259.45</v>
      </c>
      <c r="Q711">
        <f t="shared" si="47"/>
        <v>5.4660157017952602E-3</v>
      </c>
      <c r="R711" s="2">
        <f t="shared" si="48"/>
        <v>5.4660157017952602E-3</v>
      </c>
    </row>
    <row r="712" spans="1:18" x14ac:dyDescent="0.3">
      <c r="A712" s="1">
        <v>45243</v>
      </c>
      <c r="B712">
        <v>390.15</v>
      </c>
      <c r="C712">
        <f t="shared" si="45"/>
        <v>-1.9723618090452318E-2</v>
      </c>
      <c r="D712" s="2">
        <f t="shared" si="46"/>
        <v>-1.9723618090452318E-2</v>
      </c>
      <c r="O712" s="1">
        <v>45243</v>
      </c>
      <c r="P712">
        <v>64933.87</v>
      </c>
      <c r="Q712">
        <f t="shared" si="47"/>
        <v>-4.9890092545982921E-3</v>
      </c>
      <c r="R712" s="2">
        <f t="shared" si="48"/>
        <v>-4.9890092545982921E-3</v>
      </c>
    </row>
    <row r="713" spans="1:18" x14ac:dyDescent="0.3">
      <c r="A713" s="1">
        <v>45245</v>
      </c>
      <c r="B713">
        <v>409.65</v>
      </c>
      <c r="C713">
        <f t="shared" si="45"/>
        <v>4.9980776624375244E-2</v>
      </c>
      <c r="D713" s="2">
        <f t="shared" si="46"/>
        <v>4.9980776624375244E-2</v>
      </c>
      <c r="O713" s="1">
        <v>45245</v>
      </c>
      <c r="P713">
        <v>65675.929999999993</v>
      </c>
      <c r="Q713">
        <f t="shared" si="47"/>
        <v>1.1427934296846782E-2</v>
      </c>
      <c r="R713" s="2">
        <f t="shared" si="48"/>
        <v>1.1427934296846782E-2</v>
      </c>
    </row>
    <row r="714" spans="1:18" x14ac:dyDescent="0.3">
      <c r="A714" s="1">
        <v>45246</v>
      </c>
      <c r="B714">
        <v>430.1</v>
      </c>
      <c r="C714">
        <f t="shared" si="45"/>
        <v>4.9920663981447691E-2</v>
      </c>
      <c r="D714" s="2">
        <f t="shared" si="46"/>
        <v>4.9920663981447691E-2</v>
      </c>
      <c r="O714" s="1">
        <v>45246</v>
      </c>
      <c r="P714">
        <v>65982.48</v>
      </c>
      <c r="Q714">
        <f t="shared" si="47"/>
        <v>4.6676156698504754E-3</v>
      </c>
      <c r="R714" s="2">
        <f t="shared" si="48"/>
        <v>4.6676156698504754E-3</v>
      </c>
    </row>
    <row r="715" spans="1:18" x14ac:dyDescent="0.3">
      <c r="A715" s="1">
        <v>45247</v>
      </c>
      <c r="B715">
        <v>423.3</v>
      </c>
      <c r="C715">
        <f t="shared" si="45"/>
        <v>-1.5810276679841924E-2</v>
      </c>
      <c r="D715" s="2">
        <f t="shared" si="46"/>
        <v>-1.5810276679841924E-2</v>
      </c>
      <c r="O715" s="1">
        <v>45247</v>
      </c>
      <c r="P715">
        <v>65794.73</v>
      </c>
      <c r="Q715">
        <f t="shared" si="47"/>
        <v>-2.8454523079459882E-3</v>
      </c>
      <c r="R715" s="2">
        <f t="shared" si="48"/>
        <v>-2.8454523079459882E-3</v>
      </c>
    </row>
    <row r="716" spans="1:18" x14ac:dyDescent="0.3">
      <c r="A716" s="1">
        <v>45250</v>
      </c>
      <c r="B716">
        <v>416.05</v>
      </c>
      <c r="C716">
        <f t="shared" si="45"/>
        <v>-1.7127332860855184E-2</v>
      </c>
      <c r="D716" s="2">
        <f t="shared" si="46"/>
        <v>-1.7127332860855184E-2</v>
      </c>
      <c r="O716" s="1">
        <v>45250</v>
      </c>
      <c r="P716">
        <v>65655.149999999994</v>
      </c>
      <c r="Q716">
        <f t="shared" si="47"/>
        <v>-2.1214465049100703E-3</v>
      </c>
      <c r="R716" s="2">
        <f t="shared" si="48"/>
        <v>-2.1214465049100703E-3</v>
      </c>
    </row>
    <row r="717" spans="1:18" x14ac:dyDescent="0.3">
      <c r="A717" s="1">
        <v>45251</v>
      </c>
      <c r="B717">
        <v>407.3</v>
      </c>
      <c r="C717">
        <f t="shared" si="45"/>
        <v>-2.1031126066578535E-2</v>
      </c>
      <c r="D717" s="2">
        <f t="shared" si="46"/>
        <v>-2.1031126066578535E-2</v>
      </c>
      <c r="O717" s="1">
        <v>45251</v>
      </c>
      <c r="P717">
        <v>65930.77</v>
      </c>
      <c r="Q717">
        <f t="shared" si="47"/>
        <v>4.1979951306182362E-3</v>
      </c>
      <c r="R717" s="2">
        <f t="shared" si="48"/>
        <v>4.1979951306182362E-3</v>
      </c>
    </row>
    <row r="718" spans="1:18" x14ac:dyDescent="0.3">
      <c r="A718" s="1">
        <v>45252</v>
      </c>
      <c r="B718">
        <v>397.6</v>
      </c>
      <c r="C718">
        <f t="shared" si="45"/>
        <v>-2.3815369506506232E-2</v>
      </c>
      <c r="D718" s="2">
        <f t="shared" si="46"/>
        <v>-2.3815369506506232E-2</v>
      </c>
      <c r="O718" s="1">
        <v>45252</v>
      </c>
      <c r="P718">
        <v>66023.240000000005</v>
      </c>
      <c r="Q718">
        <f t="shared" si="47"/>
        <v>1.4025317768926581E-3</v>
      </c>
      <c r="R718" s="2">
        <f t="shared" si="48"/>
        <v>1.4025317768926581E-3</v>
      </c>
    </row>
    <row r="719" spans="1:18" x14ac:dyDescent="0.3">
      <c r="A719" s="1">
        <v>45253</v>
      </c>
      <c r="B719">
        <v>402.85</v>
      </c>
      <c r="C719">
        <f t="shared" si="45"/>
        <v>1.3204225352112676E-2</v>
      </c>
      <c r="D719" s="2">
        <f t="shared" si="46"/>
        <v>1.3204225352112676E-2</v>
      </c>
      <c r="O719" s="1">
        <v>45253</v>
      </c>
      <c r="P719">
        <v>66017.81</v>
      </c>
      <c r="Q719">
        <f t="shared" si="47"/>
        <v>-8.2243767497741202E-5</v>
      </c>
      <c r="R719" s="2">
        <f t="shared" si="48"/>
        <v>-8.2243767497741202E-5</v>
      </c>
    </row>
    <row r="720" spans="1:18" x14ac:dyDescent="0.3">
      <c r="A720" s="1">
        <v>45254</v>
      </c>
      <c r="B720">
        <v>400.45</v>
      </c>
      <c r="C720">
        <f t="shared" si="45"/>
        <v>-5.9575524388731137E-3</v>
      </c>
      <c r="D720" s="2">
        <f t="shared" si="46"/>
        <v>-5.9575524388731137E-3</v>
      </c>
      <c r="O720" s="1">
        <v>45254</v>
      </c>
      <c r="P720">
        <v>65970.039999999994</v>
      </c>
      <c r="Q720">
        <f t="shared" si="47"/>
        <v>-7.2359261841621343E-4</v>
      </c>
      <c r="R720" s="2">
        <f t="shared" si="48"/>
        <v>-7.2359261841621343E-4</v>
      </c>
    </row>
    <row r="721" spans="1:18" x14ac:dyDescent="0.3">
      <c r="A721" s="1">
        <v>45258</v>
      </c>
      <c r="B721">
        <v>402.25</v>
      </c>
      <c r="C721">
        <f t="shared" si="45"/>
        <v>4.4949431889125023E-3</v>
      </c>
      <c r="D721" s="2">
        <f t="shared" si="46"/>
        <v>4.4949431889125023E-3</v>
      </c>
      <c r="O721" s="1">
        <v>45258</v>
      </c>
      <c r="P721">
        <v>66174.2</v>
      </c>
      <c r="Q721">
        <f t="shared" si="47"/>
        <v>3.0947381568967292E-3</v>
      </c>
      <c r="R721" s="2">
        <f t="shared" si="48"/>
        <v>3.0947381568967292E-3</v>
      </c>
    </row>
    <row r="722" spans="1:18" x14ac:dyDescent="0.3">
      <c r="A722" s="1">
        <v>45259</v>
      </c>
      <c r="B722">
        <v>401.4</v>
      </c>
      <c r="C722">
        <f t="shared" si="45"/>
        <v>-2.1131137352393358E-3</v>
      </c>
      <c r="D722" s="2">
        <f t="shared" si="46"/>
        <v>-2.1131137352393358E-3</v>
      </c>
      <c r="O722" s="1">
        <v>45259</v>
      </c>
      <c r="P722">
        <v>66901.91</v>
      </c>
      <c r="Q722">
        <f t="shared" si="47"/>
        <v>1.0996883981974945E-2</v>
      </c>
      <c r="R722" s="2">
        <f t="shared" si="48"/>
        <v>1.0996883981974945E-2</v>
      </c>
    </row>
    <row r="723" spans="1:18" x14ac:dyDescent="0.3">
      <c r="A723" s="1">
        <v>45260</v>
      </c>
      <c r="B723">
        <v>397.3</v>
      </c>
      <c r="C723">
        <f t="shared" si="45"/>
        <v>-1.0214250124563942E-2</v>
      </c>
      <c r="D723" s="2">
        <f t="shared" si="46"/>
        <v>-1.0214250124563942E-2</v>
      </c>
      <c r="O723" s="1">
        <v>45260</v>
      </c>
      <c r="P723">
        <v>66988.44</v>
      </c>
      <c r="Q723">
        <f t="shared" si="47"/>
        <v>1.2933860931623451E-3</v>
      </c>
      <c r="R723" s="2">
        <f t="shared" si="48"/>
        <v>1.2933860931623451E-3</v>
      </c>
    </row>
    <row r="724" spans="1:18" x14ac:dyDescent="0.3">
      <c r="A724" s="1">
        <v>45261</v>
      </c>
      <c r="B724">
        <v>403.4</v>
      </c>
      <c r="C724">
        <f t="shared" si="45"/>
        <v>1.5353637050088008E-2</v>
      </c>
      <c r="D724" s="2">
        <f t="shared" si="46"/>
        <v>1.5353637050088008E-2</v>
      </c>
      <c r="O724" s="1">
        <v>45261</v>
      </c>
      <c r="P724">
        <v>67481.19</v>
      </c>
      <c r="Q724">
        <f t="shared" si="47"/>
        <v>7.3557467527233054E-3</v>
      </c>
      <c r="R724" s="2">
        <f t="shared" si="48"/>
        <v>7.3557467527233054E-3</v>
      </c>
    </row>
    <row r="725" spans="1:18" x14ac:dyDescent="0.3">
      <c r="A725" s="1">
        <v>45264</v>
      </c>
      <c r="B725">
        <v>423.5</v>
      </c>
      <c r="C725">
        <f t="shared" si="45"/>
        <v>4.9826474962816121E-2</v>
      </c>
      <c r="D725" s="2">
        <f t="shared" si="46"/>
        <v>4.9826474962816121E-2</v>
      </c>
      <c r="O725" s="1">
        <v>45264</v>
      </c>
      <c r="P725">
        <v>68865.119999999995</v>
      </c>
      <c r="Q725">
        <f t="shared" si="47"/>
        <v>2.0508381669024998E-2</v>
      </c>
      <c r="R725" s="2">
        <f t="shared" si="48"/>
        <v>2.0508381669024998E-2</v>
      </c>
    </row>
    <row r="726" spans="1:18" x14ac:dyDescent="0.3">
      <c r="A726" s="1">
        <v>45265</v>
      </c>
      <c r="B726">
        <v>427.9</v>
      </c>
      <c r="C726">
        <f t="shared" si="45"/>
        <v>1.0389610389610336E-2</v>
      </c>
      <c r="D726" s="2">
        <f t="shared" si="46"/>
        <v>1.0389610389610336E-2</v>
      </c>
      <c r="O726" s="1">
        <v>45265</v>
      </c>
      <c r="P726">
        <v>69296.14</v>
      </c>
      <c r="Q726">
        <f t="shared" si="47"/>
        <v>6.2589014583871215E-3</v>
      </c>
      <c r="R726" s="2">
        <f t="shared" si="48"/>
        <v>6.2589014583871215E-3</v>
      </c>
    </row>
    <row r="727" spans="1:18" x14ac:dyDescent="0.3">
      <c r="A727" s="1">
        <v>45266</v>
      </c>
      <c r="B727">
        <v>420.85</v>
      </c>
      <c r="C727">
        <f t="shared" si="45"/>
        <v>-1.6475812105632051E-2</v>
      </c>
      <c r="D727" s="2">
        <f t="shared" si="46"/>
        <v>-1.6475812105632051E-2</v>
      </c>
      <c r="O727" s="1">
        <v>45266</v>
      </c>
      <c r="P727">
        <v>69653.73</v>
      </c>
      <c r="Q727">
        <f t="shared" si="47"/>
        <v>5.1603162889014668E-3</v>
      </c>
      <c r="R727" s="2">
        <f t="shared" si="48"/>
        <v>5.1603162889014668E-3</v>
      </c>
    </row>
    <row r="728" spans="1:18" x14ac:dyDescent="0.3">
      <c r="A728" s="1">
        <v>45267</v>
      </c>
      <c r="B728">
        <v>419.6</v>
      </c>
      <c r="C728">
        <f t="shared" si="45"/>
        <v>-2.9701793988356896E-3</v>
      </c>
      <c r="D728" s="2">
        <f t="shared" si="46"/>
        <v>-2.9701793988356896E-3</v>
      </c>
      <c r="O728" s="1">
        <v>45267</v>
      </c>
      <c r="P728">
        <v>69521.69</v>
      </c>
      <c r="Q728">
        <f t="shared" si="47"/>
        <v>-1.8956630176157631E-3</v>
      </c>
      <c r="R728" s="2">
        <f t="shared" si="48"/>
        <v>-1.8956630176157631E-3</v>
      </c>
    </row>
    <row r="729" spans="1:18" x14ac:dyDescent="0.3">
      <c r="A729" s="1">
        <v>45268</v>
      </c>
      <c r="B729">
        <v>418.55</v>
      </c>
      <c r="C729">
        <f t="shared" si="45"/>
        <v>-2.5023832221163283E-3</v>
      </c>
      <c r="D729" s="2">
        <f t="shared" si="46"/>
        <v>-2.5023832221163283E-3</v>
      </c>
      <c r="O729" s="1">
        <v>45268</v>
      </c>
      <c r="P729">
        <v>69825.600000000006</v>
      </c>
      <c r="Q729">
        <f t="shared" si="47"/>
        <v>4.3714414882607645E-3</v>
      </c>
      <c r="R729" s="2">
        <f t="shared" si="48"/>
        <v>4.3714414882607645E-3</v>
      </c>
    </row>
    <row r="730" spans="1:18" x14ac:dyDescent="0.3">
      <c r="A730" s="1">
        <v>45271</v>
      </c>
      <c r="B730">
        <v>420.55</v>
      </c>
      <c r="C730">
        <f t="shared" si="45"/>
        <v>4.778401624656552E-3</v>
      </c>
      <c r="D730" s="2">
        <f t="shared" si="46"/>
        <v>4.778401624656552E-3</v>
      </c>
      <c r="O730" s="1">
        <v>45271</v>
      </c>
      <c r="P730">
        <v>69928.53</v>
      </c>
      <c r="Q730">
        <f t="shared" si="47"/>
        <v>1.4741011892485422E-3</v>
      </c>
      <c r="R730" s="2">
        <f t="shared" si="48"/>
        <v>1.4741011892485422E-3</v>
      </c>
    </row>
    <row r="731" spans="1:18" x14ac:dyDescent="0.3">
      <c r="A731" s="1">
        <v>45272</v>
      </c>
      <c r="B731">
        <v>419.7</v>
      </c>
      <c r="C731">
        <f t="shared" si="45"/>
        <v>-2.021162763048443E-3</v>
      </c>
      <c r="D731" s="2">
        <f t="shared" si="46"/>
        <v>-2.021162763048443E-3</v>
      </c>
      <c r="O731" s="1">
        <v>45272</v>
      </c>
      <c r="P731">
        <v>69551.03</v>
      </c>
      <c r="Q731">
        <f t="shared" si="47"/>
        <v>-5.3983688774810511E-3</v>
      </c>
      <c r="R731" s="2">
        <f t="shared" si="48"/>
        <v>-5.3983688774810511E-3</v>
      </c>
    </row>
    <row r="732" spans="1:18" x14ac:dyDescent="0.3">
      <c r="A732" s="1">
        <v>45273</v>
      </c>
      <c r="B732">
        <v>418.65</v>
      </c>
      <c r="C732">
        <f t="shared" si="45"/>
        <v>-2.5017869907076754E-3</v>
      </c>
      <c r="D732" s="2">
        <f t="shared" si="46"/>
        <v>-2.5017869907076754E-3</v>
      </c>
      <c r="O732" s="1">
        <v>45273</v>
      </c>
      <c r="P732">
        <v>69584.600000000006</v>
      </c>
      <c r="Q732">
        <f t="shared" si="47"/>
        <v>4.8266718695621022E-4</v>
      </c>
      <c r="R732" s="2">
        <f t="shared" si="48"/>
        <v>4.8266718695621022E-4</v>
      </c>
    </row>
    <row r="733" spans="1:18" x14ac:dyDescent="0.3">
      <c r="A733" s="1">
        <v>45274</v>
      </c>
      <c r="B733">
        <v>415.5</v>
      </c>
      <c r="C733">
        <f t="shared" si="45"/>
        <v>-7.5241848799712822E-3</v>
      </c>
      <c r="D733" s="2">
        <f t="shared" si="46"/>
        <v>-7.5241848799712822E-3</v>
      </c>
      <c r="O733" s="1">
        <v>45274</v>
      </c>
      <c r="P733">
        <v>70514.2</v>
      </c>
      <c r="Q733">
        <f t="shared" si="47"/>
        <v>1.3359277771230865E-2</v>
      </c>
      <c r="R733" s="2">
        <f t="shared" si="48"/>
        <v>1.3359277771230865E-2</v>
      </c>
    </row>
    <row r="734" spans="1:18" x14ac:dyDescent="0.3">
      <c r="A734" s="1">
        <v>45275</v>
      </c>
      <c r="B734">
        <v>426.1</v>
      </c>
      <c r="C734">
        <f t="shared" si="45"/>
        <v>2.5511432009627012E-2</v>
      </c>
      <c r="D734" s="2">
        <f t="shared" si="46"/>
        <v>2.5511432009627012E-2</v>
      </c>
      <c r="O734" s="1">
        <v>45275</v>
      </c>
      <c r="P734">
        <v>71483.75</v>
      </c>
      <c r="Q734">
        <f t="shared" si="47"/>
        <v>1.3749712823800071E-2</v>
      </c>
      <c r="R734" s="2">
        <f t="shared" si="48"/>
        <v>1.3749712823800071E-2</v>
      </c>
    </row>
    <row r="735" spans="1:18" x14ac:dyDescent="0.3">
      <c r="A735" s="1">
        <v>45278</v>
      </c>
      <c r="B735">
        <v>423.3</v>
      </c>
      <c r="C735">
        <f t="shared" si="45"/>
        <v>-6.5712274114057998E-3</v>
      </c>
      <c r="D735" s="2">
        <f t="shared" si="46"/>
        <v>-6.5712274114057998E-3</v>
      </c>
      <c r="O735" s="1">
        <v>45278</v>
      </c>
      <c r="P735">
        <v>71315.09</v>
      </c>
      <c r="Q735">
        <f t="shared" si="47"/>
        <v>-2.3594173500970988E-3</v>
      </c>
      <c r="R735" s="2">
        <f t="shared" si="48"/>
        <v>-2.3594173500970988E-3</v>
      </c>
    </row>
    <row r="736" spans="1:18" x14ac:dyDescent="0.3">
      <c r="A736" s="1">
        <v>45279</v>
      </c>
      <c r="B736">
        <v>422.95</v>
      </c>
      <c r="C736">
        <f t="shared" si="45"/>
        <v>-8.2683675879995924E-4</v>
      </c>
      <c r="D736" s="2">
        <f t="shared" si="46"/>
        <v>-8.2683675879995924E-4</v>
      </c>
      <c r="O736" s="1">
        <v>45279</v>
      </c>
      <c r="P736">
        <v>71437.19</v>
      </c>
      <c r="Q736">
        <f t="shared" si="47"/>
        <v>1.7121201137095365E-3</v>
      </c>
      <c r="R736" s="2">
        <f t="shared" si="48"/>
        <v>1.7121201137095365E-3</v>
      </c>
    </row>
    <row r="737" spans="1:18" x14ac:dyDescent="0.3">
      <c r="A737" s="1">
        <v>45280</v>
      </c>
      <c r="B737">
        <v>411.4</v>
      </c>
      <c r="C737">
        <f t="shared" si="45"/>
        <v>-2.730819245773735E-2</v>
      </c>
      <c r="D737" s="2">
        <f t="shared" si="46"/>
        <v>-2.730819245773735E-2</v>
      </c>
      <c r="O737" s="1">
        <v>45280</v>
      </c>
      <c r="P737">
        <v>70506.31</v>
      </c>
      <c r="Q737">
        <f t="shared" si="47"/>
        <v>-1.3030747709981378E-2</v>
      </c>
      <c r="R737" s="2">
        <f t="shared" si="48"/>
        <v>-1.3030747709981378E-2</v>
      </c>
    </row>
    <row r="738" spans="1:18" x14ac:dyDescent="0.3">
      <c r="A738" s="1">
        <v>45281</v>
      </c>
      <c r="B738">
        <v>411.95</v>
      </c>
      <c r="C738">
        <f t="shared" si="45"/>
        <v>1.3368983957219528E-3</v>
      </c>
      <c r="D738" s="2">
        <f t="shared" si="46"/>
        <v>1.3368983957219528E-3</v>
      </c>
      <c r="O738" s="1">
        <v>45281</v>
      </c>
      <c r="P738">
        <v>70865.100000000006</v>
      </c>
      <c r="Q738">
        <f t="shared" si="47"/>
        <v>5.0887643956974652E-3</v>
      </c>
      <c r="R738" s="2">
        <f t="shared" si="48"/>
        <v>5.0887643956974652E-3</v>
      </c>
    </row>
    <row r="739" spans="1:18" x14ac:dyDescent="0.3">
      <c r="A739" s="1">
        <v>45282</v>
      </c>
      <c r="B739">
        <v>453.1</v>
      </c>
      <c r="C739">
        <f t="shared" si="45"/>
        <v>9.9890763442165395E-2</v>
      </c>
      <c r="D739" s="2">
        <f t="shared" si="46"/>
        <v>9.9890763442165395E-2</v>
      </c>
      <c r="O739" s="1">
        <v>45282</v>
      </c>
      <c r="P739">
        <v>71106.960000000006</v>
      </c>
      <c r="Q739">
        <f t="shared" si="47"/>
        <v>3.4129635038968485E-3</v>
      </c>
      <c r="R739" s="2">
        <f t="shared" si="48"/>
        <v>3.4129635038968485E-3</v>
      </c>
    </row>
    <row r="740" spans="1:18" x14ac:dyDescent="0.3">
      <c r="A740" s="1">
        <v>45286</v>
      </c>
      <c r="B740">
        <v>462.4</v>
      </c>
      <c r="C740">
        <f t="shared" si="45"/>
        <v>2.0525270359743886E-2</v>
      </c>
      <c r="D740" s="2">
        <f t="shared" si="46"/>
        <v>2.0525270359743886E-2</v>
      </c>
      <c r="O740" s="1">
        <v>45286</v>
      </c>
      <c r="P740">
        <v>71336.800000000003</v>
      </c>
      <c r="Q740">
        <f t="shared" si="47"/>
        <v>3.2323136863113889E-3</v>
      </c>
      <c r="R740" s="2">
        <f t="shared" si="48"/>
        <v>3.2323136863113889E-3</v>
      </c>
    </row>
    <row r="741" spans="1:18" x14ac:dyDescent="0.3">
      <c r="A741" s="1">
        <v>45287</v>
      </c>
      <c r="B741">
        <v>450.55</v>
      </c>
      <c r="C741">
        <f t="shared" si="45"/>
        <v>-2.5627162629757713E-2</v>
      </c>
      <c r="D741" s="2">
        <f t="shared" si="46"/>
        <v>-2.5627162629757713E-2</v>
      </c>
      <c r="O741" s="1">
        <v>45287</v>
      </c>
      <c r="P741">
        <v>72038.429999999993</v>
      </c>
      <c r="Q741">
        <f t="shared" si="47"/>
        <v>9.8354565946326446E-3</v>
      </c>
      <c r="R741" s="2">
        <f t="shared" si="48"/>
        <v>9.8354565946326446E-3</v>
      </c>
    </row>
    <row r="742" spans="1:18" x14ac:dyDescent="0.3">
      <c r="A742" s="1">
        <v>45288</v>
      </c>
      <c r="B742">
        <v>446.9</v>
      </c>
      <c r="C742">
        <f t="shared" si="45"/>
        <v>-8.1012096326712555E-3</v>
      </c>
      <c r="D742" s="2">
        <f t="shared" si="46"/>
        <v>-8.1012096326712555E-3</v>
      </c>
      <c r="O742" s="1">
        <v>45288</v>
      </c>
      <c r="P742">
        <v>72410.38</v>
      </c>
      <c r="Q742">
        <f t="shared" si="47"/>
        <v>5.1632163554926405E-3</v>
      </c>
      <c r="R742" s="2">
        <f t="shared" si="48"/>
        <v>5.1632163554926405E-3</v>
      </c>
    </row>
    <row r="743" spans="1:18" x14ac:dyDescent="0.3">
      <c r="A743" s="1">
        <v>45289</v>
      </c>
      <c r="B743">
        <v>433.55</v>
      </c>
      <c r="C743">
        <f t="shared" si="45"/>
        <v>-2.9872454687849555E-2</v>
      </c>
      <c r="D743" s="2">
        <f t="shared" si="46"/>
        <v>-2.9872454687849555E-2</v>
      </c>
      <c r="O743" s="1">
        <v>45289</v>
      </c>
      <c r="P743">
        <v>72240.259999999995</v>
      </c>
      <c r="Q743">
        <f t="shared" si="47"/>
        <v>-2.3493869249133878E-3</v>
      </c>
      <c r="R743" s="2">
        <f t="shared" si="48"/>
        <v>-2.3493869249133878E-3</v>
      </c>
    </row>
    <row r="744" spans="1:18" x14ac:dyDescent="0.3">
      <c r="A744" s="1">
        <v>45292</v>
      </c>
      <c r="B744">
        <v>476.65</v>
      </c>
      <c r="C744">
        <f t="shared" si="45"/>
        <v>9.9411832545265741E-2</v>
      </c>
      <c r="D744" s="2">
        <f t="shared" si="46"/>
        <v>9.9411832545265741E-2</v>
      </c>
      <c r="O744" s="1">
        <v>45292</v>
      </c>
      <c r="P744">
        <v>72271.94</v>
      </c>
      <c r="Q744">
        <f t="shared" si="47"/>
        <v>4.3853662763682701E-4</v>
      </c>
      <c r="R744" s="2">
        <f t="shared" si="48"/>
        <v>4.3853662763682701E-4</v>
      </c>
    </row>
    <row r="745" spans="1:18" x14ac:dyDescent="0.3">
      <c r="A745" s="1">
        <v>45293</v>
      </c>
      <c r="B745">
        <v>489</v>
      </c>
      <c r="C745">
        <f t="shared" si="45"/>
        <v>2.5909996853036868E-2</v>
      </c>
      <c r="D745" s="2">
        <f t="shared" si="46"/>
        <v>2.5909996853036868E-2</v>
      </c>
      <c r="O745" s="1">
        <v>45293</v>
      </c>
      <c r="P745">
        <v>71892.479999999996</v>
      </c>
      <c r="Q745">
        <f t="shared" si="47"/>
        <v>-5.250447130656883E-3</v>
      </c>
      <c r="R745" s="2">
        <f t="shared" si="48"/>
        <v>-5.250447130656883E-3</v>
      </c>
    </row>
    <row r="746" spans="1:18" x14ac:dyDescent="0.3">
      <c r="A746" s="1">
        <v>45294</v>
      </c>
      <c r="B746">
        <v>481.4</v>
      </c>
      <c r="C746">
        <f t="shared" si="45"/>
        <v>-1.5541922290388595E-2</v>
      </c>
      <c r="D746" s="2">
        <f t="shared" si="46"/>
        <v>-1.5541922290388595E-2</v>
      </c>
      <c r="O746" s="1">
        <v>45294</v>
      </c>
      <c r="P746">
        <v>71356.600000000006</v>
      </c>
      <c r="Q746">
        <f t="shared" si="47"/>
        <v>-7.4539089484740289E-3</v>
      </c>
      <c r="R746" s="2">
        <f t="shared" si="48"/>
        <v>-7.4539089484740289E-3</v>
      </c>
    </row>
    <row r="747" spans="1:18" x14ac:dyDescent="0.3">
      <c r="A747" s="1">
        <v>45295</v>
      </c>
      <c r="B747">
        <v>477.2</v>
      </c>
      <c r="C747">
        <f t="shared" si="45"/>
        <v>-8.7245533859576004E-3</v>
      </c>
      <c r="D747" s="2">
        <f t="shared" si="46"/>
        <v>-8.7245533859576004E-3</v>
      </c>
      <c r="O747" s="1">
        <v>45295</v>
      </c>
      <c r="P747">
        <v>71847.570000000007</v>
      </c>
      <c r="Q747">
        <f t="shared" si="47"/>
        <v>6.8805128047020334E-3</v>
      </c>
      <c r="R747" s="2">
        <f t="shared" si="48"/>
        <v>6.8805128047020334E-3</v>
      </c>
    </row>
    <row r="748" spans="1:18" x14ac:dyDescent="0.3">
      <c r="A748" s="1">
        <v>45296</v>
      </c>
      <c r="B748">
        <v>483.8</v>
      </c>
      <c r="C748">
        <f t="shared" si="45"/>
        <v>1.3830678960603568E-2</v>
      </c>
      <c r="D748" s="2">
        <f t="shared" si="46"/>
        <v>1.3830678960603568E-2</v>
      </c>
      <c r="O748" s="1">
        <v>45296</v>
      </c>
      <c r="P748">
        <v>72026.149999999994</v>
      </c>
      <c r="Q748">
        <f t="shared" si="47"/>
        <v>2.4855398728166754E-3</v>
      </c>
      <c r="R748" s="2">
        <f t="shared" si="48"/>
        <v>2.4855398728166754E-3</v>
      </c>
    </row>
    <row r="749" spans="1:18" x14ac:dyDescent="0.3">
      <c r="A749" s="1">
        <v>45299</v>
      </c>
      <c r="B749">
        <v>482.5</v>
      </c>
      <c r="C749">
        <f t="shared" si="45"/>
        <v>-2.6870607689127974E-3</v>
      </c>
      <c r="D749" s="2">
        <f t="shared" si="46"/>
        <v>-2.6870607689127974E-3</v>
      </c>
      <c r="O749" s="1">
        <v>45299</v>
      </c>
      <c r="P749">
        <v>71355.22</v>
      </c>
      <c r="Q749">
        <f t="shared" si="47"/>
        <v>-9.3150890336356033E-3</v>
      </c>
      <c r="R749" s="2">
        <f t="shared" si="48"/>
        <v>-9.3150890336356033E-3</v>
      </c>
    </row>
    <row r="750" spans="1:18" x14ac:dyDescent="0.3">
      <c r="A750" s="1">
        <v>45300</v>
      </c>
      <c r="B750">
        <v>476.95</v>
      </c>
      <c r="C750">
        <f t="shared" si="45"/>
        <v>-1.1502590673575152E-2</v>
      </c>
      <c r="D750" s="2">
        <f t="shared" si="46"/>
        <v>-1.1502590673575152E-2</v>
      </c>
      <c r="O750" s="1">
        <v>45300</v>
      </c>
      <c r="P750">
        <v>71386.210000000006</v>
      </c>
      <c r="Q750">
        <f t="shared" si="47"/>
        <v>4.343059975150415E-4</v>
      </c>
      <c r="R750" s="2">
        <f t="shared" si="48"/>
        <v>4.343059975150415E-4</v>
      </c>
    </row>
    <row r="751" spans="1:18" x14ac:dyDescent="0.3">
      <c r="A751" s="1">
        <v>45301</v>
      </c>
      <c r="B751">
        <v>467.15</v>
      </c>
      <c r="C751">
        <f t="shared" si="45"/>
        <v>-2.0547227172659631E-2</v>
      </c>
      <c r="D751" s="2">
        <f t="shared" si="46"/>
        <v>-2.0547227172659631E-2</v>
      </c>
      <c r="O751" s="1">
        <v>45301</v>
      </c>
      <c r="P751">
        <v>71657.710000000006</v>
      </c>
      <c r="Q751">
        <f t="shared" si="47"/>
        <v>3.8032555587416668E-3</v>
      </c>
      <c r="R751" s="2">
        <f t="shared" si="48"/>
        <v>3.8032555587416668E-3</v>
      </c>
    </row>
    <row r="752" spans="1:18" x14ac:dyDescent="0.3">
      <c r="A752" s="1">
        <v>45302</v>
      </c>
      <c r="B752">
        <v>466.35</v>
      </c>
      <c r="C752">
        <f t="shared" si="45"/>
        <v>-1.7125120411001916E-3</v>
      </c>
      <c r="D752" s="2">
        <f t="shared" si="46"/>
        <v>-1.7125120411001916E-3</v>
      </c>
      <c r="O752" s="1">
        <v>45302</v>
      </c>
      <c r="P752">
        <v>71721.179999999993</v>
      </c>
      <c r="Q752">
        <f t="shared" si="47"/>
        <v>8.8573860370344808E-4</v>
      </c>
      <c r="R752" s="2">
        <f t="shared" si="48"/>
        <v>8.8573860370344808E-4</v>
      </c>
    </row>
    <row r="753" spans="1:18" x14ac:dyDescent="0.3">
      <c r="A753" s="1">
        <v>45303</v>
      </c>
      <c r="B753">
        <v>459.8</v>
      </c>
      <c r="C753">
        <f t="shared" si="45"/>
        <v>-1.4045244987670229E-2</v>
      </c>
      <c r="D753" s="2">
        <f t="shared" si="46"/>
        <v>-1.4045244987670229E-2</v>
      </c>
      <c r="O753" s="1">
        <v>45303</v>
      </c>
      <c r="P753">
        <v>72568.45</v>
      </c>
      <c r="Q753">
        <f t="shared" si="47"/>
        <v>1.181338622705321E-2</v>
      </c>
      <c r="R753" s="2">
        <f t="shared" si="48"/>
        <v>1.181338622705321E-2</v>
      </c>
    </row>
    <row r="754" spans="1:18" x14ac:dyDescent="0.3">
      <c r="A754" s="1">
        <v>45306</v>
      </c>
      <c r="B754">
        <v>455.65</v>
      </c>
      <c r="C754">
        <f t="shared" si="45"/>
        <v>-9.0256633318835013E-3</v>
      </c>
      <c r="D754" s="2">
        <f t="shared" si="46"/>
        <v>-9.0256633318835013E-3</v>
      </c>
      <c r="O754" s="1">
        <v>45306</v>
      </c>
      <c r="P754">
        <v>73327.94</v>
      </c>
      <c r="Q754">
        <f t="shared" si="47"/>
        <v>1.0465842938632494E-2</v>
      </c>
      <c r="R754" s="2">
        <f t="shared" si="48"/>
        <v>1.0465842938632494E-2</v>
      </c>
    </row>
    <row r="755" spans="1:18" x14ac:dyDescent="0.3">
      <c r="A755" s="1">
        <v>45307</v>
      </c>
      <c r="B755">
        <v>452.5</v>
      </c>
      <c r="C755">
        <f t="shared" si="45"/>
        <v>-6.9132009217600732E-3</v>
      </c>
      <c r="D755" s="2">
        <f t="shared" si="46"/>
        <v>-6.9132009217600732E-3</v>
      </c>
      <c r="O755" s="1">
        <v>45307</v>
      </c>
      <c r="P755">
        <v>73128.77</v>
      </c>
      <c r="Q755">
        <f t="shared" si="47"/>
        <v>-2.716154306257591E-3</v>
      </c>
      <c r="R755" s="2">
        <f t="shared" si="48"/>
        <v>-2.716154306257591E-3</v>
      </c>
    </row>
    <row r="756" spans="1:18" x14ac:dyDescent="0.3">
      <c r="A756" s="1">
        <v>45308</v>
      </c>
      <c r="B756">
        <v>444.1</v>
      </c>
      <c r="C756">
        <f t="shared" si="45"/>
        <v>-1.8563535911602161E-2</v>
      </c>
      <c r="D756" s="2">
        <f t="shared" si="46"/>
        <v>-1.8563535911602161E-2</v>
      </c>
      <c r="O756" s="1">
        <v>45308</v>
      </c>
      <c r="P756">
        <v>71500.759999999995</v>
      </c>
      <c r="Q756">
        <f t="shared" si="47"/>
        <v>-2.2262236873394823E-2</v>
      </c>
      <c r="R756" s="2">
        <f t="shared" si="48"/>
        <v>-2.2262236873394823E-2</v>
      </c>
    </row>
    <row r="757" spans="1:18" x14ac:dyDescent="0.3">
      <c r="A757" s="1">
        <v>45309</v>
      </c>
      <c r="B757">
        <v>448.75</v>
      </c>
      <c r="C757">
        <f t="shared" si="45"/>
        <v>1.0470614726412919E-2</v>
      </c>
      <c r="D757" s="2">
        <f t="shared" si="46"/>
        <v>1.0470614726412919E-2</v>
      </c>
      <c r="O757" s="1">
        <v>45309</v>
      </c>
      <c r="P757">
        <v>71186.86</v>
      </c>
      <c r="Q757">
        <f t="shared" si="47"/>
        <v>-4.3901631255387243E-3</v>
      </c>
      <c r="R757" s="2">
        <f t="shared" si="48"/>
        <v>-4.3901631255387243E-3</v>
      </c>
    </row>
    <row r="758" spans="1:18" x14ac:dyDescent="0.3">
      <c r="A758" s="1">
        <v>45310</v>
      </c>
      <c r="B758">
        <v>439.5</v>
      </c>
      <c r="C758">
        <f t="shared" si="45"/>
        <v>-2.0612813370473538E-2</v>
      </c>
      <c r="D758" s="2">
        <f t="shared" si="46"/>
        <v>-2.0612813370473538E-2</v>
      </c>
      <c r="O758" s="1">
        <v>45310</v>
      </c>
      <c r="P758">
        <v>71683.23</v>
      </c>
      <c r="Q758">
        <f t="shared" si="47"/>
        <v>6.9727755936979854E-3</v>
      </c>
      <c r="R758" s="2">
        <f t="shared" si="48"/>
        <v>6.9727755936979854E-3</v>
      </c>
    </row>
    <row r="759" spans="1:18" x14ac:dyDescent="0.3">
      <c r="A759" s="1">
        <v>45311</v>
      </c>
      <c r="B759">
        <v>433.5</v>
      </c>
      <c r="C759">
        <f t="shared" si="45"/>
        <v>-1.3651877133105802E-2</v>
      </c>
      <c r="D759" s="2">
        <f t="shared" si="46"/>
        <v>-1.3651877133105802E-2</v>
      </c>
      <c r="O759" s="1">
        <v>45311</v>
      </c>
      <c r="P759">
        <v>71423.649999999994</v>
      </c>
      <c r="Q759">
        <f t="shared" si="47"/>
        <v>-3.6212095911414954E-3</v>
      </c>
      <c r="R759" s="2">
        <f t="shared" si="48"/>
        <v>-3.6212095911414954E-3</v>
      </c>
    </row>
    <row r="760" spans="1:18" x14ac:dyDescent="0.3">
      <c r="A760" s="1">
        <v>45314</v>
      </c>
      <c r="B760">
        <v>418.6</v>
      </c>
      <c r="C760">
        <f t="shared" si="45"/>
        <v>-3.4371395617070304E-2</v>
      </c>
      <c r="D760" s="2">
        <f t="shared" si="46"/>
        <v>-3.4371395617070304E-2</v>
      </c>
      <c r="O760" s="1">
        <v>45314</v>
      </c>
      <c r="P760">
        <v>70370.55</v>
      </c>
      <c r="Q760">
        <f t="shared" si="47"/>
        <v>-1.4744415890254717E-2</v>
      </c>
      <c r="R760" s="2">
        <f t="shared" si="48"/>
        <v>-1.4744415890254717E-2</v>
      </c>
    </row>
    <row r="761" spans="1:18" x14ac:dyDescent="0.3">
      <c r="A761" s="1">
        <v>45315</v>
      </c>
      <c r="B761">
        <v>420.7</v>
      </c>
      <c r="C761">
        <f t="shared" si="45"/>
        <v>5.0167224080266744E-3</v>
      </c>
      <c r="D761" s="2">
        <f t="shared" si="46"/>
        <v>5.0167224080266744E-3</v>
      </c>
      <c r="O761" s="1">
        <v>45315</v>
      </c>
      <c r="P761">
        <v>71060.31</v>
      </c>
      <c r="Q761">
        <f t="shared" si="47"/>
        <v>9.8018276111241816E-3</v>
      </c>
      <c r="R761" s="2">
        <f t="shared" si="48"/>
        <v>9.8018276111241816E-3</v>
      </c>
    </row>
    <row r="762" spans="1:18" x14ac:dyDescent="0.3">
      <c r="A762" s="1">
        <v>45316</v>
      </c>
      <c r="B762">
        <v>419.4</v>
      </c>
      <c r="C762">
        <f t="shared" si="45"/>
        <v>-3.0900879486570275E-3</v>
      </c>
      <c r="D762" s="2">
        <f t="shared" si="46"/>
        <v>-3.0900879486570275E-3</v>
      </c>
      <c r="O762" s="1">
        <v>45316</v>
      </c>
      <c r="P762">
        <v>70700.67</v>
      </c>
      <c r="Q762">
        <f t="shared" si="47"/>
        <v>-5.0610530688650164E-3</v>
      </c>
      <c r="R762" s="2">
        <f t="shared" si="48"/>
        <v>-5.0610530688650164E-3</v>
      </c>
    </row>
    <row r="763" spans="1:18" x14ac:dyDescent="0.3">
      <c r="A763" s="1">
        <v>45320</v>
      </c>
      <c r="B763">
        <v>416.5</v>
      </c>
      <c r="C763">
        <f t="shared" si="45"/>
        <v>-6.9146399618502082E-3</v>
      </c>
      <c r="D763" s="2">
        <f t="shared" si="46"/>
        <v>-6.9146399618502082E-3</v>
      </c>
      <c r="O763" s="1">
        <v>45320</v>
      </c>
      <c r="P763">
        <v>71941.570000000007</v>
      </c>
      <c r="Q763">
        <f t="shared" si="47"/>
        <v>1.7551460261975009E-2</v>
      </c>
      <c r="R763" s="2">
        <f t="shared" si="48"/>
        <v>1.7551460261975009E-2</v>
      </c>
    </row>
    <row r="764" spans="1:18" x14ac:dyDescent="0.3">
      <c r="A764" s="1">
        <v>45321</v>
      </c>
      <c r="B764">
        <v>417.15</v>
      </c>
      <c r="C764">
        <f t="shared" si="45"/>
        <v>1.5606242496998253E-3</v>
      </c>
      <c r="D764" s="2">
        <f t="shared" si="46"/>
        <v>1.5606242496998253E-3</v>
      </c>
      <c r="O764" s="1">
        <v>45321</v>
      </c>
      <c r="P764">
        <v>71139.899999999994</v>
      </c>
      <c r="Q764">
        <f t="shared" si="47"/>
        <v>-1.1143348692557207E-2</v>
      </c>
      <c r="R764" s="2">
        <f t="shared" si="48"/>
        <v>-1.1143348692557207E-2</v>
      </c>
    </row>
    <row r="765" spans="1:18" x14ac:dyDescent="0.3">
      <c r="A765" s="1">
        <v>45322</v>
      </c>
      <c r="B765">
        <v>458.85</v>
      </c>
      <c r="C765">
        <f t="shared" si="45"/>
        <v>9.9964041711614646E-2</v>
      </c>
      <c r="D765" s="2">
        <f t="shared" si="46"/>
        <v>9.9964041711614646E-2</v>
      </c>
      <c r="O765" s="1">
        <v>45322</v>
      </c>
      <c r="P765">
        <v>71752.11</v>
      </c>
      <c r="Q765">
        <f t="shared" si="47"/>
        <v>8.6057191533865877E-3</v>
      </c>
      <c r="R765" s="2">
        <f t="shared" si="48"/>
        <v>8.6057191533865877E-3</v>
      </c>
    </row>
    <row r="766" spans="1:18" x14ac:dyDescent="0.3">
      <c r="A766" s="1">
        <v>45323</v>
      </c>
      <c r="B766">
        <v>467.15</v>
      </c>
      <c r="C766">
        <f t="shared" si="45"/>
        <v>1.8088700010896706E-2</v>
      </c>
      <c r="D766" s="2">
        <f t="shared" si="46"/>
        <v>1.8088700010896706E-2</v>
      </c>
      <c r="O766" s="1">
        <v>45323</v>
      </c>
      <c r="P766">
        <v>71645.3</v>
      </c>
      <c r="Q766">
        <f t="shared" si="47"/>
        <v>-1.4885973388099342E-3</v>
      </c>
      <c r="R766" s="2">
        <f t="shared" si="48"/>
        <v>-1.4885973388099342E-3</v>
      </c>
    </row>
    <row r="767" spans="1:18" x14ac:dyDescent="0.3">
      <c r="A767" s="1">
        <v>45324</v>
      </c>
      <c r="B767">
        <v>466.45</v>
      </c>
      <c r="C767">
        <f t="shared" si="45"/>
        <v>-1.4984480359627286E-3</v>
      </c>
      <c r="D767" s="2">
        <f t="shared" si="46"/>
        <v>-1.4984480359627286E-3</v>
      </c>
      <c r="O767" s="1">
        <v>45324</v>
      </c>
      <c r="P767">
        <v>72085.63</v>
      </c>
      <c r="Q767">
        <f t="shared" si="47"/>
        <v>6.1459718920850595E-3</v>
      </c>
      <c r="R767" s="2">
        <f t="shared" si="48"/>
        <v>6.1459718920850595E-3</v>
      </c>
    </row>
    <row r="768" spans="1:18" x14ac:dyDescent="0.3">
      <c r="A768" s="1">
        <v>45327</v>
      </c>
      <c r="B768">
        <v>449.4</v>
      </c>
      <c r="C768">
        <f t="shared" si="45"/>
        <v>-3.6552685175259968E-2</v>
      </c>
      <c r="D768" s="2">
        <f t="shared" si="46"/>
        <v>-3.6552685175259968E-2</v>
      </c>
      <c r="O768" s="1">
        <v>45327</v>
      </c>
      <c r="P768">
        <v>71731.42</v>
      </c>
      <c r="Q768">
        <f t="shared" si="47"/>
        <v>-4.9137393957714784E-3</v>
      </c>
      <c r="R768" s="2">
        <f t="shared" si="48"/>
        <v>-4.9137393957714784E-3</v>
      </c>
    </row>
    <row r="769" spans="1:18" x14ac:dyDescent="0.3">
      <c r="A769" s="1">
        <v>45328</v>
      </c>
      <c r="B769">
        <v>451.2</v>
      </c>
      <c r="C769">
        <f t="shared" si="45"/>
        <v>4.0053404539386103E-3</v>
      </c>
      <c r="D769" s="2">
        <f t="shared" si="46"/>
        <v>4.0053404539386103E-3</v>
      </c>
      <c r="O769" s="1">
        <v>45328</v>
      </c>
      <c r="P769">
        <v>72186.09</v>
      </c>
      <c r="Q769">
        <f t="shared" si="47"/>
        <v>6.3385054973120322E-3</v>
      </c>
      <c r="R769" s="2">
        <f t="shared" si="48"/>
        <v>6.3385054973120322E-3</v>
      </c>
    </row>
    <row r="770" spans="1:18" x14ac:dyDescent="0.3">
      <c r="A770" s="1">
        <v>45329</v>
      </c>
      <c r="B770">
        <v>449.2</v>
      </c>
      <c r="C770">
        <f t="shared" si="45"/>
        <v>-4.4326241134751776E-3</v>
      </c>
      <c r="D770" s="2">
        <f t="shared" si="46"/>
        <v>-4.4326241134751776E-3</v>
      </c>
      <c r="O770" s="1">
        <v>45329</v>
      </c>
      <c r="P770">
        <v>72152</v>
      </c>
      <c r="Q770">
        <f t="shared" si="47"/>
        <v>-4.7225164848236701E-4</v>
      </c>
      <c r="R770" s="2">
        <f t="shared" si="48"/>
        <v>-4.7225164848236701E-4</v>
      </c>
    </row>
    <row r="771" spans="1:18" x14ac:dyDescent="0.3">
      <c r="A771" s="1">
        <v>45330</v>
      </c>
      <c r="B771">
        <v>436.95</v>
      </c>
      <c r="C771">
        <f t="shared" si="45"/>
        <v>-2.7270703472840607E-2</v>
      </c>
      <c r="D771" s="2">
        <f t="shared" si="46"/>
        <v>-2.7270703472840607E-2</v>
      </c>
      <c r="O771" s="1">
        <v>45330</v>
      </c>
      <c r="P771">
        <v>71428.429999999993</v>
      </c>
      <c r="Q771">
        <f t="shared" si="47"/>
        <v>-1.0028412240825022E-2</v>
      </c>
      <c r="R771" s="2">
        <f t="shared" si="48"/>
        <v>-1.0028412240825022E-2</v>
      </c>
    </row>
    <row r="772" spans="1:18" x14ac:dyDescent="0.3">
      <c r="A772" s="1">
        <v>45331</v>
      </c>
      <c r="B772">
        <v>431.6</v>
      </c>
      <c r="C772">
        <f t="shared" ref="C772:C835" si="49">(B772-B771)/B771</f>
        <v>-1.2243963840256245E-2</v>
      </c>
      <c r="D772" s="2">
        <f t="shared" ref="D772:D835" si="50">(B772-B771)/B771</f>
        <v>-1.2243963840256245E-2</v>
      </c>
      <c r="O772" s="1">
        <v>45331</v>
      </c>
      <c r="P772">
        <v>71595.490000000005</v>
      </c>
      <c r="Q772">
        <f t="shared" ref="Q772:Q835" si="51">(P772-P771)/P771</f>
        <v>2.3388446309125406E-3</v>
      </c>
      <c r="R772" s="2">
        <f t="shared" ref="R772:R835" si="52">(P772-P771)/P771</f>
        <v>2.3388446309125406E-3</v>
      </c>
    </row>
    <row r="773" spans="1:18" x14ac:dyDescent="0.3">
      <c r="A773" s="1">
        <v>45334</v>
      </c>
      <c r="B773">
        <v>421.25</v>
      </c>
      <c r="C773">
        <f t="shared" si="49"/>
        <v>-2.3980537534754452E-2</v>
      </c>
      <c r="D773" s="2">
        <f t="shared" si="50"/>
        <v>-2.3980537534754452E-2</v>
      </c>
      <c r="O773" s="1">
        <v>45334</v>
      </c>
      <c r="P773">
        <v>71072.490000000005</v>
      </c>
      <c r="Q773">
        <f t="shared" si="51"/>
        <v>-7.3049294026760617E-3</v>
      </c>
      <c r="R773" s="2">
        <f t="shared" si="52"/>
        <v>-7.3049294026760617E-3</v>
      </c>
    </row>
    <row r="774" spans="1:18" x14ac:dyDescent="0.3">
      <c r="A774" s="1">
        <v>45335</v>
      </c>
      <c r="B774">
        <v>424.15</v>
      </c>
      <c r="C774">
        <f t="shared" si="49"/>
        <v>6.884272997032587E-3</v>
      </c>
      <c r="D774" s="2">
        <f t="shared" si="50"/>
        <v>6.884272997032587E-3</v>
      </c>
      <c r="O774" s="1">
        <v>45335</v>
      </c>
      <c r="P774">
        <v>71555.19</v>
      </c>
      <c r="Q774">
        <f t="shared" si="51"/>
        <v>6.7916573627854748E-3</v>
      </c>
      <c r="R774" s="2">
        <f t="shared" si="52"/>
        <v>6.7916573627854748E-3</v>
      </c>
    </row>
    <row r="775" spans="1:18" x14ac:dyDescent="0.3">
      <c r="A775" s="1">
        <v>45336</v>
      </c>
      <c r="B775">
        <v>431.3</v>
      </c>
      <c r="C775">
        <f t="shared" si="49"/>
        <v>1.6857243899563914E-2</v>
      </c>
      <c r="D775" s="2">
        <f t="shared" si="50"/>
        <v>1.6857243899563914E-2</v>
      </c>
      <c r="O775" s="1">
        <v>45336</v>
      </c>
      <c r="P775">
        <v>71822.83</v>
      </c>
      <c r="Q775">
        <f t="shared" si="51"/>
        <v>3.7403296672121117E-3</v>
      </c>
      <c r="R775" s="2">
        <f t="shared" si="52"/>
        <v>3.7403296672121117E-3</v>
      </c>
    </row>
    <row r="776" spans="1:18" x14ac:dyDescent="0.3">
      <c r="A776" s="1">
        <v>45337</v>
      </c>
      <c r="B776">
        <v>429.8</v>
      </c>
      <c r="C776">
        <f t="shared" si="49"/>
        <v>-3.4778576396939484E-3</v>
      </c>
      <c r="D776" s="2">
        <f t="shared" si="50"/>
        <v>-3.4778576396939484E-3</v>
      </c>
      <c r="O776" s="1">
        <v>45337</v>
      </c>
      <c r="P776">
        <v>72050.38</v>
      </c>
      <c r="Q776">
        <f t="shared" si="51"/>
        <v>3.1682126699825518E-3</v>
      </c>
      <c r="R776" s="2">
        <f t="shared" si="52"/>
        <v>3.1682126699825518E-3</v>
      </c>
    </row>
    <row r="777" spans="1:18" x14ac:dyDescent="0.3">
      <c r="A777" s="1">
        <v>45338</v>
      </c>
      <c r="B777">
        <v>429.85</v>
      </c>
      <c r="C777">
        <f t="shared" si="49"/>
        <v>1.1633317822245548E-4</v>
      </c>
      <c r="D777" s="2">
        <f t="shared" si="50"/>
        <v>1.1633317822245548E-4</v>
      </c>
      <c r="O777" s="1">
        <v>45338</v>
      </c>
      <c r="P777">
        <v>72426.64</v>
      </c>
      <c r="Q777">
        <f t="shared" si="51"/>
        <v>5.2221792584576897E-3</v>
      </c>
      <c r="R777" s="2">
        <f t="shared" si="52"/>
        <v>5.2221792584576897E-3</v>
      </c>
    </row>
    <row r="778" spans="1:18" x14ac:dyDescent="0.3">
      <c r="A778" s="1">
        <v>45341</v>
      </c>
      <c r="B778">
        <v>447.25</v>
      </c>
      <c r="C778">
        <f t="shared" si="49"/>
        <v>4.047923694311964E-2</v>
      </c>
      <c r="D778" s="2">
        <f t="shared" si="50"/>
        <v>4.047923694311964E-2</v>
      </c>
      <c r="O778" s="1">
        <v>45341</v>
      </c>
      <c r="P778">
        <v>72708.160000000003</v>
      </c>
      <c r="Q778">
        <f t="shared" si="51"/>
        <v>3.8869675577937078E-3</v>
      </c>
      <c r="R778" s="2">
        <f t="shared" si="52"/>
        <v>3.8869675577937078E-3</v>
      </c>
    </row>
    <row r="779" spans="1:18" x14ac:dyDescent="0.3">
      <c r="A779" s="1">
        <v>45342</v>
      </c>
      <c r="B779">
        <v>441.35</v>
      </c>
      <c r="C779">
        <f t="shared" si="49"/>
        <v>-1.3191727221911632E-2</v>
      </c>
      <c r="D779" s="2">
        <f t="shared" si="50"/>
        <v>-1.3191727221911632E-2</v>
      </c>
      <c r="O779" s="1">
        <v>45342</v>
      </c>
      <c r="P779">
        <v>73057.399999999994</v>
      </c>
      <c r="Q779">
        <f t="shared" si="51"/>
        <v>4.8033123104750646E-3</v>
      </c>
      <c r="R779" s="2">
        <f t="shared" si="52"/>
        <v>4.8033123104750646E-3</v>
      </c>
    </row>
    <row r="780" spans="1:18" x14ac:dyDescent="0.3">
      <c r="A780" s="1">
        <v>45343</v>
      </c>
      <c r="B780">
        <v>436.6</v>
      </c>
      <c r="C780">
        <f t="shared" si="49"/>
        <v>-1.0762433442845814E-2</v>
      </c>
      <c r="D780" s="2">
        <f t="shared" si="50"/>
        <v>-1.0762433442845814E-2</v>
      </c>
      <c r="O780" s="1">
        <v>45343</v>
      </c>
      <c r="P780">
        <v>72623.09</v>
      </c>
      <c r="Q780">
        <f t="shared" si="51"/>
        <v>-5.9447776679706328E-3</v>
      </c>
      <c r="R780" s="2">
        <f t="shared" si="52"/>
        <v>-5.9447776679706328E-3</v>
      </c>
    </row>
    <row r="781" spans="1:18" x14ac:dyDescent="0.3">
      <c r="A781" s="1">
        <v>45344</v>
      </c>
      <c r="B781">
        <v>432.7</v>
      </c>
      <c r="C781">
        <f t="shared" si="49"/>
        <v>-8.9326614750344334E-3</v>
      </c>
      <c r="D781" s="2">
        <f t="shared" si="50"/>
        <v>-8.9326614750344334E-3</v>
      </c>
      <c r="O781" s="1">
        <v>45344</v>
      </c>
      <c r="P781">
        <v>73158.240000000005</v>
      </c>
      <c r="Q781">
        <f t="shared" si="51"/>
        <v>7.3688684962318288E-3</v>
      </c>
      <c r="R781" s="2">
        <f t="shared" si="52"/>
        <v>7.3688684962318288E-3</v>
      </c>
    </row>
    <row r="782" spans="1:18" x14ac:dyDescent="0.3">
      <c r="A782" s="1">
        <v>45345</v>
      </c>
      <c r="B782">
        <v>437.8</v>
      </c>
      <c r="C782">
        <f t="shared" si="49"/>
        <v>1.1786457129651082E-2</v>
      </c>
      <c r="D782" s="2">
        <f t="shared" si="50"/>
        <v>1.1786457129651082E-2</v>
      </c>
      <c r="O782" s="1">
        <v>45345</v>
      </c>
      <c r="P782">
        <v>73142.8</v>
      </c>
      <c r="Q782">
        <f t="shared" si="51"/>
        <v>-2.1104936368073271E-4</v>
      </c>
      <c r="R782" s="2">
        <f t="shared" si="52"/>
        <v>-2.1104936368073271E-4</v>
      </c>
    </row>
    <row r="783" spans="1:18" x14ac:dyDescent="0.3">
      <c r="A783" s="1">
        <v>45348</v>
      </c>
      <c r="B783">
        <v>432.4</v>
      </c>
      <c r="C783">
        <f t="shared" si="49"/>
        <v>-1.2334399269072713E-2</v>
      </c>
      <c r="D783" s="2">
        <f t="shared" si="50"/>
        <v>-1.2334399269072713E-2</v>
      </c>
      <c r="O783" s="1">
        <v>45348</v>
      </c>
      <c r="P783">
        <v>72790.13</v>
      </c>
      <c r="Q783">
        <f t="shared" si="51"/>
        <v>-4.8216639231749162E-3</v>
      </c>
      <c r="R783" s="2">
        <f t="shared" si="52"/>
        <v>-4.8216639231749162E-3</v>
      </c>
    </row>
    <row r="784" spans="1:18" x14ac:dyDescent="0.3">
      <c r="A784" s="1">
        <v>45349</v>
      </c>
      <c r="B784">
        <v>431.35</v>
      </c>
      <c r="C784">
        <f t="shared" si="49"/>
        <v>-2.4283071230341226E-3</v>
      </c>
      <c r="D784" s="2">
        <f t="shared" si="50"/>
        <v>-2.4283071230341226E-3</v>
      </c>
      <c r="O784" s="1">
        <v>45349</v>
      </c>
      <c r="P784">
        <v>73095.22</v>
      </c>
      <c r="Q784">
        <f t="shared" si="51"/>
        <v>4.1913649556608356E-3</v>
      </c>
      <c r="R784" s="2">
        <f t="shared" si="52"/>
        <v>4.1913649556608356E-3</v>
      </c>
    </row>
    <row r="785" spans="1:18" x14ac:dyDescent="0.3">
      <c r="A785" s="1">
        <v>45350</v>
      </c>
      <c r="B785">
        <v>424</v>
      </c>
      <c r="C785">
        <f t="shared" si="49"/>
        <v>-1.7039527066187603E-2</v>
      </c>
      <c r="D785" s="2">
        <f t="shared" si="50"/>
        <v>-1.7039527066187603E-2</v>
      </c>
      <c r="O785" s="1">
        <v>45350</v>
      </c>
      <c r="P785">
        <v>72304.88</v>
      </c>
      <c r="Q785">
        <f t="shared" si="51"/>
        <v>-1.0812471732077644E-2</v>
      </c>
      <c r="R785" s="2">
        <f t="shared" si="52"/>
        <v>-1.0812471732077644E-2</v>
      </c>
    </row>
    <row r="786" spans="1:18" x14ac:dyDescent="0.3">
      <c r="A786" s="1">
        <v>45351</v>
      </c>
      <c r="B786">
        <v>424.2</v>
      </c>
      <c r="C786">
        <f t="shared" si="49"/>
        <v>4.7169811320752034E-4</v>
      </c>
      <c r="D786" s="2">
        <f t="shared" si="50"/>
        <v>4.7169811320752034E-4</v>
      </c>
      <c r="O786" s="1">
        <v>45351</v>
      </c>
      <c r="P786">
        <v>72500.3</v>
      </c>
      <c r="Q786">
        <f t="shared" si="51"/>
        <v>2.7027221399163965E-3</v>
      </c>
      <c r="R786" s="2">
        <f t="shared" si="52"/>
        <v>2.7027221399163965E-3</v>
      </c>
    </row>
    <row r="787" spans="1:18" x14ac:dyDescent="0.3">
      <c r="A787" s="1">
        <v>45352</v>
      </c>
      <c r="B787">
        <v>424.9</v>
      </c>
      <c r="C787">
        <f t="shared" si="49"/>
        <v>1.6501650165016235E-3</v>
      </c>
      <c r="D787" s="2">
        <f t="shared" si="50"/>
        <v>1.6501650165016235E-3</v>
      </c>
      <c r="O787" s="1">
        <v>45352</v>
      </c>
      <c r="P787">
        <v>73745.350000000006</v>
      </c>
      <c r="Q787">
        <f t="shared" si="51"/>
        <v>1.7173032387452228E-2</v>
      </c>
      <c r="R787" s="2">
        <f t="shared" si="52"/>
        <v>1.7173032387452228E-2</v>
      </c>
    </row>
    <row r="788" spans="1:18" x14ac:dyDescent="0.3">
      <c r="A788" s="1">
        <v>45353</v>
      </c>
      <c r="B788">
        <v>428.6</v>
      </c>
      <c r="C788">
        <f t="shared" si="49"/>
        <v>8.7079312779478595E-3</v>
      </c>
      <c r="D788" s="2">
        <f t="shared" si="50"/>
        <v>8.7079312779478595E-3</v>
      </c>
      <c r="O788" s="1">
        <v>45353</v>
      </c>
      <c r="P788">
        <v>73806.149999999994</v>
      </c>
      <c r="Q788">
        <f t="shared" si="51"/>
        <v>8.2445876248452758E-4</v>
      </c>
      <c r="R788" s="2">
        <f t="shared" si="52"/>
        <v>8.2445876248452758E-4</v>
      </c>
    </row>
    <row r="789" spans="1:18" x14ac:dyDescent="0.3">
      <c r="A789" s="1">
        <v>45355</v>
      </c>
      <c r="B789">
        <v>423.3</v>
      </c>
      <c r="C789">
        <f t="shared" si="49"/>
        <v>-1.2365842277181547E-2</v>
      </c>
      <c r="D789" s="2">
        <f t="shared" si="50"/>
        <v>-1.2365842277181547E-2</v>
      </c>
      <c r="O789" s="1">
        <v>45355</v>
      </c>
      <c r="P789">
        <v>73872.289999999994</v>
      </c>
      <c r="Q789">
        <f t="shared" si="51"/>
        <v>8.9613128445257509E-4</v>
      </c>
      <c r="R789" s="2">
        <f t="shared" si="52"/>
        <v>8.9613128445257509E-4</v>
      </c>
    </row>
    <row r="790" spans="1:18" x14ac:dyDescent="0.3">
      <c r="A790" s="1">
        <v>45356</v>
      </c>
      <c r="B790">
        <v>420.7</v>
      </c>
      <c r="C790">
        <f t="shared" si="49"/>
        <v>-6.142215922513637E-3</v>
      </c>
      <c r="D790" s="2">
        <f t="shared" si="50"/>
        <v>-6.142215922513637E-3</v>
      </c>
      <c r="O790" s="1">
        <v>45356</v>
      </c>
      <c r="P790">
        <v>73677.13</v>
      </c>
      <c r="Q790">
        <f t="shared" si="51"/>
        <v>-2.6418566420506112E-3</v>
      </c>
      <c r="R790" s="2">
        <f t="shared" si="52"/>
        <v>-2.6418566420506112E-3</v>
      </c>
    </row>
    <row r="791" spans="1:18" x14ac:dyDescent="0.3">
      <c r="A791" s="1">
        <v>45357</v>
      </c>
      <c r="B791">
        <v>412.3</v>
      </c>
      <c r="C791">
        <f t="shared" si="49"/>
        <v>-1.9966722129783641E-2</v>
      </c>
      <c r="D791" s="2">
        <f t="shared" si="50"/>
        <v>-1.9966722129783641E-2</v>
      </c>
      <c r="O791" s="1">
        <v>45357</v>
      </c>
      <c r="P791">
        <v>74085.990000000005</v>
      </c>
      <c r="Q791">
        <f t="shared" si="51"/>
        <v>5.5493475383745347E-3</v>
      </c>
      <c r="R791" s="2">
        <f t="shared" si="52"/>
        <v>5.5493475383745347E-3</v>
      </c>
    </row>
    <row r="792" spans="1:18" x14ac:dyDescent="0.3">
      <c r="A792" s="1">
        <v>45358</v>
      </c>
      <c r="B792">
        <v>407.8</v>
      </c>
      <c r="C792">
        <f t="shared" si="49"/>
        <v>-1.0914382731021102E-2</v>
      </c>
      <c r="D792" s="2">
        <f t="shared" si="50"/>
        <v>-1.0914382731021102E-2</v>
      </c>
      <c r="O792" s="1">
        <v>45358</v>
      </c>
      <c r="P792">
        <v>74119.39</v>
      </c>
      <c r="Q792">
        <f t="shared" si="51"/>
        <v>4.5082747763773118E-4</v>
      </c>
      <c r="R792" s="2">
        <f t="shared" si="52"/>
        <v>4.5082747763773118E-4</v>
      </c>
    </row>
    <row r="793" spans="1:18" x14ac:dyDescent="0.3">
      <c r="A793" s="1">
        <v>45362</v>
      </c>
      <c r="B793">
        <v>396.4</v>
      </c>
      <c r="C793">
        <f t="shared" si="49"/>
        <v>-2.7954879843060408E-2</v>
      </c>
      <c r="D793" s="2">
        <f t="shared" si="50"/>
        <v>-2.7954879843060408E-2</v>
      </c>
      <c r="O793" s="1">
        <v>45362</v>
      </c>
      <c r="P793">
        <v>73502.64</v>
      </c>
      <c r="Q793">
        <f t="shared" si="51"/>
        <v>-8.3210344823399108E-3</v>
      </c>
      <c r="R793" s="2">
        <f t="shared" si="52"/>
        <v>-8.3210344823399108E-3</v>
      </c>
    </row>
    <row r="794" spans="1:18" x14ac:dyDescent="0.3">
      <c r="A794" s="1">
        <v>45363</v>
      </c>
      <c r="B794">
        <v>380.75</v>
      </c>
      <c r="C794">
        <f t="shared" si="49"/>
        <v>-3.9480322906155343E-2</v>
      </c>
      <c r="D794" s="2">
        <f t="shared" si="50"/>
        <v>-3.9480322906155343E-2</v>
      </c>
      <c r="O794" s="1">
        <v>45363</v>
      </c>
      <c r="P794">
        <v>73667.960000000006</v>
      </c>
      <c r="Q794">
        <f t="shared" si="51"/>
        <v>2.2491709141332474E-3</v>
      </c>
      <c r="R794" s="2">
        <f t="shared" si="52"/>
        <v>2.2491709141332474E-3</v>
      </c>
    </row>
    <row r="795" spans="1:18" x14ac:dyDescent="0.3">
      <c r="A795" s="1">
        <v>45364</v>
      </c>
      <c r="B795">
        <v>349.75</v>
      </c>
      <c r="C795">
        <f t="shared" si="49"/>
        <v>-8.141825344714379E-2</v>
      </c>
      <c r="D795" s="2">
        <f t="shared" si="50"/>
        <v>-8.141825344714379E-2</v>
      </c>
      <c r="O795" s="1">
        <v>45364</v>
      </c>
      <c r="P795">
        <v>72761.89</v>
      </c>
      <c r="Q795">
        <f t="shared" si="51"/>
        <v>-1.2299376825420535E-2</v>
      </c>
      <c r="R795" s="2">
        <f t="shared" si="52"/>
        <v>-1.2299376825420535E-2</v>
      </c>
    </row>
    <row r="796" spans="1:18" x14ac:dyDescent="0.3">
      <c r="A796" s="1">
        <v>45365</v>
      </c>
      <c r="B796">
        <v>366.3</v>
      </c>
      <c r="C796">
        <f t="shared" si="49"/>
        <v>4.7319513938527555E-2</v>
      </c>
      <c r="D796" s="2">
        <f t="shared" si="50"/>
        <v>4.7319513938527555E-2</v>
      </c>
      <c r="O796" s="1">
        <v>45365</v>
      </c>
      <c r="P796">
        <v>73097.279999999999</v>
      </c>
      <c r="Q796">
        <f t="shared" si="51"/>
        <v>4.6094184744238974E-3</v>
      </c>
      <c r="R796" s="2">
        <f t="shared" si="52"/>
        <v>4.6094184744238974E-3</v>
      </c>
    </row>
    <row r="797" spans="1:18" x14ac:dyDescent="0.3">
      <c r="A797" s="1">
        <v>45366</v>
      </c>
      <c r="B797">
        <v>364.35</v>
      </c>
      <c r="C797">
        <f t="shared" si="49"/>
        <v>-5.3235053235052921E-3</v>
      </c>
      <c r="D797" s="2">
        <f t="shared" si="50"/>
        <v>-5.3235053235052921E-3</v>
      </c>
      <c r="O797" s="1">
        <v>45366</v>
      </c>
      <c r="P797">
        <v>72643.429999999993</v>
      </c>
      <c r="Q797">
        <f t="shared" si="51"/>
        <v>-6.2088493580062876E-3</v>
      </c>
      <c r="R797" s="2">
        <f t="shared" si="52"/>
        <v>-6.2088493580062876E-3</v>
      </c>
    </row>
    <row r="798" spans="1:18" x14ac:dyDescent="0.3">
      <c r="A798" s="1">
        <v>45369</v>
      </c>
      <c r="B798">
        <v>387.25</v>
      </c>
      <c r="C798">
        <f t="shared" si="49"/>
        <v>6.285165362975155E-2</v>
      </c>
      <c r="D798" s="2">
        <f t="shared" si="50"/>
        <v>6.285165362975155E-2</v>
      </c>
      <c r="O798" s="1">
        <v>45369</v>
      </c>
      <c r="P798">
        <v>72748.42</v>
      </c>
      <c r="Q798">
        <f t="shared" si="51"/>
        <v>1.4452786714504705E-3</v>
      </c>
      <c r="R798" s="2">
        <f t="shared" si="52"/>
        <v>1.4452786714504705E-3</v>
      </c>
    </row>
    <row r="799" spans="1:18" x14ac:dyDescent="0.3">
      <c r="A799" s="1">
        <v>45370</v>
      </c>
      <c r="B799">
        <v>377.15</v>
      </c>
      <c r="C799">
        <f t="shared" si="49"/>
        <v>-2.6081342801807676E-2</v>
      </c>
      <c r="D799" s="2">
        <f t="shared" si="50"/>
        <v>-2.6081342801807676E-2</v>
      </c>
      <c r="O799" s="1">
        <v>45370</v>
      </c>
      <c r="P799">
        <v>72012.05</v>
      </c>
      <c r="Q799">
        <f t="shared" si="51"/>
        <v>-1.0122144233510438E-2</v>
      </c>
      <c r="R799" s="2">
        <f t="shared" si="52"/>
        <v>-1.0122144233510438E-2</v>
      </c>
    </row>
    <row r="800" spans="1:18" x14ac:dyDescent="0.3">
      <c r="A800" s="1">
        <v>45371</v>
      </c>
      <c r="B800">
        <v>367.7</v>
      </c>
      <c r="C800">
        <f t="shared" si="49"/>
        <v>-2.5056343629855468E-2</v>
      </c>
      <c r="D800" s="2">
        <f t="shared" si="50"/>
        <v>-2.5056343629855468E-2</v>
      </c>
      <c r="O800" s="1">
        <v>45371</v>
      </c>
      <c r="P800">
        <v>72101.69</v>
      </c>
      <c r="Q800">
        <f t="shared" si="51"/>
        <v>1.2447916702829514E-3</v>
      </c>
      <c r="R800" s="2">
        <f t="shared" si="52"/>
        <v>1.2447916702829514E-3</v>
      </c>
    </row>
    <row r="801" spans="1:18" x14ac:dyDescent="0.3">
      <c r="A801" s="1">
        <v>45372</v>
      </c>
      <c r="B801">
        <v>377.1</v>
      </c>
      <c r="C801">
        <f t="shared" si="49"/>
        <v>2.5564318738101808E-2</v>
      </c>
      <c r="D801" s="2">
        <f t="shared" si="50"/>
        <v>2.5564318738101808E-2</v>
      </c>
      <c r="O801" s="1">
        <v>45372</v>
      </c>
      <c r="P801">
        <v>72641.19</v>
      </c>
      <c r="Q801">
        <f t="shared" si="51"/>
        <v>7.482487581081664E-3</v>
      </c>
      <c r="R801" s="2">
        <f t="shared" si="52"/>
        <v>7.482487581081664E-3</v>
      </c>
    </row>
    <row r="802" spans="1:18" x14ac:dyDescent="0.3">
      <c r="A802" s="1">
        <v>45373</v>
      </c>
      <c r="B802">
        <v>380.8</v>
      </c>
      <c r="C802">
        <f t="shared" si="49"/>
        <v>9.8117210289047699E-3</v>
      </c>
      <c r="D802" s="2">
        <f t="shared" si="50"/>
        <v>9.8117210289047699E-3</v>
      </c>
      <c r="O802" s="1">
        <v>45373</v>
      </c>
      <c r="P802">
        <v>72831.94</v>
      </c>
      <c r="Q802">
        <f t="shared" si="51"/>
        <v>2.6259206381393256E-3</v>
      </c>
      <c r="R802" s="2">
        <f t="shared" si="52"/>
        <v>2.6259206381393256E-3</v>
      </c>
    </row>
    <row r="803" spans="1:18" x14ac:dyDescent="0.3">
      <c r="A803" s="1">
        <v>45377</v>
      </c>
      <c r="B803">
        <v>375.25</v>
      </c>
      <c r="C803">
        <f t="shared" si="49"/>
        <v>-1.4574579831932803E-2</v>
      </c>
      <c r="D803" s="2">
        <f t="shared" si="50"/>
        <v>-1.4574579831932803E-2</v>
      </c>
      <c r="O803" s="1">
        <v>45377</v>
      </c>
      <c r="P803">
        <v>72470.3</v>
      </c>
      <c r="Q803">
        <f t="shared" si="51"/>
        <v>-4.9654039148208798E-3</v>
      </c>
      <c r="R803" s="2">
        <f t="shared" si="52"/>
        <v>-4.9654039148208798E-3</v>
      </c>
    </row>
    <row r="804" spans="1:18" x14ac:dyDescent="0.3">
      <c r="A804" s="1">
        <v>45378</v>
      </c>
      <c r="B804">
        <v>372.1</v>
      </c>
      <c r="C804">
        <f t="shared" si="49"/>
        <v>-8.3944037308460416E-3</v>
      </c>
      <c r="D804" s="2">
        <f t="shared" si="50"/>
        <v>-8.3944037308460416E-3</v>
      </c>
      <c r="O804" s="1">
        <v>45378</v>
      </c>
      <c r="P804">
        <v>72996.31</v>
      </c>
      <c r="Q804">
        <f t="shared" si="51"/>
        <v>7.2582837383037566E-3</v>
      </c>
      <c r="R804" s="2">
        <f t="shared" si="52"/>
        <v>7.2582837383037566E-3</v>
      </c>
    </row>
    <row r="805" spans="1:18" x14ac:dyDescent="0.3">
      <c r="A805" s="1">
        <v>45379</v>
      </c>
      <c r="B805">
        <v>371</v>
      </c>
      <c r="C805">
        <f t="shared" si="49"/>
        <v>-2.9561945713518479E-3</v>
      </c>
      <c r="D805" s="2">
        <f t="shared" si="50"/>
        <v>-2.9561945713518479E-3</v>
      </c>
      <c r="O805" s="1">
        <v>45379</v>
      </c>
      <c r="P805">
        <v>73651.350000000006</v>
      </c>
      <c r="Q805">
        <f t="shared" si="51"/>
        <v>8.9736042821891709E-3</v>
      </c>
      <c r="R805" s="2">
        <f t="shared" si="52"/>
        <v>8.9736042821891709E-3</v>
      </c>
    </row>
    <row r="806" spans="1:18" x14ac:dyDescent="0.3">
      <c r="A806" s="1">
        <v>45383</v>
      </c>
      <c r="B806">
        <v>388.2</v>
      </c>
      <c r="C806">
        <f t="shared" si="49"/>
        <v>4.6361185983827463E-2</v>
      </c>
      <c r="D806" s="2">
        <f t="shared" si="50"/>
        <v>4.6361185983827463E-2</v>
      </c>
      <c r="O806" s="1">
        <v>45383</v>
      </c>
      <c r="P806">
        <v>74014.55</v>
      </c>
      <c r="Q806">
        <f t="shared" si="51"/>
        <v>4.9313420595820312E-3</v>
      </c>
      <c r="R806" s="2">
        <f t="shared" si="52"/>
        <v>4.9313420595820312E-3</v>
      </c>
    </row>
    <row r="807" spans="1:18" x14ac:dyDescent="0.3">
      <c r="A807" s="1">
        <v>45384</v>
      </c>
      <c r="B807">
        <v>392.65</v>
      </c>
      <c r="C807">
        <f t="shared" si="49"/>
        <v>1.1463163317877353E-2</v>
      </c>
      <c r="D807" s="2">
        <f t="shared" si="50"/>
        <v>1.1463163317877353E-2</v>
      </c>
      <c r="O807" s="1">
        <v>45384</v>
      </c>
      <c r="P807">
        <v>73903.91</v>
      </c>
      <c r="Q807">
        <f t="shared" si="51"/>
        <v>-1.4948412170309676E-3</v>
      </c>
      <c r="R807" s="2">
        <f t="shared" si="52"/>
        <v>-1.4948412170309676E-3</v>
      </c>
    </row>
    <row r="808" spans="1:18" x14ac:dyDescent="0.3">
      <c r="A808" s="1">
        <v>45385</v>
      </c>
      <c r="B808">
        <v>401.05</v>
      </c>
      <c r="C808">
        <f t="shared" si="49"/>
        <v>2.1393098179039945E-2</v>
      </c>
      <c r="D808" s="2">
        <f t="shared" si="50"/>
        <v>2.1393098179039945E-2</v>
      </c>
      <c r="O808" s="1">
        <v>45385</v>
      </c>
      <c r="P808">
        <v>73876.820000000007</v>
      </c>
      <c r="Q808">
        <f t="shared" si="51"/>
        <v>-3.6655706037740771E-4</v>
      </c>
      <c r="R808" s="2">
        <f t="shared" si="52"/>
        <v>-3.6655706037740771E-4</v>
      </c>
    </row>
    <row r="809" spans="1:18" x14ac:dyDescent="0.3">
      <c r="A809" s="1">
        <v>45386</v>
      </c>
      <c r="B809">
        <v>423.05</v>
      </c>
      <c r="C809">
        <f t="shared" si="49"/>
        <v>5.4856002992145617E-2</v>
      </c>
      <c r="D809" s="2">
        <f t="shared" si="50"/>
        <v>5.4856002992145617E-2</v>
      </c>
      <c r="O809" s="1">
        <v>45386</v>
      </c>
      <c r="P809">
        <v>74227.63</v>
      </c>
      <c r="Q809">
        <f t="shared" si="51"/>
        <v>4.7485801365028659E-3</v>
      </c>
      <c r="R809" s="2">
        <f t="shared" si="52"/>
        <v>4.7485801365028659E-3</v>
      </c>
    </row>
    <row r="810" spans="1:18" x14ac:dyDescent="0.3">
      <c r="A810" s="1">
        <v>45387</v>
      </c>
      <c r="B810">
        <v>418.6</v>
      </c>
      <c r="C810">
        <f t="shared" si="49"/>
        <v>-1.0518851199621766E-2</v>
      </c>
      <c r="D810" s="2">
        <f t="shared" si="50"/>
        <v>-1.0518851199621766E-2</v>
      </c>
      <c r="O810" s="1">
        <v>45387</v>
      </c>
      <c r="P810">
        <v>74248.22</v>
      </c>
      <c r="Q810">
        <f t="shared" si="51"/>
        <v>2.7738996920683719E-4</v>
      </c>
      <c r="R810" s="2">
        <f t="shared" si="52"/>
        <v>2.7738996920683719E-4</v>
      </c>
    </row>
    <row r="811" spans="1:18" x14ac:dyDescent="0.3">
      <c r="A811" s="1">
        <v>45390</v>
      </c>
      <c r="B811">
        <v>408.25</v>
      </c>
      <c r="C811">
        <f t="shared" si="49"/>
        <v>-2.472527472527478E-2</v>
      </c>
      <c r="D811" s="2">
        <f t="shared" si="50"/>
        <v>-2.472527472527478E-2</v>
      </c>
      <c r="O811" s="1">
        <v>45390</v>
      </c>
      <c r="P811">
        <v>74742.5</v>
      </c>
      <c r="Q811">
        <f t="shared" si="51"/>
        <v>6.6571292887559978E-3</v>
      </c>
      <c r="R811" s="2">
        <f t="shared" si="52"/>
        <v>6.6571292887559978E-3</v>
      </c>
    </row>
    <row r="812" spans="1:18" x14ac:dyDescent="0.3">
      <c r="A812" s="1">
        <v>45391</v>
      </c>
      <c r="B812">
        <v>401.65</v>
      </c>
      <c r="C812">
        <f t="shared" si="49"/>
        <v>-1.6166564605021489E-2</v>
      </c>
      <c r="D812" s="2">
        <f t="shared" si="50"/>
        <v>-1.6166564605021489E-2</v>
      </c>
      <c r="O812" s="1">
        <v>45391</v>
      </c>
      <c r="P812">
        <v>74683.7</v>
      </c>
      <c r="Q812">
        <f t="shared" si="51"/>
        <v>-7.8670100679001788E-4</v>
      </c>
      <c r="R812" s="2">
        <f t="shared" si="52"/>
        <v>-7.8670100679001788E-4</v>
      </c>
    </row>
    <row r="813" spans="1:18" x14ac:dyDescent="0.3">
      <c r="A813" s="1">
        <v>45392</v>
      </c>
      <c r="B813">
        <v>399.5</v>
      </c>
      <c r="C813">
        <f t="shared" si="49"/>
        <v>-5.3529192082658467E-3</v>
      </c>
      <c r="D813" s="2">
        <f t="shared" si="50"/>
        <v>-5.3529192082658467E-3</v>
      </c>
      <c r="O813" s="1">
        <v>45392</v>
      </c>
      <c r="P813">
        <v>75038.149999999994</v>
      </c>
      <c r="Q813">
        <f t="shared" si="51"/>
        <v>4.7460155294930103E-3</v>
      </c>
      <c r="R813" s="2">
        <f t="shared" si="52"/>
        <v>4.7460155294930103E-3</v>
      </c>
    </row>
    <row r="814" spans="1:18" x14ac:dyDescent="0.3">
      <c r="A814" s="1">
        <v>45394</v>
      </c>
      <c r="B814">
        <v>412.7</v>
      </c>
      <c r="C814">
        <f t="shared" si="49"/>
        <v>3.304130162703376E-2</v>
      </c>
      <c r="D814" s="2">
        <f t="shared" si="50"/>
        <v>3.304130162703376E-2</v>
      </c>
      <c r="O814" s="1">
        <v>45394</v>
      </c>
      <c r="P814">
        <v>74244.899999999994</v>
      </c>
      <c r="Q814">
        <f t="shared" si="51"/>
        <v>-1.0571289404123104E-2</v>
      </c>
      <c r="R814" s="2">
        <f t="shared" si="52"/>
        <v>-1.0571289404123104E-2</v>
      </c>
    </row>
    <row r="815" spans="1:18" x14ac:dyDescent="0.3">
      <c r="A815" s="1">
        <v>45397</v>
      </c>
      <c r="B815">
        <v>395.4</v>
      </c>
      <c r="C815">
        <f t="shared" si="49"/>
        <v>-4.1919069542040249E-2</v>
      </c>
      <c r="D815" s="2">
        <f t="shared" si="50"/>
        <v>-4.1919069542040249E-2</v>
      </c>
      <c r="O815" s="1">
        <v>45397</v>
      </c>
      <c r="P815">
        <v>73399.78</v>
      </c>
      <c r="Q815">
        <f t="shared" si="51"/>
        <v>-1.1382869395742946E-2</v>
      </c>
      <c r="R815" s="2">
        <f t="shared" si="52"/>
        <v>-1.1382869395742946E-2</v>
      </c>
    </row>
    <row r="816" spans="1:18" x14ac:dyDescent="0.3">
      <c r="A816" s="1">
        <v>45398</v>
      </c>
      <c r="B816">
        <v>392.95</v>
      </c>
      <c r="C816">
        <f t="shared" si="49"/>
        <v>-6.1962569549822684E-3</v>
      </c>
      <c r="D816" s="2">
        <f t="shared" si="50"/>
        <v>-6.1962569549822684E-3</v>
      </c>
      <c r="O816" s="1">
        <v>45398</v>
      </c>
      <c r="P816">
        <v>72943.679999999993</v>
      </c>
      <c r="Q816">
        <f t="shared" si="51"/>
        <v>-6.2139150825793457E-3</v>
      </c>
      <c r="R816" s="2">
        <f t="shared" si="52"/>
        <v>-6.2139150825793457E-3</v>
      </c>
    </row>
    <row r="817" spans="1:18" x14ac:dyDescent="0.3">
      <c r="A817" s="1">
        <v>45400</v>
      </c>
      <c r="B817">
        <v>440.1</v>
      </c>
      <c r="C817">
        <f t="shared" si="49"/>
        <v>0.11998982058786115</v>
      </c>
      <c r="D817" s="2">
        <f t="shared" si="50"/>
        <v>0.11998982058786115</v>
      </c>
      <c r="O817" s="1">
        <v>45400</v>
      </c>
      <c r="P817">
        <v>72488.990000000005</v>
      </c>
      <c r="Q817">
        <f t="shared" si="51"/>
        <v>-6.2334392780839659E-3</v>
      </c>
      <c r="R817" s="2">
        <f t="shared" si="52"/>
        <v>-6.2334392780839659E-3</v>
      </c>
    </row>
    <row r="818" spans="1:18" x14ac:dyDescent="0.3">
      <c r="A818" s="1">
        <v>45401</v>
      </c>
      <c r="B818">
        <v>448.45</v>
      </c>
      <c r="C818">
        <f t="shared" si="49"/>
        <v>1.8972960690752022E-2</v>
      </c>
      <c r="D818" s="2">
        <f t="shared" si="50"/>
        <v>1.8972960690752022E-2</v>
      </c>
      <c r="O818" s="1">
        <v>45401</v>
      </c>
      <c r="P818">
        <v>73088.33</v>
      </c>
      <c r="Q818">
        <f t="shared" si="51"/>
        <v>8.2680142184350536E-3</v>
      </c>
      <c r="R818" s="2">
        <f t="shared" si="52"/>
        <v>8.2680142184350536E-3</v>
      </c>
    </row>
    <row r="819" spans="1:18" x14ac:dyDescent="0.3">
      <c r="A819" s="1">
        <v>45404</v>
      </c>
      <c r="B819">
        <v>436.5</v>
      </c>
      <c r="C819">
        <f t="shared" si="49"/>
        <v>-2.6647340840673404E-2</v>
      </c>
      <c r="D819" s="2">
        <f t="shared" si="50"/>
        <v>-2.6647340840673404E-2</v>
      </c>
      <c r="O819" s="1">
        <v>45404</v>
      </c>
      <c r="P819">
        <v>73648.62</v>
      </c>
      <c r="Q819">
        <f t="shared" si="51"/>
        <v>7.6659297045095108E-3</v>
      </c>
      <c r="R819" s="2">
        <f t="shared" si="52"/>
        <v>7.6659297045095108E-3</v>
      </c>
    </row>
    <row r="820" spans="1:18" x14ac:dyDescent="0.3">
      <c r="A820" s="1">
        <v>45405</v>
      </c>
      <c r="B820">
        <v>444.55</v>
      </c>
      <c r="C820">
        <f t="shared" si="49"/>
        <v>1.844215349369991E-2</v>
      </c>
      <c r="D820" s="2">
        <f t="shared" si="50"/>
        <v>1.844215349369991E-2</v>
      </c>
      <c r="O820" s="1">
        <v>45405</v>
      </c>
      <c r="P820">
        <v>73738.45</v>
      </c>
      <c r="Q820">
        <f t="shared" si="51"/>
        <v>1.2197105661993634E-3</v>
      </c>
      <c r="R820" s="2">
        <f t="shared" si="52"/>
        <v>1.2197105661993634E-3</v>
      </c>
    </row>
    <row r="821" spans="1:18" x14ac:dyDescent="0.3">
      <c r="A821" s="1">
        <v>45406</v>
      </c>
      <c r="B821">
        <v>441</v>
      </c>
      <c r="C821">
        <f t="shared" si="49"/>
        <v>-7.9856034191879682E-3</v>
      </c>
      <c r="D821" s="2">
        <f t="shared" si="50"/>
        <v>-7.9856034191879682E-3</v>
      </c>
      <c r="O821" s="1">
        <v>45406</v>
      </c>
      <c r="P821">
        <v>73852.94</v>
      </c>
      <c r="Q821">
        <f t="shared" si="51"/>
        <v>1.5526499404314199E-3</v>
      </c>
      <c r="R821" s="2">
        <f t="shared" si="52"/>
        <v>1.5526499404314199E-3</v>
      </c>
    </row>
    <row r="822" spans="1:18" x14ac:dyDescent="0.3">
      <c r="A822" s="1">
        <v>45407</v>
      </c>
      <c r="B822">
        <v>443.2</v>
      </c>
      <c r="C822">
        <f t="shared" si="49"/>
        <v>4.9886621315192482E-3</v>
      </c>
      <c r="D822" s="2">
        <f t="shared" si="50"/>
        <v>4.9886621315192482E-3</v>
      </c>
      <c r="O822" s="1">
        <v>45407</v>
      </c>
      <c r="P822">
        <v>74339.44</v>
      </c>
      <c r="Q822">
        <f t="shared" si="51"/>
        <v>6.5874154772985341E-3</v>
      </c>
      <c r="R822" s="2">
        <f t="shared" si="52"/>
        <v>6.5874154772985341E-3</v>
      </c>
    </row>
    <row r="823" spans="1:18" x14ac:dyDescent="0.3">
      <c r="A823" s="1">
        <v>45408</v>
      </c>
      <c r="B823">
        <v>441.3</v>
      </c>
      <c r="C823">
        <f t="shared" si="49"/>
        <v>-4.2870036101082523E-3</v>
      </c>
      <c r="D823" s="2">
        <f t="shared" si="50"/>
        <v>-4.2870036101082523E-3</v>
      </c>
      <c r="O823" s="1">
        <v>45408</v>
      </c>
      <c r="P823">
        <v>73730.16</v>
      </c>
      <c r="Q823">
        <f t="shared" si="51"/>
        <v>-8.1959186133228716E-3</v>
      </c>
      <c r="R823" s="2">
        <f t="shared" si="52"/>
        <v>-8.1959186133228716E-3</v>
      </c>
    </row>
    <row r="824" spans="1:18" x14ac:dyDescent="0.3">
      <c r="A824" s="1">
        <v>45411</v>
      </c>
      <c r="B824">
        <v>443.1</v>
      </c>
      <c r="C824">
        <f t="shared" si="49"/>
        <v>4.0788579197824863E-3</v>
      </c>
      <c r="D824" s="2">
        <f t="shared" si="50"/>
        <v>4.0788579197824863E-3</v>
      </c>
      <c r="O824" s="1">
        <v>45411</v>
      </c>
      <c r="P824">
        <v>74671.28</v>
      </c>
      <c r="Q824">
        <f t="shared" si="51"/>
        <v>1.2764382987911532E-2</v>
      </c>
      <c r="R824" s="2">
        <f t="shared" si="52"/>
        <v>1.2764382987911532E-2</v>
      </c>
    </row>
    <row r="825" spans="1:18" x14ac:dyDescent="0.3">
      <c r="A825" s="1">
        <v>45412</v>
      </c>
      <c r="B825">
        <v>441.45</v>
      </c>
      <c r="C825">
        <f t="shared" si="49"/>
        <v>-3.723764387271573E-3</v>
      </c>
      <c r="D825" s="2">
        <f t="shared" si="50"/>
        <v>-3.723764387271573E-3</v>
      </c>
      <c r="O825" s="1">
        <v>45412</v>
      </c>
      <c r="P825">
        <v>74482.78</v>
      </c>
      <c r="Q825">
        <f t="shared" si="51"/>
        <v>-2.5243975997197316E-3</v>
      </c>
      <c r="R825" s="2">
        <f t="shared" si="52"/>
        <v>-2.5243975997197316E-3</v>
      </c>
    </row>
    <row r="826" spans="1:18" x14ac:dyDescent="0.3">
      <c r="A826" s="1">
        <v>45414</v>
      </c>
      <c r="B826">
        <v>435.4</v>
      </c>
      <c r="C826">
        <f t="shared" si="49"/>
        <v>-1.370483633480578E-2</v>
      </c>
      <c r="D826" s="2">
        <f t="shared" si="50"/>
        <v>-1.370483633480578E-2</v>
      </c>
      <c r="O826" s="1">
        <v>45414</v>
      </c>
      <c r="P826">
        <v>74611.11</v>
      </c>
      <c r="Q826">
        <f t="shared" si="51"/>
        <v>1.7229485795240422E-3</v>
      </c>
      <c r="R826" s="2">
        <f t="shared" si="52"/>
        <v>1.7229485795240422E-3</v>
      </c>
    </row>
    <row r="827" spans="1:18" x14ac:dyDescent="0.3">
      <c r="A827" s="1">
        <v>45415</v>
      </c>
      <c r="B827">
        <v>428.3</v>
      </c>
      <c r="C827">
        <f t="shared" si="49"/>
        <v>-1.6306844281120732E-2</v>
      </c>
      <c r="D827" s="2">
        <f t="shared" si="50"/>
        <v>-1.6306844281120732E-2</v>
      </c>
      <c r="O827" s="1">
        <v>45415</v>
      </c>
      <c r="P827">
        <v>73878.149999999994</v>
      </c>
      <c r="Q827">
        <f t="shared" si="51"/>
        <v>-9.8237380465188949E-3</v>
      </c>
      <c r="R827" s="2">
        <f t="shared" si="52"/>
        <v>-9.8237380465188949E-3</v>
      </c>
    </row>
    <row r="828" spans="1:18" x14ac:dyDescent="0.3">
      <c r="A828" s="1">
        <v>45418</v>
      </c>
      <c r="B828">
        <v>421.15</v>
      </c>
      <c r="C828">
        <f t="shared" si="49"/>
        <v>-1.6693906140555763E-2</v>
      </c>
      <c r="D828" s="2">
        <f t="shared" si="50"/>
        <v>-1.6693906140555763E-2</v>
      </c>
      <c r="O828" s="1">
        <v>45418</v>
      </c>
      <c r="P828">
        <v>73895.539999999994</v>
      </c>
      <c r="Q828">
        <f t="shared" si="51"/>
        <v>2.3538759430223171E-4</v>
      </c>
      <c r="R828" s="2">
        <f t="shared" si="52"/>
        <v>2.3538759430223171E-4</v>
      </c>
    </row>
    <row r="829" spans="1:18" x14ac:dyDescent="0.3">
      <c r="A829" s="1">
        <v>45419</v>
      </c>
      <c r="B829">
        <v>417.6</v>
      </c>
      <c r="C829">
        <f t="shared" si="49"/>
        <v>-8.4293007242074187E-3</v>
      </c>
      <c r="D829" s="2">
        <f t="shared" si="50"/>
        <v>-8.4293007242074187E-3</v>
      </c>
      <c r="O829" s="1">
        <v>45419</v>
      </c>
      <c r="P829">
        <v>73511.850000000006</v>
      </c>
      <c r="Q829">
        <f t="shared" si="51"/>
        <v>-5.1923296047364674E-3</v>
      </c>
      <c r="R829" s="2">
        <f t="shared" si="52"/>
        <v>-5.1923296047364674E-3</v>
      </c>
    </row>
    <row r="830" spans="1:18" x14ac:dyDescent="0.3">
      <c r="A830" s="1">
        <v>45420</v>
      </c>
      <c r="B830">
        <v>426.1</v>
      </c>
      <c r="C830">
        <f t="shared" si="49"/>
        <v>2.0354406130268198E-2</v>
      </c>
      <c r="D830" s="2">
        <f t="shared" si="50"/>
        <v>2.0354406130268198E-2</v>
      </c>
      <c r="O830" s="1">
        <v>45420</v>
      </c>
      <c r="P830">
        <v>73466.39</v>
      </c>
      <c r="Q830">
        <f t="shared" si="51"/>
        <v>-6.1840369953968508E-4</v>
      </c>
      <c r="R830" s="2">
        <f t="shared" si="52"/>
        <v>-6.1840369953968508E-4</v>
      </c>
    </row>
    <row r="831" spans="1:18" x14ac:dyDescent="0.3">
      <c r="A831" s="1">
        <v>45421</v>
      </c>
      <c r="B831">
        <v>423.05</v>
      </c>
      <c r="C831">
        <f t="shared" si="49"/>
        <v>-7.1579441445670296E-3</v>
      </c>
      <c r="D831" s="2">
        <f t="shared" si="50"/>
        <v>-7.1579441445670296E-3</v>
      </c>
      <c r="O831" s="1">
        <v>45421</v>
      </c>
      <c r="P831">
        <v>72404.17</v>
      </c>
      <c r="Q831">
        <f t="shared" si="51"/>
        <v>-1.4458584394850505E-2</v>
      </c>
      <c r="R831" s="2">
        <f t="shared" si="52"/>
        <v>-1.4458584394850505E-2</v>
      </c>
    </row>
    <row r="832" spans="1:18" x14ac:dyDescent="0.3">
      <c r="A832" s="1">
        <v>45422</v>
      </c>
      <c r="B832">
        <v>434.25</v>
      </c>
      <c r="C832">
        <f t="shared" si="49"/>
        <v>2.6474412008036848E-2</v>
      </c>
      <c r="D832" s="2">
        <f t="shared" si="50"/>
        <v>2.6474412008036848E-2</v>
      </c>
      <c r="O832" s="1">
        <v>45422</v>
      </c>
      <c r="P832">
        <v>72664.47</v>
      </c>
      <c r="Q832">
        <f t="shared" si="51"/>
        <v>3.5950968017450227E-3</v>
      </c>
      <c r="R832" s="2">
        <f t="shared" si="52"/>
        <v>3.5950968017450227E-3</v>
      </c>
    </row>
    <row r="833" spans="1:18" x14ac:dyDescent="0.3">
      <c r="A833" s="1">
        <v>45425</v>
      </c>
      <c r="B833">
        <v>521.1</v>
      </c>
      <c r="C833">
        <f t="shared" si="49"/>
        <v>0.20000000000000004</v>
      </c>
      <c r="D833" s="2">
        <f t="shared" si="50"/>
        <v>0.20000000000000004</v>
      </c>
      <c r="O833" s="1">
        <v>45425</v>
      </c>
      <c r="P833">
        <v>72776.13</v>
      </c>
      <c r="Q833">
        <f t="shared" si="51"/>
        <v>1.5366519565890109E-3</v>
      </c>
      <c r="R833" s="2">
        <f t="shared" si="52"/>
        <v>1.5366519565890109E-3</v>
      </c>
    </row>
    <row r="834" spans="1:18" x14ac:dyDescent="0.3">
      <c r="A834" s="1">
        <v>45426</v>
      </c>
      <c r="B834">
        <v>581.95000000000005</v>
      </c>
      <c r="C834">
        <f t="shared" si="49"/>
        <v>0.11677221262713494</v>
      </c>
      <c r="D834" s="2">
        <f t="shared" si="50"/>
        <v>0.11677221262713494</v>
      </c>
      <c r="O834" s="1">
        <v>45426</v>
      </c>
      <c r="P834">
        <v>73104.61</v>
      </c>
      <c r="Q834">
        <f t="shared" si="51"/>
        <v>4.5135678415435931E-3</v>
      </c>
      <c r="R834" s="2">
        <f t="shared" si="52"/>
        <v>4.5135678415435931E-3</v>
      </c>
    </row>
    <row r="835" spans="1:18" x14ac:dyDescent="0.3">
      <c r="A835" s="1">
        <v>45427</v>
      </c>
      <c r="B835">
        <v>605.04999999999995</v>
      </c>
      <c r="C835">
        <f t="shared" si="49"/>
        <v>3.9694131798264295E-2</v>
      </c>
      <c r="D835" s="2">
        <f t="shared" si="50"/>
        <v>3.9694131798264295E-2</v>
      </c>
      <c r="O835" s="1">
        <v>45427</v>
      </c>
      <c r="P835">
        <v>72987.03</v>
      </c>
      <c r="Q835">
        <f t="shared" si="51"/>
        <v>-1.6083801007898372E-3</v>
      </c>
      <c r="R835" s="2">
        <f t="shared" si="52"/>
        <v>-1.6083801007898372E-3</v>
      </c>
    </row>
    <row r="836" spans="1:18" x14ac:dyDescent="0.3">
      <c r="A836" s="1">
        <v>45428</v>
      </c>
      <c r="B836">
        <v>580.4</v>
      </c>
      <c r="C836">
        <f t="shared" ref="C836:C899" si="53">(B836-B835)/B835</f>
        <v>-4.0740434674820226E-2</v>
      </c>
      <c r="D836" s="2">
        <f t="shared" ref="D836:D899" si="54">(B836-B835)/B835</f>
        <v>-4.0740434674820226E-2</v>
      </c>
      <c r="O836" s="1">
        <v>45428</v>
      </c>
      <c r="P836">
        <v>73663.72</v>
      </c>
      <c r="Q836">
        <f t="shared" ref="Q836:Q899" si="55">(P836-P835)/P835</f>
        <v>9.2713732837190702E-3</v>
      </c>
      <c r="R836" s="2">
        <f t="shared" ref="R836:R899" si="56">(P836-P835)/P835</f>
        <v>9.2713732837190702E-3</v>
      </c>
    </row>
    <row r="837" spans="1:18" x14ac:dyDescent="0.3">
      <c r="A837" s="1">
        <v>45429</v>
      </c>
      <c r="B837">
        <v>560.29999999999995</v>
      </c>
      <c r="C837">
        <f t="shared" si="53"/>
        <v>-3.4631288766368062E-2</v>
      </c>
      <c r="D837" s="2">
        <f t="shared" si="54"/>
        <v>-3.4631288766368062E-2</v>
      </c>
      <c r="O837" s="1">
        <v>45429</v>
      </c>
      <c r="P837">
        <v>73917.03</v>
      </c>
      <c r="Q837">
        <f t="shared" si="55"/>
        <v>3.4387348344612199E-3</v>
      </c>
      <c r="R837" s="2">
        <f t="shared" si="56"/>
        <v>3.4387348344612199E-3</v>
      </c>
    </row>
    <row r="838" spans="1:18" x14ac:dyDescent="0.3">
      <c r="A838" s="1">
        <v>45430</v>
      </c>
      <c r="B838">
        <v>572.35</v>
      </c>
      <c r="C838">
        <f t="shared" si="53"/>
        <v>2.1506335891486827E-2</v>
      </c>
      <c r="D838" s="2">
        <f t="shared" si="54"/>
        <v>2.1506335891486827E-2</v>
      </c>
      <c r="O838" s="1">
        <v>45430</v>
      </c>
      <c r="P838">
        <v>74005.94</v>
      </c>
      <c r="Q838">
        <f t="shared" si="55"/>
        <v>1.2028351247338198E-3</v>
      </c>
      <c r="R838" s="2">
        <f t="shared" si="56"/>
        <v>1.2028351247338198E-3</v>
      </c>
    </row>
    <row r="839" spans="1:18" x14ac:dyDescent="0.3">
      <c r="A839" s="1">
        <v>45433</v>
      </c>
      <c r="B839">
        <v>573.04999999999995</v>
      </c>
      <c r="C839">
        <f t="shared" si="53"/>
        <v>1.2230278675634345E-3</v>
      </c>
      <c r="D839" s="2">
        <f t="shared" si="54"/>
        <v>1.2230278675634345E-3</v>
      </c>
      <c r="O839" s="1">
        <v>45433</v>
      </c>
      <c r="P839">
        <v>73953.31</v>
      </c>
      <c r="Q839">
        <f t="shared" si="55"/>
        <v>-7.1115913128060601E-4</v>
      </c>
      <c r="R839" s="2">
        <f t="shared" si="56"/>
        <v>-7.1115913128060601E-4</v>
      </c>
    </row>
    <row r="840" spans="1:18" x14ac:dyDescent="0.3">
      <c r="A840" s="1">
        <v>45434</v>
      </c>
      <c r="B840">
        <v>562.45000000000005</v>
      </c>
      <c r="C840">
        <f t="shared" si="53"/>
        <v>-1.8497513305994084E-2</v>
      </c>
      <c r="D840" s="2">
        <f t="shared" si="54"/>
        <v>-1.8497513305994084E-2</v>
      </c>
      <c r="O840" s="1">
        <v>45434</v>
      </c>
      <c r="P840">
        <v>74221.06</v>
      </c>
      <c r="Q840">
        <f t="shared" si="55"/>
        <v>3.6205276004549359E-3</v>
      </c>
      <c r="R840" s="2">
        <f t="shared" si="56"/>
        <v>3.6205276004549359E-3</v>
      </c>
    </row>
    <row r="841" spans="1:18" x14ac:dyDescent="0.3">
      <c r="A841" s="1">
        <v>45435</v>
      </c>
      <c r="B841">
        <v>563.25</v>
      </c>
      <c r="C841">
        <f t="shared" si="53"/>
        <v>1.4223486532135381E-3</v>
      </c>
      <c r="D841" s="2">
        <f t="shared" si="54"/>
        <v>1.4223486532135381E-3</v>
      </c>
      <c r="O841" s="1">
        <v>45435</v>
      </c>
      <c r="P841">
        <v>75418.039999999994</v>
      </c>
      <c r="Q841">
        <f t="shared" si="55"/>
        <v>1.6127228579058236E-2</v>
      </c>
      <c r="R841" s="2">
        <f t="shared" si="56"/>
        <v>1.6127228579058236E-2</v>
      </c>
    </row>
    <row r="842" spans="1:18" x14ac:dyDescent="0.3">
      <c r="A842" s="1">
        <v>45436</v>
      </c>
      <c r="B842">
        <v>561.45000000000005</v>
      </c>
      <c r="C842">
        <f t="shared" si="53"/>
        <v>-3.1957390146470565E-3</v>
      </c>
      <c r="D842" s="2">
        <f t="shared" si="54"/>
        <v>-3.1957390146470565E-3</v>
      </c>
      <c r="O842" s="1">
        <v>45436</v>
      </c>
      <c r="P842">
        <v>75410.39</v>
      </c>
      <c r="Q842">
        <f t="shared" si="55"/>
        <v>-1.0143461696954973E-4</v>
      </c>
      <c r="R842" s="2">
        <f t="shared" si="56"/>
        <v>-1.0143461696954973E-4</v>
      </c>
    </row>
    <row r="843" spans="1:18" x14ac:dyDescent="0.3">
      <c r="A843" s="1">
        <v>45439</v>
      </c>
      <c r="B843">
        <v>589.75</v>
      </c>
      <c r="C843">
        <f t="shared" si="53"/>
        <v>5.0405200819307064E-2</v>
      </c>
      <c r="D843" s="2">
        <f t="shared" si="54"/>
        <v>5.0405200819307064E-2</v>
      </c>
      <c r="O843" s="1">
        <v>45439</v>
      </c>
      <c r="P843">
        <v>75390.5</v>
      </c>
      <c r="Q843">
        <f t="shared" si="55"/>
        <v>-2.6375675818676204E-4</v>
      </c>
      <c r="R843" s="2">
        <f t="shared" si="56"/>
        <v>-2.6375675818676204E-4</v>
      </c>
    </row>
    <row r="844" spans="1:18" x14ac:dyDescent="0.3">
      <c r="A844" s="1">
        <v>45440</v>
      </c>
      <c r="B844">
        <v>570.45000000000005</v>
      </c>
      <c r="C844">
        <f t="shared" si="53"/>
        <v>-3.2725731242051637E-2</v>
      </c>
      <c r="D844" s="2">
        <f t="shared" si="54"/>
        <v>-3.2725731242051637E-2</v>
      </c>
      <c r="O844" s="1">
        <v>45440</v>
      </c>
      <c r="P844">
        <v>75170.45</v>
      </c>
      <c r="Q844">
        <f t="shared" si="55"/>
        <v>-2.918802766926906E-3</v>
      </c>
      <c r="R844" s="2">
        <f t="shared" si="56"/>
        <v>-2.918802766926906E-3</v>
      </c>
    </row>
    <row r="845" spans="1:18" x14ac:dyDescent="0.3">
      <c r="A845" s="1">
        <v>45441</v>
      </c>
      <c r="B845">
        <v>577.95000000000005</v>
      </c>
      <c r="C845">
        <f t="shared" si="53"/>
        <v>1.3147515119642387E-2</v>
      </c>
      <c r="D845" s="2">
        <f t="shared" si="54"/>
        <v>1.3147515119642387E-2</v>
      </c>
      <c r="O845" s="1">
        <v>45441</v>
      </c>
      <c r="P845">
        <v>74502.899999999994</v>
      </c>
      <c r="Q845">
        <f t="shared" si="55"/>
        <v>-8.8804842860459518E-3</v>
      </c>
      <c r="R845" s="2">
        <f t="shared" si="56"/>
        <v>-8.8804842860459518E-3</v>
      </c>
    </row>
    <row r="846" spans="1:18" x14ac:dyDescent="0.3">
      <c r="A846" s="1">
        <v>45442</v>
      </c>
      <c r="B846">
        <v>556.35</v>
      </c>
      <c r="C846">
        <f t="shared" si="53"/>
        <v>-3.7373475214118906E-2</v>
      </c>
      <c r="D846" s="2">
        <f t="shared" si="54"/>
        <v>-3.7373475214118906E-2</v>
      </c>
      <c r="O846" s="1">
        <v>45442</v>
      </c>
      <c r="P846">
        <v>73885.600000000006</v>
      </c>
      <c r="Q846">
        <f t="shared" si="55"/>
        <v>-8.2855835141986203E-3</v>
      </c>
      <c r="R846" s="2">
        <f t="shared" si="56"/>
        <v>-8.2855835141986203E-3</v>
      </c>
    </row>
    <row r="847" spans="1:18" x14ac:dyDescent="0.3">
      <c r="A847" s="1">
        <v>45443</v>
      </c>
      <c r="B847">
        <v>547.25</v>
      </c>
      <c r="C847">
        <f t="shared" si="53"/>
        <v>-1.6356610047631927E-2</v>
      </c>
      <c r="D847" s="2">
        <f t="shared" si="54"/>
        <v>-1.6356610047631927E-2</v>
      </c>
      <c r="O847" s="1">
        <v>45443</v>
      </c>
      <c r="P847">
        <v>73961.31</v>
      </c>
      <c r="Q847">
        <f t="shared" si="55"/>
        <v>1.0246922269020193E-3</v>
      </c>
      <c r="R847" s="2">
        <f t="shared" si="56"/>
        <v>1.0246922269020193E-3</v>
      </c>
    </row>
    <row r="848" spans="1:18" x14ac:dyDescent="0.3">
      <c r="A848" s="1">
        <v>45446</v>
      </c>
      <c r="B848">
        <v>564.85</v>
      </c>
      <c r="C848">
        <f t="shared" si="53"/>
        <v>3.2160804020100547E-2</v>
      </c>
      <c r="D848" s="2">
        <f t="shared" si="54"/>
        <v>3.2160804020100547E-2</v>
      </c>
      <c r="O848" s="1">
        <v>45446</v>
      </c>
      <c r="P848">
        <v>76468.78</v>
      </c>
      <c r="Q848">
        <f t="shared" si="55"/>
        <v>3.3902455216112334E-2</v>
      </c>
      <c r="R848" s="2">
        <f t="shared" si="56"/>
        <v>3.3902455216112334E-2</v>
      </c>
    </row>
    <row r="849" spans="1:18" x14ac:dyDescent="0.3">
      <c r="A849" s="1">
        <v>45447</v>
      </c>
      <c r="B849">
        <v>516.35</v>
      </c>
      <c r="C849">
        <f t="shared" si="53"/>
        <v>-8.5863503585022566E-2</v>
      </c>
      <c r="D849" s="2">
        <f t="shared" si="54"/>
        <v>-8.5863503585022566E-2</v>
      </c>
      <c r="O849" s="1">
        <v>45447</v>
      </c>
      <c r="P849">
        <v>72079.05</v>
      </c>
      <c r="Q849">
        <f t="shared" si="55"/>
        <v>-5.7405518958194388E-2</v>
      </c>
      <c r="R849" s="2">
        <f t="shared" si="56"/>
        <v>-5.7405518958194388E-2</v>
      </c>
    </row>
    <row r="850" spans="1:18" x14ac:dyDescent="0.3">
      <c r="A850" s="1">
        <v>45448</v>
      </c>
      <c r="B850">
        <v>544.45000000000005</v>
      </c>
      <c r="C850">
        <f t="shared" si="53"/>
        <v>5.4420451244311073E-2</v>
      </c>
      <c r="D850" s="2">
        <f t="shared" si="54"/>
        <v>5.4420451244311073E-2</v>
      </c>
      <c r="O850" s="1">
        <v>45448</v>
      </c>
      <c r="P850">
        <v>74382.240000000005</v>
      </c>
      <c r="Q850">
        <f t="shared" si="55"/>
        <v>3.1953667535851292E-2</v>
      </c>
      <c r="R850" s="2">
        <f t="shared" si="56"/>
        <v>3.1953667535851292E-2</v>
      </c>
    </row>
    <row r="851" spans="1:18" x14ac:dyDescent="0.3">
      <c r="A851" s="1">
        <v>45449</v>
      </c>
      <c r="B851">
        <v>560.1</v>
      </c>
      <c r="C851">
        <f t="shared" si="53"/>
        <v>2.8744604646891315E-2</v>
      </c>
      <c r="D851" s="2">
        <f t="shared" si="54"/>
        <v>2.8744604646891315E-2</v>
      </c>
      <c r="O851" s="1">
        <v>45449</v>
      </c>
      <c r="P851">
        <v>75074.509999999995</v>
      </c>
      <c r="Q851">
        <f t="shared" si="55"/>
        <v>9.3069259543674607E-3</v>
      </c>
      <c r="R851" s="2">
        <f t="shared" si="56"/>
        <v>9.3069259543674607E-3</v>
      </c>
    </row>
    <row r="852" spans="1:18" x14ac:dyDescent="0.3">
      <c r="A852" s="1">
        <v>45450</v>
      </c>
      <c r="B852">
        <v>575.95000000000005</v>
      </c>
      <c r="C852">
        <f t="shared" si="53"/>
        <v>2.829851812176401E-2</v>
      </c>
      <c r="D852" s="2">
        <f t="shared" si="54"/>
        <v>2.829851812176401E-2</v>
      </c>
      <c r="O852" s="1">
        <v>45450</v>
      </c>
      <c r="P852">
        <v>76693.36</v>
      </c>
      <c r="Q852">
        <f t="shared" si="55"/>
        <v>2.1563244302227294E-2</v>
      </c>
      <c r="R852" s="2">
        <f t="shared" si="56"/>
        <v>2.1563244302227294E-2</v>
      </c>
    </row>
    <row r="853" spans="1:18" x14ac:dyDescent="0.3">
      <c r="A853" s="1">
        <v>45453</v>
      </c>
      <c r="B853">
        <v>567.70000000000005</v>
      </c>
      <c r="C853">
        <f t="shared" si="53"/>
        <v>-1.4324160083340566E-2</v>
      </c>
      <c r="D853" s="2">
        <f t="shared" si="54"/>
        <v>-1.4324160083340566E-2</v>
      </c>
      <c r="O853" s="1">
        <v>45453</v>
      </c>
      <c r="P853">
        <v>76490.080000000002</v>
      </c>
      <c r="Q853">
        <f t="shared" si="55"/>
        <v>-2.6505554066218878E-3</v>
      </c>
      <c r="R853" s="2">
        <f t="shared" si="56"/>
        <v>-2.6505554066218878E-3</v>
      </c>
    </row>
    <row r="854" spans="1:18" x14ac:dyDescent="0.3">
      <c r="A854" s="1">
        <v>45454</v>
      </c>
      <c r="B854">
        <v>602.79999999999995</v>
      </c>
      <c r="C854">
        <f t="shared" si="53"/>
        <v>6.1828430509071525E-2</v>
      </c>
      <c r="D854" s="2">
        <f t="shared" si="54"/>
        <v>6.1828430509071525E-2</v>
      </c>
      <c r="O854" s="1">
        <v>45454</v>
      </c>
      <c r="P854">
        <v>76456.59</v>
      </c>
      <c r="Q854">
        <f t="shared" si="55"/>
        <v>-4.3783455318657316E-4</v>
      </c>
      <c r="R854" s="2">
        <f t="shared" si="56"/>
        <v>-4.3783455318657316E-4</v>
      </c>
    </row>
    <row r="855" spans="1:18" x14ac:dyDescent="0.3">
      <c r="A855" s="1">
        <v>45455</v>
      </c>
      <c r="B855">
        <v>644.35</v>
      </c>
      <c r="C855">
        <f t="shared" si="53"/>
        <v>6.8928334439283465E-2</v>
      </c>
      <c r="D855" s="2">
        <f t="shared" si="54"/>
        <v>6.8928334439283465E-2</v>
      </c>
      <c r="O855" s="1">
        <v>45455</v>
      </c>
      <c r="P855">
        <v>76606.570000000007</v>
      </c>
      <c r="Q855">
        <f t="shared" si="55"/>
        <v>1.9616360080930953E-3</v>
      </c>
      <c r="R855" s="2">
        <f t="shared" si="56"/>
        <v>1.9616360080930953E-3</v>
      </c>
    </row>
    <row r="856" spans="1:18" x14ac:dyDescent="0.3">
      <c r="A856" s="1">
        <v>45456</v>
      </c>
      <c r="B856">
        <v>623.04999999999995</v>
      </c>
      <c r="C856">
        <f t="shared" si="53"/>
        <v>-3.3056568635058688E-2</v>
      </c>
      <c r="D856" s="2">
        <f t="shared" si="54"/>
        <v>-3.3056568635058688E-2</v>
      </c>
      <c r="O856" s="1">
        <v>45456</v>
      </c>
      <c r="P856">
        <v>76810.899999999994</v>
      </c>
      <c r="Q856">
        <f t="shared" si="55"/>
        <v>2.6672647006645406E-3</v>
      </c>
      <c r="R856" s="2">
        <f t="shared" si="56"/>
        <v>2.6672647006645406E-3</v>
      </c>
    </row>
    <row r="857" spans="1:18" x14ac:dyDescent="0.3">
      <c r="A857" s="1">
        <v>45457</v>
      </c>
      <c r="B857">
        <v>610.20000000000005</v>
      </c>
      <c r="C857">
        <f t="shared" si="53"/>
        <v>-2.0624347965652691E-2</v>
      </c>
      <c r="D857" s="2">
        <f t="shared" si="54"/>
        <v>-2.0624347965652691E-2</v>
      </c>
      <c r="O857" s="1">
        <v>45457</v>
      </c>
      <c r="P857">
        <v>76992.77</v>
      </c>
      <c r="Q857">
        <f t="shared" si="55"/>
        <v>2.3677629086498128E-3</v>
      </c>
      <c r="R857" s="2">
        <f t="shared" si="56"/>
        <v>2.3677629086498128E-3</v>
      </c>
    </row>
    <row r="858" spans="1:18" x14ac:dyDescent="0.3">
      <c r="A858" s="1">
        <v>45461</v>
      </c>
      <c r="B858">
        <v>589</v>
      </c>
      <c r="C858">
        <f t="shared" si="53"/>
        <v>-3.4742707309079066E-2</v>
      </c>
      <c r="D858" s="2">
        <f t="shared" si="54"/>
        <v>-3.4742707309079066E-2</v>
      </c>
      <c r="O858" s="1">
        <v>45461</v>
      </c>
      <c r="P858">
        <v>77301.14</v>
      </c>
      <c r="Q858">
        <f t="shared" si="55"/>
        <v>4.0051812657213833E-3</v>
      </c>
      <c r="R858" s="2">
        <f t="shared" si="56"/>
        <v>4.0051812657213833E-3</v>
      </c>
    </row>
    <row r="859" spans="1:18" x14ac:dyDescent="0.3">
      <c r="A859" s="1">
        <v>45462</v>
      </c>
      <c r="B859">
        <v>602</v>
      </c>
      <c r="C859">
        <f t="shared" si="53"/>
        <v>2.2071307300509338E-2</v>
      </c>
      <c r="D859" s="2">
        <f t="shared" si="54"/>
        <v>2.2071307300509338E-2</v>
      </c>
      <c r="O859" s="1">
        <v>45462</v>
      </c>
      <c r="P859">
        <v>77337.59</v>
      </c>
      <c r="Q859">
        <f t="shared" si="55"/>
        <v>4.7153250262540878E-4</v>
      </c>
      <c r="R859" s="2">
        <f t="shared" si="56"/>
        <v>4.7153250262540878E-4</v>
      </c>
    </row>
    <row r="860" spans="1:18" x14ac:dyDescent="0.3">
      <c r="A860" s="1">
        <v>45463</v>
      </c>
      <c r="B860">
        <v>592.5</v>
      </c>
      <c r="C860">
        <f t="shared" si="53"/>
        <v>-1.5780730897009966E-2</v>
      </c>
      <c r="D860" s="2">
        <f t="shared" si="54"/>
        <v>-1.5780730897009966E-2</v>
      </c>
      <c r="O860" s="1">
        <v>45463</v>
      </c>
      <c r="P860">
        <v>77478.929999999993</v>
      </c>
      <c r="Q860">
        <f t="shared" si="55"/>
        <v>1.8275718185683898E-3</v>
      </c>
      <c r="R860" s="2">
        <f t="shared" si="56"/>
        <v>1.8275718185683898E-3</v>
      </c>
    </row>
    <row r="861" spans="1:18" x14ac:dyDescent="0.3">
      <c r="A861" s="1">
        <v>45464</v>
      </c>
      <c r="B861">
        <v>609.6</v>
      </c>
      <c r="C861">
        <f t="shared" si="53"/>
        <v>2.8860759493670923E-2</v>
      </c>
      <c r="D861" s="2">
        <f t="shared" si="54"/>
        <v>2.8860759493670923E-2</v>
      </c>
      <c r="O861" s="1">
        <v>45464</v>
      </c>
      <c r="P861">
        <v>77209.899999999994</v>
      </c>
      <c r="Q861">
        <f t="shared" si="55"/>
        <v>-3.4722988559599218E-3</v>
      </c>
      <c r="R861" s="2">
        <f t="shared" si="56"/>
        <v>-3.4722988559599218E-3</v>
      </c>
    </row>
    <row r="862" spans="1:18" x14ac:dyDescent="0.3">
      <c r="A862" s="1">
        <v>45467</v>
      </c>
      <c r="B862">
        <v>619.54999999999995</v>
      </c>
      <c r="C862">
        <f t="shared" si="53"/>
        <v>1.6322178477690175E-2</v>
      </c>
      <c r="D862" s="2">
        <f t="shared" si="54"/>
        <v>1.6322178477690175E-2</v>
      </c>
      <c r="O862" s="1">
        <v>45467</v>
      </c>
      <c r="P862">
        <v>77341.08</v>
      </c>
      <c r="Q862">
        <f t="shared" si="55"/>
        <v>1.6990049203535762E-3</v>
      </c>
      <c r="R862" s="2">
        <f t="shared" si="56"/>
        <v>1.6990049203535762E-3</v>
      </c>
    </row>
    <row r="863" spans="1:18" x14ac:dyDescent="0.3">
      <c r="A863" s="1">
        <v>45468</v>
      </c>
      <c r="B863">
        <v>596.1</v>
      </c>
      <c r="C863">
        <f t="shared" si="53"/>
        <v>-3.7850052457428673E-2</v>
      </c>
      <c r="D863" s="2">
        <f t="shared" si="54"/>
        <v>-3.7850052457428673E-2</v>
      </c>
      <c r="O863" s="1">
        <v>45468</v>
      </c>
      <c r="P863">
        <v>78053.52</v>
      </c>
      <c r="Q863">
        <f t="shared" si="55"/>
        <v>9.2116634523335111E-3</v>
      </c>
      <c r="R863" s="2">
        <f t="shared" si="56"/>
        <v>9.2116634523335111E-3</v>
      </c>
    </row>
    <row r="864" spans="1:18" x14ac:dyDescent="0.3">
      <c r="A864" s="1">
        <v>45469</v>
      </c>
      <c r="B864">
        <v>594.54999999999995</v>
      </c>
      <c r="C864">
        <f t="shared" si="53"/>
        <v>-2.6002348599229461E-3</v>
      </c>
      <c r="D864" s="2">
        <f t="shared" si="54"/>
        <v>-2.6002348599229461E-3</v>
      </c>
      <c r="O864" s="1">
        <v>45469</v>
      </c>
      <c r="P864">
        <v>78674.25</v>
      </c>
      <c r="Q864">
        <f t="shared" si="55"/>
        <v>7.952620202138173E-3</v>
      </c>
      <c r="R864" s="2">
        <f t="shared" si="56"/>
        <v>7.952620202138173E-3</v>
      </c>
    </row>
    <row r="865" spans="1:18" x14ac:dyDescent="0.3">
      <c r="A865" s="1">
        <v>45470</v>
      </c>
      <c r="B865">
        <v>583.45000000000005</v>
      </c>
      <c r="C865">
        <f t="shared" si="53"/>
        <v>-1.8669582036834428E-2</v>
      </c>
      <c r="D865" s="2">
        <f t="shared" si="54"/>
        <v>-1.8669582036834428E-2</v>
      </c>
      <c r="O865" s="1">
        <v>45470</v>
      </c>
      <c r="P865">
        <v>79243.179999999993</v>
      </c>
      <c r="Q865">
        <f t="shared" si="55"/>
        <v>7.2314639160842714E-3</v>
      </c>
      <c r="R865" s="2">
        <f t="shared" si="56"/>
        <v>7.2314639160842714E-3</v>
      </c>
    </row>
    <row r="866" spans="1:18" x14ac:dyDescent="0.3">
      <c r="A866" s="1">
        <v>45471</v>
      </c>
      <c r="B866">
        <v>578.04999999999995</v>
      </c>
      <c r="C866">
        <f t="shared" si="53"/>
        <v>-9.2552917987832554E-3</v>
      </c>
      <c r="D866" s="2">
        <f t="shared" si="54"/>
        <v>-9.2552917987832554E-3</v>
      </c>
      <c r="O866" s="1">
        <v>45471</v>
      </c>
      <c r="P866">
        <v>79032.73</v>
      </c>
      <c r="Q866">
        <f t="shared" si="55"/>
        <v>-2.6557490499497511E-3</v>
      </c>
      <c r="R866" s="2">
        <f t="shared" si="56"/>
        <v>-2.6557490499497511E-3</v>
      </c>
    </row>
    <row r="867" spans="1:18" x14ac:dyDescent="0.3">
      <c r="A867" s="1">
        <v>45474</v>
      </c>
      <c r="B867">
        <v>587.85</v>
      </c>
      <c r="C867">
        <f t="shared" si="53"/>
        <v>1.695355073090575E-2</v>
      </c>
      <c r="D867" s="2">
        <f t="shared" si="54"/>
        <v>1.695355073090575E-2</v>
      </c>
      <c r="O867" s="1">
        <v>45474</v>
      </c>
      <c r="P867">
        <v>79476.19</v>
      </c>
      <c r="Q867">
        <f t="shared" si="55"/>
        <v>5.6110930243711233E-3</v>
      </c>
      <c r="R867" s="2">
        <f t="shared" si="56"/>
        <v>5.6110930243711233E-3</v>
      </c>
    </row>
    <row r="868" spans="1:18" x14ac:dyDescent="0.3">
      <c r="A868" s="1">
        <v>45475</v>
      </c>
      <c r="B868">
        <v>581.04999999999995</v>
      </c>
      <c r="C868">
        <f t="shared" si="53"/>
        <v>-1.1567576762779736E-2</v>
      </c>
      <c r="D868" s="2">
        <f t="shared" si="54"/>
        <v>-1.1567576762779736E-2</v>
      </c>
      <c r="O868" s="1">
        <v>45475</v>
      </c>
      <c r="P868">
        <v>79441.45</v>
      </c>
      <c r="Q868">
        <f t="shared" si="55"/>
        <v>-4.3711204575867612E-4</v>
      </c>
      <c r="R868" s="2">
        <f t="shared" si="56"/>
        <v>-4.3711204575867612E-4</v>
      </c>
    </row>
    <row r="869" spans="1:18" x14ac:dyDescent="0.3">
      <c r="A869" s="1">
        <v>45476</v>
      </c>
      <c r="B869">
        <v>590.4</v>
      </c>
      <c r="C869">
        <f t="shared" si="53"/>
        <v>1.6091558385681135E-2</v>
      </c>
      <c r="D869" s="2">
        <f t="shared" si="54"/>
        <v>1.6091558385681135E-2</v>
      </c>
      <c r="O869" s="1">
        <v>45476</v>
      </c>
      <c r="P869">
        <v>79986.8</v>
      </c>
      <c r="Q869">
        <f t="shared" si="55"/>
        <v>6.8648042048578654E-3</v>
      </c>
      <c r="R869" s="2">
        <f t="shared" si="56"/>
        <v>6.8648042048578654E-3</v>
      </c>
    </row>
    <row r="870" spans="1:18" x14ac:dyDescent="0.3">
      <c r="A870" s="1">
        <v>45477</v>
      </c>
      <c r="B870">
        <v>588.4</v>
      </c>
      <c r="C870">
        <f t="shared" si="53"/>
        <v>-3.3875338753387536E-3</v>
      </c>
      <c r="D870" s="2">
        <f t="shared" si="54"/>
        <v>-3.3875338753387536E-3</v>
      </c>
      <c r="O870" s="1">
        <v>45477</v>
      </c>
      <c r="P870">
        <v>80049.67</v>
      </c>
      <c r="Q870">
        <f t="shared" si="55"/>
        <v>7.8600469077391949E-4</v>
      </c>
      <c r="R870" s="2">
        <f t="shared" si="56"/>
        <v>7.8600469077391949E-4</v>
      </c>
    </row>
    <row r="871" spans="1:18" x14ac:dyDescent="0.3">
      <c r="A871" s="1">
        <v>45478</v>
      </c>
      <c r="B871">
        <v>606.15</v>
      </c>
      <c r="C871">
        <f t="shared" si="53"/>
        <v>3.0166553365057785E-2</v>
      </c>
      <c r="D871" s="2">
        <f t="shared" si="54"/>
        <v>3.0166553365057785E-2</v>
      </c>
      <c r="O871" s="1">
        <v>45478</v>
      </c>
      <c r="P871">
        <v>79996.600000000006</v>
      </c>
      <c r="Q871">
        <f t="shared" si="55"/>
        <v>-6.6296338260972757E-4</v>
      </c>
      <c r="R871" s="2">
        <f t="shared" si="56"/>
        <v>-6.6296338260972757E-4</v>
      </c>
    </row>
    <row r="872" spans="1:18" x14ac:dyDescent="0.3">
      <c r="A872" s="1">
        <v>45481</v>
      </c>
      <c r="B872">
        <v>588.20000000000005</v>
      </c>
      <c r="C872">
        <f t="shared" si="53"/>
        <v>-2.9613132063020593E-2</v>
      </c>
      <c r="D872" s="2">
        <f t="shared" si="54"/>
        <v>-2.9613132063020593E-2</v>
      </c>
      <c r="O872" s="1">
        <v>45481</v>
      </c>
      <c r="P872">
        <v>79960.38</v>
      </c>
      <c r="Q872">
        <f t="shared" si="55"/>
        <v>-4.5276924269282894E-4</v>
      </c>
      <c r="R872" s="2">
        <f t="shared" si="56"/>
        <v>-4.5276924269282894E-4</v>
      </c>
    </row>
    <row r="873" spans="1:18" x14ac:dyDescent="0.3">
      <c r="A873" s="1">
        <v>45482</v>
      </c>
      <c r="B873">
        <v>587</v>
      </c>
      <c r="C873">
        <f t="shared" si="53"/>
        <v>-2.0401224073445176E-3</v>
      </c>
      <c r="D873" s="2">
        <f t="shared" si="54"/>
        <v>-2.0401224073445176E-3</v>
      </c>
      <c r="O873" s="1">
        <v>45482</v>
      </c>
      <c r="P873">
        <v>80351.64</v>
      </c>
      <c r="Q873">
        <f t="shared" si="55"/>
        <v>4.8931733440985992E-3</v>
      </c>
      <c r="R873" s="2">
        <f t="shared" si="56"/>
        <v>4.8931733440985992E-3</v>
      </c>
    </row>
    <row r="874" spans="1:18" x14ac:dyDescent="0.3">
      <c r="A874" s="1">
        <v>45483</v>
      </c>
      <c r="B874">
        <v>580.54999999999995</v>
      </c>
      <c r="C874">
        <f t="shared" si="53"/>
        <v>-1.0988074957410639E-2</v>
      </c>
      <c r="D874" s="2">
        <f t="shared" si="54"/>
        <v>-1.0988074957410639E-2</v>
      </c>
      <c r="O874" s="1">
        <v>45483</v>
      </c>
      <c r="P874">
        <v>79924.77</v>
      </c>
      <c r="Q874">
        <f t="shared" si="55"/>
        <v>-5.3125238016298775E-3</v>
      </c>
      <c r="R874" s="2">
        <f t="shared" si="56"/>
        <v>-5.3125238016298775E-3</v>
      </c>
    </row>
    <row r="875" spans="1:18" x14ac:dyDescent="0.3">
      <c r="A875" s="1">
        <v>45484</v>
      </c>
      <c r="B875">
        <v>586.25</v>
      </c>
      <c r="C875">
        <f t="shared" si="53"/>
        <v>9.818275772973983E-3</v>
      </c>
      <c r="D875" s="2">
        <f t="shared" si="54"/>
        <v>9.818275772973983E-3</v>
      </c>
      <c r="O875" s="1">
        <v>45484</v>
      </c>
      <c r="P875">
        <v>79897.34</v>
      </c>
      <c r="Q875">
        <f t="shared" si="55"/>
        <v>-3.4319773456974059E-4</v>
      </c>
      <c r="R875" s="2">
        <f t="shared" si="56"/>
        <v>-3.4319773456974059E-4</v>
      </c>
    </row>
    <row r="876" spans="1:18" x14ac:dyDescent="0.3">
      <c r="A876" s="1">
        <v>45485</v>
      </c>
      <c r="B876">
        <v>577.20000000000005</v>
      </c>
      <c r="C876">
        <f t="shared" si="53"/>
        <v>-1.5437100213219538E-2</v>
      </c>
      <c r="D876" s="2">
        <f t="shared" si="54"/>
        <v>-1.5437100213219538E-2</v>
      </c>
      <c r="O876" s="1">
        <v>45485</v>
      </c>
      <c r="P876">
        <v>80519.34</v>
      </c>
      <c r="Q876">
        <f t="shared" si="55"/>
        <v>7.7849900885311081E-3</v>
      </c>
      <c r="R876" s="2">
        <f t="shared" si="56"/>
        <v>7.7849900885311081E-3</v>
      </c>
    </row>
    <row r="877" spans="1:18" x14ac:dyDescent="0.3">
      <c r="A877" s="1">
        <v>45488</v>
      </c>
      <c r="B877">
        <v>597.70000000000005</v>
      </c>
      <c r="C877">
        <f t="shared" si="53"/>
        <v>3.5516285516285516E-2</v>
      </c>
      <c r="D877" s="2">
        <f t="shared" si="54"/>
        <v>3.5516285516285516E-2</v>
      </c>
      <c r="O877" s="1">
        <v>45488</v>
      </c>
      <c r="P877">
        <v>80664.86</v>
      </c>
      <c r="Q877">
        <f t="shared" si="55"/>
        <v>1.8072676701026621E-3</v>
      </c>
      <c r="R877" s="2">
        <f t="shared" si="56"/>
        <v>1.8072676701026621E-3</v>
      </c>
    </row>
    <row r="878" spans="1:18" x14ac:dyDescent="0.3">
      <c r="A878" s="1">
        <v>45489</v>
      </c>
      <c r="B878">
        <v>605.85</v>
      </c>
      <c r="C878">
        <f t="shared" si="53"/>
        <v>1.3635603145390624E-2</v>
      </c>
      <c r="D878" s="2">
        <f t="shared" si="54"/>
        <v>1.3635603145390624E-2</v>
      </c>
      <c r="O878" s="1">
        <v>45489</v>
      </c>
      <c r="P878">
        <v>80716.55</v>
      </c>
      <c r="Q878">
        <f t="shared" si="55"/>
        <v>6.4079947575688262E-4</v>
      </c>
      <c r="R878" s="2">
        <f t="shared" si="56"/>
        <v>6.4079947575688262E-4</v>
      </c>
    </row>
    <row r="879" spans="1:18" x14ac:dyDescent="0.3">
      <c r="A879" s="1">
        <v>45491</v>
      </c>
      <c r="B879">
        <v>589.45000000000005</v>
      </c>
      <c r="C879">
        <f t="shared" si="53"/>
        <v>-2.7069406618799995E-2</v>
      </c>
      <c r="D879" s="2">
        <f t="shared" si="54"/>
        <v>-2.7069406618799995E-2</v>
      </c>
      <c r="O879" s="1">
        <v>45491</v>
      </c>
      <c r="P879">
        <v>81343.460000000006</v>
      </c>
      <c r="Q879">
        <f t="shared" si="55"/>
        <v>7.7668086656330513E-3</v>
      </c>
      <c r="R879" s="2">
        <f t="shared" si="56"/>
        <v>7.7668086656330513E-3</v>
      </c>
    </row>
    <row r="880" spans="1:18" x14ac:dyDescent="0.3">
      <c r="A880" s="1">
        <v>45492</v>
      </c>
      <c r="B880">
        <v>572.04999999999995</v>
      </c>
      <c r="C880">
        <f t="shared" si="53"/>
        <v>-2.9519043175842037E-2</v>
      </c>
      <c r="D880" s="2">
        <f t="shared" si="54"/>
        <v>-2.9519043175842037E-2</v>
      </c>
      <c r="O880" s="1">
        <v>45492</v>
      </c>
      <c r="P880">
        <v>80604.649999999994</v>
      </c>
      <c r="Q880">
        <f t="shared" si="55"/>
        <v>-9.0825986502173894E-3</v>
      </c>
      <c r="R880" s="2">
        <f t="shared" si="56"/>
        <v>-9.0825986502173894E-3</v>
      </c>
    </row>
    <row r="881" spans="1:18" x14ac:dyDescent="0.3">
      <c r="A881" s="1">
        <v>45495</v>
      </c>
      <c r="B881">
        <v>571.29999999999995</v>
      </c>
      <c r="C881">
        <f t="shared" si="53"/>
        <v>-1.311074206800105E-3</v>
      </c>
      <c r="D881" s="2">
        <f t="shared" si="54"/>
        <v>-1.311074206800105E-3</v>
      </c>
      <c r="O881" s="1">
        <v>45495</v>
      </c>
      <c r="P881">
        <v>80502.080000000002</v>
      </c>
      <c r="Q881">
        <f t="shared" si="55"/>
        <v>-1.2725072312824686E-3</v>
      </c>
      <c r="R881" s="2">
        <f t="shared" si="56"/>
        <v>-1.2725072312824686E-3</v>
      </c>
    </row>
    <row r="882" spans="1:18" x14ac:dyDescent="0.3">
      <c r="A882" s="1">
        <v>45496</v>
      </c>
      <c r="B882">
        <v>568.5</v>
      </c>
      <c r="C882">
        <f t="shared" si="53"/>
        <v>-4.9011027481182471E-3</v>
      </c>
      <c r="D882" s="2">
        <f t="shared" si="54"/>
        <v>-4.9011027481182471E-3</v>
      </c>
      <c r="O882" s="1">
        <v>45496</v>
      </c>
      <c r="P882">
        <v>80429.039999999994</v>
      </c>
      <c r="Q882">
        <f t="shared" si="55"/>
        <v>-9.073057491186333E-4</v>
      </c>
      <c r="R882" s="2">
        <f t="shared" si="56"/>
        <v>-9.073057491186333E-4</v>
      </c>
    </row>
    <row r="883" spans="1:18" x14ac:dyDescent="0.3">
      <c r="A883" s="1">
        <v>45497</v>
      </c>
      <c r="B883">
        <v>591.70000000000005</v>
      </c>
      <c r="C883">
        <f t="shared" si="53"/>
        <v>4.0809146877748538E-2</v>
      </c>
      <c r="D883" s="2">
        <f t="shared" si="54"/>
        <v>4.0809146877748538E-2</v>
      </c>
      <c r="O883" s="1">
        <v>45497</v>
      </c>
      <c r="P883">
        <v>80148.88</v>
      </c>
      <c r="Q883">
        <f t="shared" si="55"/>
        <v>-3.4833189604151554E-3</v>
      </c>
      <c r="R883" s="2">
        <f t="shared" si="56"/>
        <v>-3.4833189604151554E-3</v>
      </c>
    </row>
    <row r="884" spans="1:18" x14ac:dyDescent="0.3">
      <c r="A884" s="1">
        <v>45498</v>
      </c>
      <c r="B884">
        <v>578.6</v>
      </c>
      <c r="C884">
        <f t="shared" si="53"/>
        <v>-2.2139597769139804E-2</v>
      </c>
      <c r="D884" s="2">
        <f t="shared" si="54"/>
        <v>-2.2139597769139804E-2</v>
      </c>
      <c r="O884" s="1">
        <v>45498</v>
      </c>
      <c r="P884">
        <v>80039.8</v>
      </c>
      <c r="Q884">
        <f t="shared" si="55"/>
        <v>-1.3609672399664441E-3</v>
      </c>
      <c r="R884" s="2">
        <f t="shared" si="56"/>
        <v>-1.3609672399664441E-3</v>
      </c>
    </row>
    <row r="885" spans="1:18" x14ac:dyDescent="0.3">
      <c r="A885" s="1">
        <v>45499</v>
      </c>
      <c r="B885">
        <v>594.9</v>
      </c>
      <c r="C885">
        <f t="shared" si="53"/>
        <v>2.8171448323539499E-2</v>
      </c>
      <c r="D885" s="2">
        <f t="shared" si="54"/>
        <v>2.8171448323539499E-2</v>
      </c>
      <c r="O885" s="1">
        <v>45499</v>
      </c>
      <c r="P885">
        <v>81332.72</v>
      </c>
      <c r="Q885">
        <f t="shared" si="55"/>
        <v>1.6153463651833191E-2</v>
      </c>
      <c r="R885" s="2">
        <f t="shared" si="56"/>
        <v>1.6153463651833191E-2</v>
      </c>
    </row>
    <row r="886" spans="1:18" x14ac:dyDescent="0.3">
      <c r="A886" s="1">
        <v>45502</v>
      </c>
      <c r="B886">
        <v>592.25</v>
      </c>
      <c r="C886">
        <f t="shared" si="53"/>
        <v>-4.4545301731383049E-3</v>
      </c>
      <c r="D886" s="2">
        <f t="shared" si="54"/>
        <v>-4.4545301731383049E-3</v>
      </c>
      <c r="O886" s="1">
        <v>45502</v>
      </c>
      <c r="P886">
        <v>81355.839999999997</v>
      </c>
      <c r="Q886">
        <f t="shared" si="55"/>
        <v>2.8426443871538222E-4</v>
      </c>
      <c r="R886" s="2">
        <f t="shared" si="56"/>
        <v>2.8426443871538222E-4</v>
      </c>
    </row>
    <row r="887" spans="1:18" x14ac:dyDescent="0.3">
      <c r="A887" s="1">
        <v>45503</v>
      </c>
      <c r="B887">
        <v>595.29999999999995</v>
      </c>
      <c r="C887">
        <f t="shared" si="53"/>
        <v>5.1498522583367746E-3</v>
      </c>
      <c r="D887" s="2">
        <f t="shared" si="54"/>
        <v>5.1498522583367746E-3</v>
      </c>
      <c r="O887" s="1">
        <v>45503</v>
      </c>
      <c r="P887">
        <v>81455.399999999994</v>
      </c>
      <c r="Q887">
        <f t="shared" si="55"/>
        <v>1.2237597202609878E-3</v>
      </c>
      <c r="R887" s="2">
        <f t="shared" si="56"/>
        <v>1.2237597202609878E-3</v>
      </c>
    </row>
    <row r="888" spans="1:18" x14ac:dyDescent="0.3">
      <c r="A888" s="1">
        <v>45504</v>
      </c>
      <c r="B888">
        <v>559.79999999999995</v>
      </c>
      <c r="C888">
        <f t="shared" si="53"/>
        <v>-5.9633798084999162E-2</v>
      </c>
      <c r="D888" s="2">
        <f t="shared" si="54"/>
        <v>-5.9633798084999162E-2</v>
      </c>
      <c r="O888" s="1">
        <v>45504</v>
      </c>
      <c r="P888">
        <v>81741.34</v>
      </c>
      <c r="Q888">
        <f t="shared" si="55"/>
        <v>3.5103872794191955E-3</v>
      </c>
      <c r="R888" s="2">
        <f t="shared" si="56"/>
        <v>3.5103872794191955E-3</v>
      </c>
    </row>
    <row r="889" spans="1:18" x14ac:dyDescent="0.3">
      <c r="A889" s="1">
        <v>45505</v>
      </c>
      <c r="B889">
        <v>553.04999999999995</v>
      </c>
      <c r="C889">
        <f t="shared" si="53"/>
        <v>-1.2057877813504824E-2</v>
      </c>
      <c r="D889" s="2">
        <f t="shared" si="54"/>
        <v>-1.2057877813504824E-2</v>
      </c>
      <c r="O889" s="1">
        <v>45505</v>
      </c>
      <c r="P889">
        <v>81867.55</v>
      </c>
      <c r="Q889">
        <f t="shared" si="55"/>
        <v>1.5440167729083767E-3</v>
      </c>
      <c r="R889" s="2">
        <f t="shared" si="56"/>
        <v>1.5440167729083767E-3</v>
      </c>
    </row>
    <row r="890" spans="1:18" x14ac:dyDescent="0.3">
      <c r="A890" s="1">
        <v>45506</v>
      </c>
      <c r="B890">
        <v>557.9</v>
      </c>
      <c r="C890">
        <f t="shared" si="53"/>
        <v>8.7695506735376971E-3</v>
      </c>
      <c r="D890" s="2">
        <f t="shared" si="54"/>
        <v>8.7695506735376971E-3</v>
      </c>
      <c r="O890" s="1">
        <v>45506</v>
      </c>
      <c r="P890">
        <v>80981.95</v>
      </c>
      <c r="Q890">
        <f t="shared" si="55"/>
        <v>-1.0817472857072257E-2</v>
      </c>
      <c r="R890" s="2">
        <f t="shared" si="56"/>
        <v>-1.0817472857072257E-2</v>
      </c>
    </row>
    <row r="891" spans="1:18" x14ac:dyDescent="0.3">
      <c r="A891" s="1">
        <v>45509</v>
      </c>
      <c r="B891">
        <v>530.85</v>
      </c>
      <c r="C891">
        <f t="shared" si="53"/>
        <v>-4.8485391647248528E-2</v>
      </c>
      <c r="D891" s="2">
        <f t="shared" si="54"/>
        <v>-4.8485391647248528E-2</v>
      </c>
      <c r="O891" s="1">
        <v>45509</v>
      </c>
      <c r="P891">
        <v>78759.399999999994</v>
      </c>
      <c r="Q891">
        <f t="shared" si="55"/>
        <v>-2.7445004720187682E-2</v>
      </c>
      <c r="R891" s="2">
        <f t="shared" si="56"/>
        <v>-2.7445004720187682E-2</v>
      </c>
    </row>
    <row r="892" spans="1:18" x14ac:dyDescent="0.3">
      <c r="A892" s="1">
        <v>45510</v>
      </c>
      <c r="B892">
        <v>521.70000000000005</v>
      </c>
      <c r="C892">
        <f t="shared" si="53"/>
        <v>-1.7236507487990913E-2</v>
      </c>
      <c r="D892" s="2">
        <f t="shared" si="54"/>
        <v>-1.7236507487990913E-2</v>
      </c>
      <c r="O892" s="1">
        <v>45510</v>
      </c>
      <c r="P892">
        <v>78593.070000000007</v>
      </c>
      <c r="Q892">
        <f t="shared" si="55"/>
        <v>-2.1118749000117727E-3</v>
      </c>
      <c r="R892" s="2">
        <f t="shared" si="56"/>
        <v>-2.1118749000117727E-3</v>
      </c>
    </row>
    <row r="893" spans="1:18" x14ac:dyDescent="0.3">
      <c r="A893" s="1">
        <v>45511</v>
      </c>
      <c r="B893">
        <v>557.29999999999995</v>
      </c>
      <c r="C893">
        <f t="shared" si="53"/>
        <v>6.8238451217174437E-2</v>
      </c>
      <c r="D893" s="2">
        <f t="shared" si="54"/>
        <v>6.8238451217174437E-2</v>
      </c>
      <c r="O893" s="1">
        <v>45511</v>
      </c>
      <c r="P893">
        <v>79468.009999999995</v>
      </c>
      <c r="Q893">
        <f t="shared" si="55"/>
        <v>1.1132533695400723E-2</v>
      </c>
      <c r="R893" s="2">
        <f t="shared" si="56"/>
        <v>1.1132533695400723E-2</v>
      </c>
    </row>
    <row r="894" spans="1:18" x14ac:dyDescent="0.3">
      <c r="A894" s="1">
        <v>45512</v>
      </c>
      <c r="B894">
        <v>555.79999999999995</v>
      </c>
      <c r="C894">
        <f t="shared" si="53"/>
        <v>-2.6915485375919616E-3</v>
      </c>
      <c r="D894" s="2">
        <f t="shared" si="54"/>
        <v>-2.6915485375919616E-3</v>
      </c>
      <c r="O894" s="1">
        <v>45512</v>
      </c>
      <c r="P894">
        <v>78886.22</v>
      </c>
      <c r="Q894">
        <f t="shared" si="55"/>
        <v>-7.3210591280691894E-3</v>
      </c>
      <c r="R894" s="2">
        <f t="shared" si="56"/>
        <v>-7.3210591280691894E-3</v>
      </c>
    </row>
    <row r="895" spans="1:18" x14ac:dyDescent="0.3">
      <c r="A895" s="1">
        <v>45513</v>
      </c>
      <c r="B895">
        <v>553.9</v>
      </c>
      <c r="C895">
        <f t="shared" si="53"/>
        <v>-3.4184958618207581E-3</v>
      </c>
      <c r="D895" s="2">
        <f t="shared" si="54"/>
        <v>-3.4184958618207581E-3</v>
      </c>
      <c r="O895" s="1">
        <v>45513</v>
      </c>
      <c r="P895">
        <v>79705.91</v>
      </c>
      <c r="Q895">
        <f t="shared" si="55"/>
        <v>1.0390788150325904E-2</v>
      </c>
      <c r="R895" s="2">
        <f t="shared" si="56"/>
        <v>1.0390788150325904E-2</v>
      </c>
    </row>
    <row r="896" spans="1:18" x14ac:dyDescent="0.3">
      <c r="A896" s="1">
        <v>45516</v>
      </c>
      <c r="B896">
        <v>541.85</v>
      </c>
      <c r="C896">
        <f t="shared" si="53"/>
        <v>-2.1754829391586846E-2</v>
      </c>
      <c r="D896" s="2">
        <f t="shared" si="54"/>
        <v>-2.1754829391586846E-2</v>
      </c>
      <c r="O896" s="1">
        <v>45516</v>
      </c>
      <c r="P896">
        <v>79648.92</v>
      </c>
      <c r="Q896">
        <f t="shared" si="55"/>
        <v>-7.1500344202839205E-4</v>
      </c>
      <c r="R896" s="2">
        <f t="shared" si="56"/>
        <v>-7.1500344202839205E-4</v>
      </c>
    </row>
    <row r="897" spans="1:18" x14ac:dyDescent="0.3">
      <c r="A897" s="1">
        <v>45517</v>
      </c>
      <c r="B897">
        <v>528.25</v>
      </c>
      <c r="C897">
        <f t="shared" si="53"/>
        <v>-2.5099197194795649E-2</v>
      </c>
      <c r="D897" s="2">
        <f t="shared" si="54"/>
        <v>-2.5099197194795649E-2</v>
      </c>
      <c r="O897" s="1">
        <v>45517</v>
      </c>
      <c r="P897">
        <v>78956.03</v>
      </c>
      <c r="Q897">
        <f t="shared" si="55"/>
        <v>-8.6993018863281441E-3</v>
      </c>
      <c r="R897" s="2">
        <f t="shared" si="56"/>
        <v>-8.6993018863281441E-3</v>
      </c>
    </row>
    <row r="898" spans="1:18" x14ac:dyDescent="0.3">
      <c r="A898" s="1">
        <v>45518</v>
      </c>
      <c r="B898">
        <v>521.70000000000005</v>
      </c>
      <c r="C898">
        <f t="shared" si="53"/>
        <v>-1.2399432087079896E-2</v>
      </c>
      <c r="D898" s="2">
        <f t="shared" si="54"/>
        <v>-1.2399432087079896E-2</v>
      </c>
      <c r="O898" s="1">
        <v>45518</v>
      </c>
      <c r="P898">
        <v>79105.88</v>
      </c>
      <c r="Q898">
        <f t="shared" si="55"/>
        <v>1.8978917759670266E-3</v>
      </c>
      <c r="R898" s="2">
        <f t="shared" si="56"/>
        <v>1.8978917759670266E-3</v>
      </c>
    </row>
    <row r="899" spans="1:18" x14ac:dyDescent="0.3">
      <c r="A899" s="1">
        <v>45520</v>
      </c>
      <c r="B899">
        <v>531.5</v>
      </c>
      <c r="C899">
        <f t="shared" si="53"/>
        <v>1.8784742188997419E-2</v>
      </c>
      <c r="D899" s="2">
        <f t="shared" si="54"/>
        <v>1.8784742188997419E-2</v>
      </c>
      <c r="O899" s="1">
        <v>45520</v>
      </c>
      <c r="P899">
        <v>80436.84</v>
      </c>
      <c r="Q899">
        <f t="shared" si="55"/>
        <v>1.6825045116747223E-2</v>
      </c>
      <c r="R899" s="2">
        <f t="shared" si="56"/>
        <v>1.6825045116747223E-2</v>
      </c>
    </row>
    <row r="900" spans="1:18" x14ac:dyDescent="0.3">
      <c r="A900" s="1">
        <v>45523</v>
      </c>
      <c r="B900">
        <v>534.29999999999995</v>
      </c>
      <c r="C900">
        <f t="shared" ref="C900:C963" si="57">(B900-B899)/B899</f>
        <v>5.2681091251175058E-3</v>
      </c>
      <c r="D900" s="2">
        <f t="shared" ref="D900:D963" si="58">(B900-B899)/B899</f>
        <v>5.2681091251175058E-3</v>
      </c>
      <c r="O900" s="1">
        <v>45523</v>
      </c>
      <c r="P900">
        <v>80424.679999999993</v>
      </c>
      <c r="Q900">
        <f t="shared" ref="Q900:Q963" si="59">(P900-P899)/P899</f>
        <v>-1.5117451157956345E-4</v>
      </c>
      <c r="R900" s="2">
        <f t="shared" ref="R900:R963" si="60">(P900-P899)/P899</f>
        <v>-1.5117451157956345E-4</v>
      </c>
    </row>
    <row r="901" spans="1:18" x14ac:dyDescent="0.3">
      <c r="A901" s="1">
        <v>45524</v>
      </c>
      <c r="B901">
        <v>544.5</v>
      </c>
      <c r="C901">
        <f t="shared" si="57"/>
        <v>1.9090398652442536E-2</v>
      </c>
      <c r="D901" s="2">
        <f t="shared" si="58"/>
        <v>1.9090398652442536E-2</v>
      </c>
      <c r="O901" s="1">
        <v>45524</v>
      </c>
      <c r="P901">
        <v>80802.86</v>
      </c>
      <c r="Q901">
        <f t="shared" si="59"/>
        <v>4.7022879046582167E-3</v>
      </c>
      <c r="R901" s="2">
        <f t="shared" si="60"/>
        <v>4.7022879046582167E-3</v>
      </c>
    </row>
    <row r="902" spans="1:18" x14ac:dyDescent="0.3">
      <c r="A902" s="1">
        <v>45525</v>
      </c>
      <c r="B902">
        <v>550.4</v>
      </c>
      <c r="C902">
        <f t="shared" si="57"/>
        <v>1.0835629017447158E-2</v>
      </c>
      <c r="D902" s="2">
        <f t="shared" si="58"/>
        <v>1.0835629017447158E-2</v>
      </c>
      <c r="O902" s="1">
        <v>45525</v>
      </c>
      <c r="P902">
        <v>80905.3</v>
      </c>
      <c r="Q902">
        <f t="shared" si="59"/>
        <v>1.2677769078966057E-3</v>
      </c>
      <c r="R902" s="2">
        <f t="shared" si="60"/>
        <v>1.2677769078966057E-3</v>
      </c>
    </row>
    <row r="903" spans="1:18" x14ac:dyDescent="0.3">
      <c r="A903" s="1">
        <v>45526</v>
      </c>
      <c r="B903">
        <v>550.6</v>
      </c>
      <c r="C903">
        <f t="shared" si="57"/>
        <v>3.6337209302333843E-4</v>
      </c>
      <c r="D903" s="2">
        <f t="shared" si="58"/>
        <v>3.6337209302333843E-4</v>
      </c>
      <c r="O903" s="1">
        <v>45526</v>
      </c>
      <c r="P903">
        <v>81053.19</v>
      </c>
      <c r="Q903">
        <f t="shared" si="59"/>
        <v>1.827939578742053E-3</v>
      </c>
      <c r="R903" s="2">
        <f t="shared" si="60"/>
        <v>1.827939578742053E-3</v>
      </c>
    </row>
    <row r="904" spans="1:18" x14ac:dyDescent="0.3">
      <c r="A904" s="1">
        <v>45527</v>
      </c>
      <c r="B904">
        <v>575.9</v>
      </c>
      <c r="C904">
        <f t="shared" si="57"/>
        <v>4.5949872865964317E-2</v>
      </c>
      <c r="D904" s="2">
        <f t="shared" si="58"/>
        <v>4.5949872865964317E-2</v>
      </c>
      <c r="O904" s="1">
        <v>45527</v>
      </c>
      <c r="P904">
        <v>81086.210000000006</v>
      </c>
      <c r="Q904">
        <f t="shared" si="59"/>
        <v>4.0738680365330561E-4</v>
      </c>
      <c r="R904" s="2">
        <f t="shared" si="60"/>
        <v>4.0738680365330561E-4</v>
      </c>
    </row>
    <row r="905" spans="1:18" x14ac:dyDescent="0.3">
      <c r="A905" s="1">
        <v>45530</v>
      </c>
      <c r="B905">
        <v>590.29999999999995</v>
      </c>
      <c r="C905">
        <f t="shared" si="57"/>
        <v>2.5004341031429029E-2</v>
      </c>
      <c r="D905" s="2">
        <f t="shared" si="58"/>
        <v>2.5004341031429029E-2</v>
      </c>
      <c r="O905" s="1">
        <v>45530</v>
      </c>
      <c r="P905">
        <v>81698.11</v>
      </c>
      <c r="Q905">
        <f t="shared" si="59"/>
        <v>7.5462893135589161E-3</v>
      </c>
      <c r="R905" s="2">
        <f t="shared" si="60"/>
        <v>7.5462893135589161E-3</v>
      </c>
    </row>
    <row r="906" spans="1:18" x14ac:dyDescent="0.3">
      <c r="A906" s="1">
        <v>45531</v>
      </c>
      <c r="B906">
        <v>594.29999999999995</v>
      </c>
      <c r="C906">
        <f t="shared" si="57"/>
        <v>6.7762154836523807E-3</v>
      </c>
      <c r="D906" s="2">
        <f t="shared" si="58"/>
        <v>6.7762154836523807E-3</v>
      </c>
      <c r="O906" s="1">
        <v>45531</v>
      </c>
      <c r="P906">
        <v>81711.759999999995</v>
      </c>
      <c r="Q906">
        <f t="shared" si="59"/>
        <v>1.6707852849954765E-4</v>
      </c>
      <c r="R906" s="2">
        <f t="shared" si="60"/>
        <v>1.6707852849954765E-4</v>
      </c>
    </row>
    <row r="907" spans="1:18" x14ac:dyDescent="0.3">
      <c r="A907" s="1">
        <v>45532</v>
      </c>
      <c r="B907">
        <v>592.4</v>
      </c>
      <c r="C907">
        <f t="shared" si="57"/>
        <v>-3.1970385327275406E-3</v>
      </c>
      <c r="D907" s="2">
        <f t="shared" si="58"/>
        <v>-3.1970385327275406E-3</v>
      </c>
      <c r="O907" s="1">
        <v>45532</v>
      </c>
      <c r="P907">
        <v>81785.56</v>
      </c>
      <c r="Q907">
        <f t="shared" si="59"/>
        <v>9.0317476945794481E-4</v>
      </c>
      <c r="R907" s="2">
        <f t="shared" si="60"/>
        <v>9.0317476945794481E-4</v>
      </c>
    </row>
    <row r="908" spans="1:18" x14ac:dyDescent="0.3">
      <c r="A908" s="1">
        <v>45533</v>
      </c>
      <c r="B908">
        <v>584.5</v>
      </c>
      <c r="C908">
        <f t="shared" si="57"/>
        <v>-1.333558406482103E-2</v>
      </c>
      <c r="D908" s="2">
        <f t="shared" si="58"/>
        <v>-1.333558406482103E-2</v>
      </c>
      <c r="O908" s="1">
        <v>45533</v>
      </c>
      <c r="P908">
        <v>82134.61</v>
      </c>
      <c r="Q908">
        <f t="shared" si="59"/>
        <v>4.2678683131839278E-3</v>
      </c>
      <c r="R908" s="2">
        <f t="shared" si="60"/>
        <v>4.2678683131839278E-3</v>
      </c>
    </row>
    <row r="909" spans="1:18" x14ac:dyDescent="0.3">
      <c r="A909" s="1">
        <v>45534</v>
      </c>
      <c r="B909">
        <v>579.54999999999995</v>
      </c>
      <c r="C909">
        <f t="shared" si="57"/>
        <v>-8.468776732249864E-3</v>
      </c>
      <c r="D909" s="2">
        <f t="shared" si="58"/>
        <v>-8.468776732249864E-3</v>
      </c>
      <c r="O909" s="1">
        <v>45534</v>
      </c>
      <c r="P909">
        <v>82365.77</v>
      </c>
      <c r="Q909">
        <f t="shared" si="59"/>
        <v>2.8144043053227319E-3</v>
      </c>
      <c r="R909" s="2">
        <f t="shared" si="60"/>
        <v>2.8144043053227319E-3</v>
      </c>
    </row>
    <row r="910" spans="1:18" x14ac:dyDescent="0.3">
      <c r="A910" s="1">
        <v>45537</v>
      </c>
      <c r="B910">
        <v>576.29999999999995</v>
      </c>
      <c r="C910">
        <f t="shared" si="57"/>
        <v>-5.6077991545164354E-3</v>
      </c>
      <c r="D910" s="2">
        <f t="shared" si="58"/>
        <v>-5.6077991545164354E-3</v>
      </c>
      <c r="O910" s="1">
        <v>45537</v>
      </c>
      <c r="P910">
        <v>82559.839999999997</v>
      </c>
      <c r="Q910">
        <f t="shared" si="59"/>
        <v>2.3561972406740375E-3</v>
      </c>
      <c r="R910" s="2">
        <f t="shared" si="60"/>
        <v>2.3561972406740375E-3</v>
      </c>
    </row>
    <row r="911" spans="1:18" x14ac:dyDescent="0.3">
      <c r="A911" s="1">
        <v>45538</v>
      </c>
      <c r="B911">
        <v>564.4</v>
      </c>
      <c r="C911">
        <f t="shared" si="57"/>
        <v>-2.064896755162238E-2</v>
      </c>
      <c r="D911" s="2">
        <f t="shared" si="58"/>
        <v>-2.064896755162238E-2</v>
      </c>
      <c r="O911" s="1">
        <v>45538</v>
      </c>
      <c r="P911">
        <v>82555.44</v>
      </c>
      <c r="Q911">
        <f t="shared" si="59"/>
        <v>-5.3294676927597962E-5</v>
      </c>
      <c r="R911" s="2">
        <f t="shared" si="60"/>
        <v>-5.3294676927597962E-5</v>
      </c>
    </row>
    <row r="912" spans="1:18" x14ac:dyDescent="0.3">
      <c r="A912" s="1">
        <v>45539</v>
      </c>
      <c r="B912">
        <v>557.54999999999995</v>
      </c>
      <c r="C912">
        <f t="shared" si="57"/>
        <v>-1.213678242381294E-2</v>
      </c>
      <c r="D912" s="2">
        <f t="shared" si="58"/>
        <v>-1.213678242381294E-2</v>
      </c>
      <c r="O912" s="1">
        <v>45539</v>
      </c>
      <c r="P912">
        <v>82352.639999999999</v>
      </c>
      <c r="Q912">
        <f t="shared" si="59"/>
        <v>-2.4565310293301434E-3</v>
      </c>
      <c r="R912" s="2">
        <f t="shared" si="60"/>
        <v>-2.4565310293301434E-3</v>
      </c>
    </row>
    <row r="913" spans="1:18" x14ac:dyDescent="0.3">
      <c r="A913" s="1">
        <v>45540</v>
      </c>
      <c r="B913">
        <v>557.5</v>
      </c>
      <c r="C913">
        <f t="shared" si="57"/>
        <v>-8.9678055779669137E-5</v>
      </c>
      <c r="D913" s="2">
        <f t="shared" si="58"/>
        <v>-8.9678055779669137E-5</v>
      </c>
      <c r="O913" s="1">
        <v>45540</v>
      </c>
      <c r="P913">
        <v>82201.16</v>
      </c>
      <c r="Q913">
        <f t="shared" si="59"/>
        <v>-1.8394067269731234E-3</v>
      </c>
      <c r="R913" s="2">
        <f t="shared" si="60"/>
        <v>-1.8394067269731234E-3</v>
      </c>
    </row>
    <row r="914" spans="1:18" x14ac:dyDescent="0.3">
      <c r="A914" s="1">
        <v>45541</v>
      </c>
      <c r="B914">
        <v>547.29999999999995</v>
      </c>
      <c r="C914">
        <f t="shared" si="57"/>
        <v>-1.8295964125560619E-2</v>
      </c>
      <c r="D914" s="2">
        <f t="shared" si="58"/>
        <v>-1.8295964125560619E-2</v>
      </c>
      <c r="O914" s="1">
        <v>45541</v>
      </c>
      <c r="P914">
        <v>81183.929999999993</v>
      </c>
      <c r="Q914">
        <f t="shared" si="59"/>
        <v>-1.2374886193820264E-2</v>
      </c>
      <c r="R914" s="2">
        <f t="shared" si="60"/>
        <v>-1.2374886193820264E-2</v>
      </c>
    </row>
    <row r="915" spans="1:18" x14ac:dyDescent="0.3">
      <c r="A915" s="1">
        <v>45544</v>
      </c>
      <c r="B915">
        <v>534.79999999999995</v>
      </c>
      <c r="C915">
        <f t="shared" si="57"/>
        <v>-2.2839393385711677E-2</v>
      </c>
      <c r="D915" s="2">
        <f t="shared" si="58"/>
        <v>-2.2839393385711677E-2</v>
      </c>
      <c r="O915" s="1">
        <v>45544</v>
      </c>
      <c r="P915">
        <v>81559.539999999994</v>
      </c>
      <c r="Q915">
        <f t="shared" si="59"/>
        <v>4.6266545608225742E-3</v>
      </c>
      <c r="R915" s="2">
        <f t="shared" si="60"/>
        <v>4.6266545608225742E-3</v>
      </c>
    </row>
    <row r="916" spans="1:18" x14ac:dyDescent="0.3">
      <c r="A916" s="1">
        <v>45545</v>
      </c>
      <c r="B916">
        <v>536.35</v>
      </c>
      <c r="C916">
        <f t="shared" si="57"/>
        <v>2.8982797307405914E-3</v>
      </c>
      <c r="D916" s="2">
        <f t="shared" si="58"/>
        <v>2.8982797307405914E-3</v>
      </c>
      <c r="O916" s="1">
        <v>45545</v>
      </c>
      <c r="P916">
        <v>81921.289999999994</v>
      </c>
      <c r="Q916">
        <f t="shared" si="59"/>
        <v>4.435410008442912E-3</v>
      </c>
      <c r="R916" s="2">
        <f t="shared" si="60"/>
        <v>4.435410008442912E-3</v>
      </c>
    </row>
    <row r="917" spans="1:18" x14ac:dyDescent="0.3">
      <c r="A917" s="1">
        <v>45546</v>
      </c>
      <c r="B917">
        <v>534.5</v>
      </c>
      <c r="C917">
        <f t="shared" si="57"/>
        <v>-3.4492402349212692E-3</v>
      </c>
      <c r="D917" s="2">
        <f t="shared" si="58"/>
        <v>-3.4492402349212692E-3</v>
      </c>
      <c r="O917" s="1">
        <v>45546</v>
      </c>
      <c r="P917">
        <v>81523.16</v>
      </c>
      <c r="Q917">
        <f t="shared" si="59"/>
        <v>-4.8599088222364435E-3</v>
      </c>
      <c r="R917" s="2">
        <f t="shared" si="60"/>
        <v>-4.8599088222364435E-3</v>
      </c>
    </row>
    <row r="918" spans="1:18" x14ac:dyDescent="0.3">
      <c r="A918" s="1">
        <v>45547</v>
      </c>
      <c r="B918">
        <v>534.95000000000005</v>
      </c>
      <c r="C918">
        <f t="shared" si="57"/>
        <v>8.4190832553797097E-4</v>
      </c>
      <c r="D918" s="2">
        <f t="shared" si="58"/>
        <v>8.4190832553797097E-4</v>
      </c>
      <c r="O918" s="1">
        <v>45547</v>
      </c>
      <c r="P918">
        <v>82962.710000000006</v>
      </c>
      <c r="Q918">
        <f t="shared" si="59"/>
        <v>1.7658172229830182E-2</v>
      </c>
      <c r="R918" s="2">
        <f t="shared" si="60"/>
        <v>1.7658172229830182E-2</v>
      </c>
    </row>
    <row r="919" spans="1:18" x14ac:dyDescent="0.3">
      <c r="A919" s="1">
        <v>45548</v>
      </c>
      <c r="B919">
        <v>537.5</v>
      </c>
      <c r="C919">
        <f t="shared" si="57"/>
        <v>4.7668006355733325E-3</v>
      </c>
      <c r="D919" s="2">
        <f t="shared" si="58"/>
        <v>4.7668006355733325E-3</v>
      </c>
      <c r="O919" s="1">
        <v>45548</v>
      </c>
      <c r="P919">
        <v>82890.94</v>
      </c>
      <c r="Q919">
        <f t="shared" si="59"/>
        <v>-8.6508745917297141E-4</v>
      </c>
      <c r="R919" s="2">
        <f t="shared" si="60"/>
        <v>-8.6508745917297141E-4</v>
      </c>
    </row>
    <row r="920" spans="1:18" x14ac:dyDescent="0.3">
      <c r="A920" s="1">
        <v>45551</v>
      </c>
      <c r="B920">
        <v>527.70000000000005</v>
      </c>
      <c r="C920">
        <f t="shared" si="57"/>
        <v>-1.82325581395348E-2</v>
      </c>
      <c r="D920" s="2">
        <f t="shared" si="58"/>
        <v>-1.82325581395348E-2</v>
      </c>
      <c r="O920" s="1">
        <v>45551</v>
      </c>
      <c r="P920">
        <v>82988.78</v>
      </c>
      <c r="Q920">
        <f t="shared" si="59"/>
        <v>1.1803461270917727E-3</v>
      </c>
      <c r="R920" s="2">
        <f t="shared" si="60"/>
        <v>1.1803461270917727E-3</v>
      </c>
    </row>
    <row r="921" spans="1:18" x14ac:dyDescent="0.3">
      <c r="A921" s="1">
        <v>45552</v>
      </c>
      <c r="B921">
        <v>522.85</v>
      </c>
      <c r="C921">
        <f t="shared" si="57"/>
        <v>-9.1908281220390801E-3</v>
      </c>
      <c r="D921" s="2">
        <f t="shared" si="58"/>
        <v>-9.1908281220390801E-3</v>
      </c>
      <c r="O921" s="1">
        <v>45552</v>
      </c>
      <c r="P921">
        <v>83079.66</v>
      </c>
      <c r="Q921">
        <f t="shared" si="59"/>
        <v>1.0950877937957958E-3</v>
      </c>
      <c r="R921" s="2">
        <f t="shared" si="60"/>
        <v>1.0950877937957958E-3</v>
      </c>
    </row>
    <row r="922" spans="1:18" x14ac:dyDescent="0.3">
      <c r="A922" s="1">
        <v>45553</v>
      </c>
      <c r="B922">
        <v>517.85</v>
      </c>
      <c r="C922">
        <f t="shared" si="57"/>
        <v>-9.5629721717509792E-3</v>
      </c>
      <c r="D922" s="2">
        <f t="shared" si="58"/>
        <v>-9.5629721717509792E-3</v>
      </c>
      <c r="O922" s="1">
        <v>45553</v>
      </c>
      <c r="P922">
        <v>82948.23</v>
      </c>
      <c r="Q922">
        <f t="shared" si="59"/>
        <v>-1.5819756604686099E-3</v>
      </c>
      <c r="R922" s="2">
        <f t="shared" si="60"/>
        <v>-1.5819756604686099E-3</v>
      </c>
    </row>
    <row r="923" spans="1:18" x14ac:dyDescent="0.3">
      <c r="A923" s="1">
        <v>45554</v>
      </c>
      <c r="B923">
        <v>510.1</v>
      </c>
      <c r="C923">
        <f t="shared" si="57"/>
        <v>-1.4965723665154002E-2</v>
      </c>
      <c r="D923" s="2">
        <f t="shared" si="58"/>
        <v>-1.4965723665154002E-2</v>
      </c>
      <c r="O923" s="1">
        <v>45554</v>
      </c>
      <c r="P923">
        <v>83184.800000000003</v>
      </c>
      <c r="Q923">
        <f t="shared" si="59"/>
        <v>2.8520198682962495E-3</v>
      </c>
      <c r="R923" s="2">
        <f t="shared" si="60"/>
        <v>2.8520198682962495E-3</v>
      </c>
    </row>
    <row r="924" spans="1:18" x14ac:dyDescent="0.3">
      <c r="A924" s="1">
        <v>45555</v>
      </c>
      <c r="B924">
        <v>515.85</v>
      </c>
      <c r="C924">
        <f t="shared" si="57"/>
        <v>1.1272299549108017E-2</v>
      </c>
      <c r="D924" s="2">
        <f t="shared" si="58"/>
        <v>1.1272299549108017E-2</v>
      </c>
      <c r="O924" s="1">
        <v>45555</v>
      </c>
      <c r="P924">
        <v>84544.31</v>
      </c>
      <c r="Q924">
        <f t="shared" si="59"/>
        <v>1.6343250209172766E-2</v>
      </c>
      <c r="R924" s="2">
        <f t="shared" si="60"/>
        <v>1.6343250209172766E-2</v>
      </c>
    </row>
    <row r="925" spans="1:18" x14ac:dyDescent="0.3">
      <c r="A925" s="1">
        <v>45558</v>
      </c>
      <c r="B925">
        <v>567.79999999999995</v>
      </c>
      <c r="C925">
        <f t="shared" si="57"/>
        <v>0.10070757003004736</v>
      </c>
      <c r="D925" s="2">
        <f t="shared" si="58"/>
        <v>0.10070757003004736</v>
      </c>
      <c r="O925" s="1">
        <v>45558</v>
      </c>
      <c r="P925">
        <v>84928.61</v>
      </c>
      <c r="Q925">
        <f t="shared" si="59"/>
        <v>4.545545406899683E-3</v>
      </c>
      <c r="R925" s="2">
        <f t="shared" si="60"/>
        <v>4.545545406899683E-3</v>
      </c>
    </row>
    <row r="926" spans="1:18" x14ac:dyDescent="0.3">
      <c r="A926" s="1">
        <v>45559</v>
      </c>
      <c r="B926">
        <v>569.54999999999995</v>
      </c>
      <c r="C926">
        <f t="shared" si="57"/>
        <v>3.0820711518140193E-3</v>
      </c>
      <c r="D926" s="2">
        <f t="shared" si="58"/>
        <v>3.0820711518140193E-3</v>
      </c>
      <c r="O926" s="1">
        <v>45559</v>
      </c>
      <c r="P926">
        <v>84914.04</v>
      </c>
      <c r="Q926">
        <f t="shared" si="59"/>
        <v>-1.715558514381312E-4</v>
      </c>
      <c r="R926" s="2">
        <f t="shared" si="60"/>
        <v>-1.715558514381312E-4</v>
      </c>
    </row>
    <row r="927" spans="1:18" x14ac:dyDescent="0.3">
      <c r="A927" s="1">
        <v>45560</v>
      </c>
      <c r="B927">
        <v>548.20000000000005</v>
      </c>
      <c r="C927">
        <f t="shared" si="57"/>
        <v>-3.7485734351680997E-2</v>
      </c>
      <c r="D927" s="2">
        <f t="shared" si="58"/>
        <v>-3.7485734351680997E-2</v>
      </c>
      <c r="O927" s="1">
        <v>45560</v>
      </c>
      <c r="P927">
        <v>85169.87</v>
      </c>
      <c r="Q927">
        <f t="shared" si="59"/>
        <v>3.0128115444748803E-3</v>
      </c>
      <c r="R927" s="2">
        <f t="shared" si="60"/>
        <v>3.0128115444748803E-3</v>
      </c>
    </row>
    <row r="928" spans="1:18" x14ac:dyDescent="0.3">
      <c r="A928" s="1">
        <v>45561</v>
      </c>
      <c r="B928">
        <v>541.70000000000005</v>
      </c>
      <c r="C928">
        <f t="shared" si="57"/>
        <v>-1.1856986501276905E-2</v>
      </c>
      <c r="D928" s="2">
        <f t="shared" si="58"/>
        <v>-1.1856986501276905E-2</v>
      </c>
      <c r="O928" s="1">
        <v>45561</v>
      </c>
      <c r="P928">
        <v>85836.12</v>
      </c>
      <c r="Q928">
        <f t="shared" si="59"/>
        <v>7.8226020539892815E-3</v>
      </c>
      <c r="R928" s="2">
        <f t="shared" si="60"/>
        <v>7.8226020539892815E-3</v>
      </c>
    </row>
    <row r="929" spans="1:18" x14ac:dyDescent="0.3">
      <c r="A929" s="1">
        <v>45562</v>
      </c>
      <c r="B929">
        <v>541.04999999999995</v>
      </c>
      <c r="C929">
        <f t="shared" si="57"/>
        <v>-1.1999261583904206E-3</v>
      </c>
      <c r="D929" s="2">
        <f t="shared" si="58"/>
        <v>-1.1999261583904206E-3</v>
      </c>
      <c r="O929" s="1">
        <v>45562</v>
      </c>
      <c r="P929">
        <v>85571.85</v>
      </c>
      <c r="Q929">
        <f t="shared" si="59"/>
        <v>-3.0787738308766699E-3</v>
      </c>
      <c r="R929" s="2">
        <f t="shared" si="60"/>
        <v>-3.0787738308766699E-3</v>
      </c>
    </row>
    <row r="930" spans="1:18" x14ac:dyDescent="0.3">
      <c r="A930" s="1">
        <v>45565</v>
      </c>
      <c r="B930">
        <v>531.35</v>
      </c>
      <c r="C930">
        <f t="shared" si="57"/>
        <v>-1.7928102763145611E-2</v>
      </c>
      <c r="D930" s="2">
        <f t="shared" si="58"/>
        <v>-1.7928102763145611E-2</v>
      </c>
      <c r="O930" s="1">
        <v>45565</v>
      </c>
      <c r="P930">
        <v>84299.78</v>
      </c>
      <c r="Q930">
        <f t="shared" si="59"/>
        <v>-1.4865519443602152E-2</v>
      </c>
      <c r="R930" s="2">
        <f t="shared" si="60"/>
        <v>-1.4865519443602152E-2</v>
      </c>
    </row>
    <row r="931" spans="1:18" x14ac:dyDescent="0.3">
      <c r="A931" s="1">
        <v>45566</v>
      </c>
      <c r="B931">
        <v>541.65</v>
      </c>
      <c r="C931">
        <f t="shared" si="57"/>
        <v>1.9384586430789413E-2</v>
      </c>
      <c r="D931" s="2">
        <f t="shared" si="58"/>
        <v>1.9384586430789413E-2</v>
      </c>
      <c r="O931" s="1">
        <v>45566</v>
      </c>
      <c r="P931">
        <v>84266.29</v>
      </c>
      <c r="Q931">
        <f t="shared" si="59"/>
        <v>-3.9727268564645411E-4</v>
      </c>
      <c r="R931" s="2">
        <f t="shared" si="60"/>
        <v>-3.9727268564645411E-4</v>
      </c>
    </row>
    <row r="932" spans="1:18" x14ac:dyDescent="0.3">
      <c r="A932" s="1">
        <v>45568</v>
      </c>
      <c r="B932">
        <v>526</v>
      </c>
      <c r="C932">
        <f t="shared" si="57"/>
        <v>-2.8893196713744997E-2</v>
      </c>
      <c r="D932" s="2">
        <f t="shared" si="58"/>
        <v>-2.8893196713744997E-2</v>
      </c>
      <c r="O932" s="1">
        <v>45568</v>
      </c>
      <c r="P932">
        <v>82497.100000000006</v>
      </c>
      <c r="Q932">
        <f t="shared" si="59"/>
        <v>-2.0995228341012615E-2</v>
      </c>
      <c r="R932" s="2">
        <f t="shared" si="60"/>
        <v>-2.0995228341012615E-2</v>
      </c>
    </row>
    <row r="933" spans="1:18" x14ac:dyDescent="0.3">
      <c r="A933" s="1">
        <v>45569</v>
      </c>
      <c r="B933">
        <v>525.1</v>
      </c>
      <c r="C933">
        <f t="shared" si="57"/>
        <v>-1.7110266159695384E-3</v>
      </c>
      <c r="D933" s="2">
        <f t="shared" si="58"/>
        <v>-1.7110266159695384E-3</v>
      </c>
      <c r="O933" s="1">
        <v>45569</v>
      </c>
      <c r="P933">
        <v>81688.45</v>
      </c>
      <c r="Q933">
        <f t="shared" si="59"/>
        <v>-9.802162742690454E-3</v>
      </c>
      <c r="R933" s="2">
        <f t="shared" si="60"/>
        <v>-9.802162742690454E-3</v>
      </c>
    </row>
    <row r="934" spans="1:18" x14ac:dyDescent="0.3">
      <c r="A934" s="1">
        <v>45572</v>
      </c>
      <c r="B934">
        <v>511.65</v>
      </c>
      <c r="C934">
        <f t="shared" si="57"/>
        <v>-2.5614168729765845E-2</v>
      </c>
      <c r="D934" s="2">
        <f t="shared" si="58"/>
        <v>-2.5614168729765845E-2</v>
      </c>
      <c r="O934" s="1">
        <v>45572</v>
      </c>
      <c r="P934">
        <v>81050</v>
      </c>
      <c r="Q934">
        <f t="shared" si="59"/>
        <v>-7.8156703915914314E-3</v>
      </c>
      <c r="R934" s="2">
        <f t="shared" si="60"/>
        <v>-7.8156703915914314E-3</v>
      </c>
    </row>
    <row r="935" spans="1:18" x14ac:dyDescent="0.3">
      <c r="A935" s="1">
        <v>45573</v>
      </c>
      <c r="B935">
        <v>514.1</v>
      </c>
      <c r="C935">
        <f t="shared" si="57"/>
        <v>4.7884295905404979E-3</v>
      </c>
      <c r="D935" s="2">
        <f t="shared" si="58"/>
        <v>4.7884295905404979E-3</v>
      </c>
      <c r="O935" s="1">
        <v>45573</v>
      </c>
      <c r="P935">
        <v>81634.81</v>
      </c>
      <c r="Q935">
        <f t="shared" si="59"/>
        <v>7.2154225786551221E-3</v>
      </c>
      <c r="R935" s="2">
        <f t="shared" si="60"/>
        <v>7.2154225786551221E-3</v>
      </c>
    </row>
    <row r="936" spans="1:18" x14ac:dyDescent="0.3">
      <c r="A936" s="1">
        <v>45574</v>
      </c>
      <c r="B936">
        <v>533.5</v>
      </c>
      <c r="C936">
        <f t="shared" si="57"/>
        <v>3.7735849056603731E-2</v>
      </c>
      <c r="D936" s="2">
        <f t="shared" si="58"/>
        <v>3.7735849056603731E-2</v>
      </c>
      <c r="O936" s="1">
        <v>45574</v>
      </c>
      <c r="P936">
        <v>81467.100000000006</v>
      </c>
      <c r="Q936">
        <f t="shared" si="59"/>
        <v>-2.054393217795103E-3</v>
      </c>
      <c r="R936" s="2">
        <f t="shared" si="60"/>
        <v>-2.054393217795103E-3</v>
      </c>
    </row>
    <row r="937" spans="1:18" x14ac:dyDescent="0.3">
      <c r="A937" s="1">
        <v>45575</v>
      </c>
      <c r="B937">
        <v>548.85</v>
      </c>
      <c r="C937">
        <f t="shared" si="57"/>
        <v>2.8772258669165929E-2</v>
      </c>
      <c r="D937" s="2">
        <f t="shared" si="58"/>
        <v>2.8772258669165929E-2</v>
      </c>
      <c r="O937" s="1">
        <v>45575</v>
      </c>
      <c r="P937">
        <v>81611.41</v>
      </c>
      <c r="Q937">
        <f t="shared" si="59"/>
        <v>1.7713899230486622E-3</v>
      </c>
      <c r="R937" s="2">
        <f t="shared" si="60"/>
        <v>1.7713899230486622E-3</v>
      </c>
    </row>
    <row r="938" spans="1:18" x14ac:dyDescent="0.3">
      <c r="A938" s="1">
        <v>45576</v>
      </c>
      <c r="B938">
        <v>555.9</v>
      </c>
      <c r="C938">
        <f t="shared" si="57"/>
        <v>1.2845039628313664E-2</v>
      </c>
      <c r="D938" s="2">
        <f t="shared" si="58"/>
        <v>1.2845039628313664E-2</v>
      </c>
      <c r="O938" s="1">
        <v>45576</v>
      </c>
      <c r="P938">
        <v>81381.36</v>
      </c>
      <c r="Q938">
        <f t="shared" si="59"/>
        <v>-2.8188460412582371E-3</v>
      </c>
      <c r="R938" s="2">
        <f t="shared" si="60"/>
        <v>-2.8188460412582371E-3</v>
      </c>
    </row>
    <row r="939" spans="1:18" x14ac:dyDescent="0.3">
      <c r="A939" s="1">
        <v>45579</v>
      </c>
      <c r="B939">
        <v>553.95000000000005</v>
      </c>
      <c r="C939">
        <f t="shared" si="57"/>
        <v>-3.5078251484078646E-3</v>
      </c>
      <c r="D939" s="2">
        <f t="shared" si="58"/>
        <v>-3.5078251484078646E-3</v>
      </c>
      <c r="O939" s="1">
        <v>45579</v>
      </c>
      <c r="P939">
        <v>81973.05</v>
      </c>
      <c r="Q939">
        <f t="shared" si="59"/>
        <v>7.2705838290242674E-3</v>
      </c>
      <c r="R939" s="2">
        <f t="shared" si="60"/>
        <v>7.2705838290242674E-3</v>
      </c>
    </row>
    <row r="940" spans="1:18" x14ac:dyDescent="0.3">
      <c r="A940" s="1">
        <v>45580</v>
      </c>
      <c r="B940">
        <v>555.6</v>
      </c>
      <c r="C940">
        <f t="shared" si="57"/>
        <v>2.9786081776333193E-3</v>
      </c>
      <c r="D940" s="2">
        <f t="shared" si="58"/>
        <v>2.9786081776333193E-3</v>
      </c>
      <c r="O940" s="1">
        <v>45580</v>
      </c>
      <c r="P940">
        <v>81820.12</v>
      </c>
      <c r="Q940">
        <f t="shared" si="59"/>
        <v>-1.8656131496877029E-3</v>
      </c>
      <c r="R940" s="2">
        <f t="shared" si="60"/>
        <v>-1.8656131496877029E-3</v>
      </c>
    </row>
    <row r="941" spans="1:18" x14ac:dyDescent="0.3">
      <c r="A941" s="1">
        <v>45581</v>
      </c>
      <c r="B941">
        <v>558.15</v>
      </c>
      <c r="C941">
        <f t="shared" si="57"/>
        <v>4.5896328293735678E-3</v>
      </c>
      <c r="D941" s="2">
        <f t="shared" si="58"/>
        <v>4.5896328293735678E-3</v>
      </c>
      <c r="O941" s="1">
        <v>45581</v>
      </c>
      <c r="P941">
        <v>81501.36</v>
      </c>
      <c r="Q941">
        <f t="shared" si="59"/>
        <v>-3.8958632668834362E-3</v>
      </c>
      <c r="R941" s="2">
        <f t="shared" si="60"/>
        <v>-3.8958632668834362E-3</v>
      </c>
    </row>
    <row r="942" spans="1:18" x14ac:dyDescent="0.3">
      <c r="A942" s="1">
        <v>45582</v>
      </c>
      <c r="B942">
        <v>559.25</v>
      </c>
      <c r="C942">
        <f t="shared" si="57"/>
        <v>1.9707963809012323E-3</v>
      </c>
      <c r="D942" s="2">
        <f t="shared" si="58"/>
        <v>1.9707963809012323E-3</v>
      </c>
      <c r="O942" s="1">
        <v>45582</v>
      </c>
      <c r="P942">
        <v>81006.61</v>
      </c>
      <c r="Q942">
        <f t="shared" si="59"/>
        <v>-6.0704508489183495E-3</v>
      </c>
      <c r="R942" s="2">
        <f t="shared" si="60"/>
        <v>-6.0704508489183495E-3</v>
      </c>
    </row>
    <row r="943" spans="1:18" x14ac:dyDescent="0.3">
      <c r="A943" s="1">
        <v>45583</v>
      </c>
      <c r="B943">
        <v>551.04999999999995</v>
      </c>
      <c r="C943">
        <f t="shared" si="57"/>
        <v>-1.4662494412159223E-2</v>
      </c>
      <c r="D943" s="2">
        <f t="shared" si="58"/>
        <v>-1.4662494412159223E-2</v>
      </c>
      <c r="O943" s="1">
        <v>45583</v>
      </c>
      <c r="P943">
        <v>81224.75</v>
      </c>
      <c r="Q943">
        <f t="shared" si="59"/>
        <v>2.6928666685348199E-3</v>
      </c>
      <c r="R943" s="2">
        <f t="shared" si="60"/>
        <v>2.6928666685348199E-3</v>
      </c>
    </row>
    <row r="944" spans="1:18" x14ac:dyDescent="0.3">
      <c r="A944" s="1">
        <v>45586</v>
      </c>
      <c r="B944">
        <v>579.04999999999995</v>
      </c>
      <c r="C944">
        <f t="shared" si="57"/>
        <v>5.0812086017602766E-2</v>
      </c>
      <c r="D944" s="2">
        <f t="shared" si="58"/>
        <v>5.0812086017602766E-2</v>
      </c>
      <c r="O944" s="1">
        <v>45586</v>
      </c>
      <c r="P944">
        <v>81151.27</v>
      </c>
      <c r="Q944">
        <f t="shared" si="59"/>
        <v>-9.0465036826824241E-4</v>
      </c>
      <c r="R944" s="2">
        <f t="shared" si="60"/>
        <v>-9.0465036826824241E-4</v>
      </c>
    </row>
    <row r="945" spans="1:18" x14ac:dyDescent="0.3">
      <c r="A945" s="1">
        <v>45587</v>
      </c>
      <c r="B945">
        <v>568.75</v>
      </c>
      <c r="C945">
        <f t="shared" si="57"/>
        <v>-1.778775580692506E-2</v>
      </c>
      <c r="D945" s="2">
        <f t="shared" si="58"/>
        <v>-1.778775580692506E-2</v>
      </c>
      <c r="O945" s="1">
        <v>45587</v>
      </c>
      <c r="P945">
        <v>80220.72</v>
      </c>
      <c r="Q945">
        <f t="shared" si="59"/>
        <v>-1.1466856895770121E-2</v>
      </c>
      <c r="R945" s="2">
        <f t="shared" si="60"/>
        <v>-1.1466856895770121E-2</v>
      </c>
    </row>
    <row r="946" spans="1:18" x14ac:dyDescent="0.3">
      <c r="A946" s="1">
        <v>45588</v>
      </c>
      <c r="B946">
        <v>640.04999999999995</v>
      </c>
      <c r="C946">
        <f t="shared" si="57"/>
        <v>0.12536263736263728</v>
      </c>
      <c r="D946" s="2">
        <f t="shared" si="58"/>
        <v>0.12536263736263728</v>
      </c>
      <c r="O946" s="1">
        <v>45588</v>
      </c>
      <c r="P946">
        <v>80081.98</v>
      </c>
      <c r="Q946">
        <f t="shared" si="59"/>
        <v>-1.7294783691794993E-3</v>
      </c>
      <c r="R946" s="2">
        <f t="shared" si="60"/>
        <v>-1.7294783691794993E-3</v>
      </c>
    </row>
    <row r="947" spans="1:18" x14ac:dyDescent="0.3">
      <c r="A947" s="1">
        <v>45589</v>
      </c>
      <c r="B947">
        <v>648.1</v>
      </c>
      <c r="C947">
        <f t="shared" si="57"/>
        <v>1.2577142410749267E-2</v>
      </c>
      <c r="D947" s="2">
        <f t="shared" si="58"/>
        <v>1.2577142410749267E-2</v>
      </c>
      <c r="O947" s="1">
        <v>45589</v>
      </c>
      <c r="P947">
        <v>80065.16</v>
      </c>
      <c r="Q947">
        <f t="shared" si="59"/>
        <v>-2.1003476687255277E-4</v>
      </c>
      <c r="R947" s="2">
        <f t="shared" si="60"/>
        <v>-2.1003476687255277E-4</v>
      </c>
    </row>
    <row r="948" spans="1:18" x14ac:dyDescent="0.3">
      <c r="A948" s="1">
        <v>45590</v>
      </c>
      <c r="B948">
        <v>655.9</v>
      </c>
      <c r="C948">
        <f t="shared" si="57"/>
        <v>1.2035179756210391E-2</v>
      </c>
      <c r="D948" s="2">
        <f t="shared" si="58"/>
        <v>1.2035179756210391E-2</v>
      </c>
      <c r="O948" s="1">
        <v>45590</v>
      </c>
      <c r="P948">
        <v>79402.289999999994</v>
      </c>
      <c r="Q948">
        <f t="shared" si="59"/>
        <v>-8.2791316472734192E-3</v>
      </c>
      <c r="R948" s="2">
        <f t="shared" si="60"/>
        <v>-8.2791316472734192E-3</v>
      </c>
    </row>
    <row r="949" spans="1:18" x14ac:dyDescent="0.3">
      <c r="A949" s="1">
        <v>45593</v>
      </c>
      <c r="B949">
        <v>713.8</v>
      </c>
      <c r="C949">
        <f t="shared" si="57"/>
        <v>8.8275651776185363E-2</v>
      </c>
      <c r="D949" s="2">
        <f t="shared" si="58"/>
        <v>8.8275651776185363E-2</v>
      </c>
      <c r="O949" s="1">
        <v>45593</v>
      </c>
      <c r="P949">
        <v>80005.039999999994</v>
      </c>
      <c r="Q949">
        <f t="shared" si="59"/>
        <v>7.5910908866734204E-3</v>
      </c>
      <c r="R949" s="2">
        <f t="shared" si="60"/>
        <v>7.5910908866734204E-3</v>
      </c>
    </row>
    <row r="950" spans="1:18" x14ac:dyDescent="0.3">
      <c r="A950" s="1">
        <v>45594</v>
      </c>
      <c r="B950">
        <v>815.4</v>
      </c>
      <c r="C950">
        <f t="shared" si="57"/>
        <v>0.1423367890165313</v>
      </c>
      <c r="D950" s="2">
        <f t="shared" si="58"/>
        <v>0.1423367890165313</v>
      </c>
      <c r="O950" s="1">
        <v>45594</v>
      </c>
      <c r="P950">
        <v>80369.03</v>
      </c>
      <c r="Q950">
        <f t="shared" si="59"/>
        <v>4.5495883759323818E-3</v>
      </c>
      <c r="R950" s="2">
        <f t="shared" si="60"/>
        <v>4.5495883759323818E-3</v>
      </c>
    </row>
    <row r="951" spans="1:18" x14ac:dyDescent="0.3">
      <c r="A951" s="1">
        <v>45595</v>
      </c>
      <c r="B951">
        <v>807.95</v>
      </c>
      <c r="C951">
        <f t="shared" si="57"/>
        <v>-9.136620063772298E-3</v>
      </c>
      <c r="D951" s="2">
        <f t="shared" si="58"/>
        <v>-9.136620063772298E-3</v>
      </c>
      <c r="O951" s="1">
        <v>45595</v>
      </c>
      <c r="P951">
        <v>79942.179999999993</v>
      </c>
      <c r="Q951">
        <f t="shared" si="59"/>
        <v>-5.3111254422257654E-3</v>
      </c>
      <c r="R951" s="2">
        <f t="shared" si="60"/>
        <v>-5.3111254422257654E-3</v>
      </c>
    </row>
    <row r="952" spans="1:18" x14ac:dyDescent="0.3">
      <c r="A952" s="1">
        <v>45596</v>
      </c>
      <c r="B952">
        <v>832.3</v>
      </c>
      <c r="C952">
        <f t="shared" si="57"/>
        <v>3.0138003589330907E-2</v>
      </c>
      <c r="D952" s="2">
        <f t="shared" si="58"/>
        <v>3.0138003589330907E-2</v>
      </c>
      <c r="O952" s="1">
        <v>45596</v>
      </c>
      <c r="P952">
        <v>79389.06</v>
      </c>
      <c r="Q952">
        <f t="shared" si="59"/>
        <v>-6.9190007077614768E-3</v>
      </c>
      <c r="R952" s="2">
        <f t="shared" si="60"/>
        <v>-6.9190007077614768E-3</v>
      </c>
    </row>
    <row r="953" spans="1:18" x14ac:dyDescent="0.3">
      <c r="A953" s="1">
        <v>45597</v>
      </c>
      <c r="B953">
        <v>817</v>
      </c>
      <c r="C953">
        <f t="shared" si="57"/>
        <v>-1.8382794665385022E-2</v>
      </c>
      <c r="D953" s="2">
        <f t="shared" si="58"/>
        <v>-1.8382794665385022E-2</v>
      </c>
      <c r="O953" s="1">
        <v>45597</v>
      </c>
      <c r="P953">
        <v>79724.12</v>
      </c>
      <c r="Q953">
        <f t="shared" si="59"/>
        <v>4.2204807564165349E-3</v>
      </c>
      <c r="R953" s="2">
        <f t="shared" si="60"/>
        <v>4.2204807564165349E-3</v>
      </c>
    </row>
    <row r="954" spans="1:18" x14ac:dyDescent="0.3">
      <c r="A954" s="1">
        <v>45600</v>
      </c>
      <c r="B954">
        <v>796.55</v>
      </c>
      <c r="C954">
        <f t="shared" si="57"/>
        <v>-2.5030599755202013E-2</v>
      </c>
      <c r="D954" s="2">
        <f t="shared" si="58"/>
        <v>-2.5030599755202013E-2</v>
      </c>
      <c r="O954" s="1">
        <v>45600</v>
      </c>
      <c r="P954">
        <v>78782.240000000005</v>
      </c>
      <c r="Q954">
        <f t="shared" si="59"/>
        <v>-1.181424141150746E-2</v>
      </c>
      <c r="R954" s="2">
        <f t="shared" si="60"/>
        <v>-1.181424141150746E-2</v>
      </c>
    </row>
    <row r="955" spans="1:18" x14ac:dyDescent="0.3">
      <c r="A955" s="1">
        <v>45601</v>
      </c>
      <c r="B955">
        <v>815.45</v>
      </c>
      <c r="C955">
        <f t="shared" si="57"/>
        <v>2.3727324085117182E-2</v>
      </c>
      <c r="D955" s="2">
        <f t="shared" si="58"/>
        <v>2.3727324085117182E-2</v>
      </c>
      <c r="O955" s="1">
        <v>45601</v>
      </c>
      <c r="P955">
        <v>79476.63</v>
      </c>
      <c r="Q955">
        <f t="shared" si="59"/>
        <v>8.81404235269268E-3</v>
      </c>
      <c r="R955" s="2">
        <f t="shared" si="60"/>
        <v>8.81404235269268E-3</v>
      </c>
    </row>
    <row r="956" spans="1:18" x14ac:dyDescent="0.3">
      <c r="A956" s="1">
        <v>45602</v>
      </c>
      <c r="B956">
        <v>861.7</v>
      </c>
      <c r="C956">
        <f t="shared" si="57"/>
        <v>5.6717150039855294E-2</v>
      </c>
      <c r="D956" s="2">
        <f t="shared" si="58"/>
        <v>5.6717150039855294E-2</v>
      </c>
      <c r="O956" s="1">
        <v>45602</v>
      </c>
      <c r="P956">
        <v>80378.13</v>
      </c>
      <c r="Q956">
        <f t="shared" si="59"/>
        <v>1.1342957042843915E-2</v>
      </c>
      <c r="R956" s="2">
        <f t="shared" si="60"/>
        <v>1.1342957042843915E-2</v>
      </c>
    </row>
    <row r="957" spans="1:18" x14ac:dyDescent="0.3">
      <c r="A957" s="1">
        <v>45603</v>
      </c>
      <c r="B957">
        <v>894.45</v>
      </c>
      <c r="C957">
        <f t="shared" si="57"/>
        <v>3.8006266682139953E-2</v>
      </c>
      <c r="D957" s="2">
        <f t="shared" si="58"/>
        <v>3.8006266682139953E-2</v>
      </c>
      <c r="O957" s="1">
        <v>45603</v>
      </c>
      <c r="P957">
        <v>79541.789999999994</v>
      </c>
      <c r="Q957">
        <f t="shared" si="59"/>
        <v>-1.0405069140075926E-2</v>
      </c>
      <c r="R957" s="2">
        <f t="shared" si="60"/>
        <v>-1.0405069140075926E-2</v>
      </c>
    </row>
    <row r="958" spans="1:18" x14ac:dyDescent="0.3">
      <c r="A958" s="1">
        <v>45604</v>
      </c>
      <c r="B958">
        <v>828.85</v>
      </c>
      <c r="C958">
        <f t="shared" si="57"/>
        <v>-7.3341159371680939E-2</v>
      </c>
      <c r="D958" s="2">
        <f t="shared" si="58"/>
        <v>-7.3341159371680939E-2</v>
      </c>
      <c r="O958" s="1">
        <v>45604</v>
      </c>
      <c r="P958">
        <v>79486.320000000007</v>
      </c>
      <c r="Q958">
        <f t="shared" si="59"/>
        <v>-6.9736926966298615E-4</v>
      </c>
      <c r="R958" s="2">
        <f t="shared" si="60"/>
        <v>-6.9736926966298615E-4</v>
      </c>
    </row>
    <row r="959" spans="1:18" x14ac:dyDescent="0.3">
      <c r="A959" s="1">
        <v>45607</v>
      </c>
      <c r="B959">
        <v>816.4</v>
      </c>
      <c r="C959">
        <f t="shared" si="57"/>
        <v>-1.5020811968389992E-2</v>
      </c>
      <c r="D959" s="2">
        <f t="shared" si="58"/>
        <v>-1.5020811968389992E-2</v>
      </c>
      <c r="O959" s="1">
        <v>45607</v>
      </c>
      <c r="P959">
        <v>79496.149999999994</v>
      </c>
      <c r="Q959">
        <f t="shared" si="59"/>
        <v>1.2366907915710771E-4</v>
      </c>
      <c r="R959" s="2">
        <f t="shared" si="60"/>
        <v>1.2366907915710771E-4</v>
      </c>
    </row>
    <row r="960" spans="1:18" x14ac:dyDescent="0.3">
      <c r="A960" s="1">
        <v>45608</v>
      </c>
      <c r="B960">
        <v>809.55</v>
      </c>
      <c r="C960">
        <f t="shared" si="57"/>
        <v>-8.3904948554630356E-3</v>
      </c>
      <c r="D960" s="2">
        <f t="shared" si="58"/>
        <v>-8.3904948554630356E-3</v>
      </c>
      <c r="O960" s="1">
        <v>45608</v>
      </c>
      <c r="P960">
        <v>78675.179999999993</v>
      </c>
      <c r="Q960">
        <f t="shared" si="59"/>
        <v>-1.032716678732242E-2</v>
      </c>
      <c r="R960" s="2">
        <f t="shared" si="60"/>
        <v>-1.032716678732242E-2</v>
      </c>
    </row>
    <row r="961" spans="1:18" x14ac:dyDescent="0.3">
      <c r="A961" s="1">
        <v>45609</v>
      </c>
      <c r="B961">
        <v>785.9</v>
      </c>
      <c r="C961">
        <f t="shared" si="57"/>
        <v>-2.9213760731270431E-2</v>
      </c>
      <c r="D961" s="2">
        <f t="shared" si="58"/>
        <v>-2.9213760731270431E-2</v>
      </c>
      <c r="O961" s="1">
        <v>45609</v>
      </c>
      <c r="P961">
        <v>77690.95</v>
      </c>
      <c r="Q961">
        <f t="shared" si="59"/>
        <v>-1.2510044463832127E-2</v>
      </c>
      <c r="R961" s="2">
        <f t="shared" si="60"/>
        <v>-1.2510044463832127E-2</v>
      </c>
    </row>
    <row r="962" spans="1:18" x14ac:dyDescent="0.3">
      <c r="A962" s="1">
        <v>45610</v>
      </c>
      <c r="B962">
        <v>754.05</v>
      </c>
      <c r="C962">
        <f t="shared" si="57"/>
        <v>-4.0526784578190637E-2</v>
      </c>
      <c r="D962" s="2">
        <f t="shared" si="58"/>
        <v>-4.0526784578190637E-2</v>
      </c>
      <c r="O962" s="1">
        <v>45610</v>
      </c>
      <c r="P962">
        <v>77580.31</v>
      </c>
      <c r="Q962">
        <f t="shared" si="59"/>
        <v>-1.424104094492337E-3</v>
      </c>
      <c r="R962" s="2">
        <f t="shared" si="60"/>
        <v>-1.424104094492337E-3</v>
      </c>
    </row>
    <row r="963" spans="1:18" x14ac:dyDescent="0.3">
      <c r="A963" s="1">
        <v>45614</v>
      </c>
      <c r="B963">
        <v>829.45</v>
      </c>
      <c r="C963">
        <f t="shared" si="57"/>
        <v>9.9993369139977584E-2</v>
      </c>
      <c r="D963" s="2">
        <f t="shared" si="58"/>
        <v>9.9993369139977584E-2</v>
      </c>
      <c r="O963" s="1">
        <v>45614</v>
      </c>
      <c r="P963">
        <v>77339.009999999995</v>
      </c>
      <c r="Q963">
        <f t="shared" si="59"/>
        <v>-3.1103252874344393E-3</v>
      </c>
      <c r="R963" s="2">
        <f t="shared" si="60"/>
        <v>-3.1103252874344393E-3</v>
      </c>
    </row>
    <row r="964" spans="1:18" x14ac:dyDescent="0.3">
      <c r="A964" s="1">
        <v>45615</v>
      </c>
      <c r="B964">
        <v>860.3</v>
      </c>
      <c r="C964">
        <f t="shared" ref="C964:C1027" si="61">(B964-B963)/B963</f>
        <v>3.7193320875278685E-2</v>
      </c>
      <c r="D964" s="2">
        <f t="shared" ref="D964:D1027" si="62">(B964-B963)/B963</f>
        <v>3.7193320875278685E-2</v>
      </c>
      <c r="O964" s="1">
        <v>45615</v>
      </c>
      <c r="P964">
        <v>77578.38</v>
      </c>
      <c r="Q964">
        <f t="shared" ref="Q964:Q1027" si="63">(P964-P963)/P963</f>
        <v>3.0950745296585763E-3</v>
      </c>
      <c r="R964" s="2">
        <f t="shared" ref="R964:R1027" si="64">(P964-P963)/P963</f>
        <v>3.0950745296585763E-3</v>
      </c>
    </row>
    <row r="965" spans="1:18" x14ac:dyDescent="0.3">
      <c r="A965" s="1">
        <v>45617</v>
      </c>
      <c r="B965">
        <v>921.75</v>
      </c>
      <c r="C965">
        <f t="shared" si="61"/>
        <v>7.142857142857148E-2</v>
      </c>
      <c r="D965" s="2">
        <f t="shared" si="62"/>
        <v>7.142857142857148E-2</v>
      </c>
      <c r="O965" s="1">
        <v>45617</v>
      </c>
      <c r="P965">
        <v>77155.789999999994</v>
      </c>
      <c r="Q965">
        <f t="shared" si="63"/>
        <v>-5.4472650756565303E-3</v>
      </c>
      <c r="R965" s="2">
        <f t="shared" si="64"/>
        <v>-5.4472650756565303E-3</v>
      </c>
    </row>
    <row r="966" spans="1:18" x14ac:dyDescent="0.3">
      <c r="A966" s="1">
        <v>45618</v>
      </c>
      <c r="B966">
        <v>930.75</v>
      </c>
      <c r="C966">
        <f t="shared" si="61"/>
        <v>9.7640358014646055E-3</v>
      </c>
      <c r="D966" s="2">
        <f t="shared" si="62"/>
        <v>9.7640358014646055E-3</v>
      </c>
      <c r="O966" s="1">
        <v>45618</v>
      </c>
      <c r="P966">
        <v>79117.11</v>
      </c>
      <c r="Q966">
        <f t="shared" si="63"/>
        <v>2.5420256859530661E-2</v>
      </c>
      <c r="R966" s="2">
        <f t="shared" si="64"/>
        <v>2.5420256859530661E-2</v>
      </c>
    </row>
    <row r="967" spans="1:18" x14ac:dyDescent="0.3">
      <c r="A967" s="1">
        <v>45621</v>
      </c>
      <c r="B967">
        <v>910.4</v>
      </c>
      <c r="C967">
        <f t="shared" si="61"/>
        <v>-2.1864088100993846E-2</v>
      </c>
      <c r="D967" s="2">
        <f t="shared" si="62"/>
        <v>-2.1864088100993846E-2</v>
      </c>
      <c r="O967" s="1">
        <v>45621</v>
      </c>
      <c r="P967">
        <v>80109.850000000006</v>
      </c>
      <c r="Q967">
        <f t="shared" si="63"/>
        <v>1.2547728297962416E-2</v>
      </c>
      <c r="R967" s="2">
        <f t="shared" si="64"/>
        <v>1.2547728297962416E-2</v>
      </c>
    </row>
    <row r="968" spans="1:18" x14ac:dyDescent="0.3">
      <c r="A968" s="1">
        <v>45622</v>
      </c>
      <c r="B968">
        <v>960.15</v>
      </c>
      <c r="C968">
        <f t="shared" si="61"/>
        <v>5.4646309314586999E-2</v>
      </c>
      <c r="D968" s="2">
        <f t="shared" si="62"/>
        <v>5.4646309314586999E-2</v>
      </c>
      <c r="O968" s="1">
        <v>45622</v>
      </c>
      <c r="P968">
        <v>80004.06</v>
      </c>
      <c r="Q968">
        <f t="shared" si="63"/>
        <v>-1.3205617037106939E-3</v>
      </c>
      <c r="R968" s="2">
        <f t="shared" si="64"/>
        <v>-1.3205617037106939E-3</v>
      </c>
    </row>
    <row r="969" spans="1:18" x14ac:dyDescent="0.3">
      <c r="A969" s="1">
        <v>45623</v>
      </c>
      <c r="B969">
        <v>918.5</v>
      </c>
      <c r="C969">
        <f t="shared" si="61"/>
        <v>-4.3378638754361272E-2</v>
      </c>
      <c r="D969" s="2">
        <f t="shared" si="62"/>
        <v>-4.3378638754361272E-2</v>
      </c>
      <c r="O969" s="1">
        <v>45623</v>
      </c>
      <c r="P969">
        <v>80234.080000000002</v>
      </c>
      <c r="Q969">
        <f t="shared" si="63"/>
        <v>2.8751040884675613E-3</v>
      </c>
      <c r="R969" s="2">
        <f t="shared" si="64"/>
        <v>2.8751040884675613E-3</v>
      </c>
    </row>
    <row r="970" spans="1:18" x14ac:dyDescent="0.3">
      <c r="A970" s="1">
        <v>45624</v>
      </c>
      <c r="B970">
        <v>921.95</v>
      </c>
      <c r="C970">
        <f t="shared" si="61"/>
        <v>3.7561241154056022E-3</v>
      </c>
      <c r="D970" s="2">
        <f t="shared" si="62"/>
        <v>3.7561241154056022E-3</v>
      </c>
      <c r="O970" s="1">
        <v>45624</v>
      </c>
      <c r="P970">
        <v>79043.740000000005</v>
      </c>
      <c r="Q970">
        <f t="shared" si="63"/>
        <v>-1.4835840331190892E-2</v>
      </c>
      <c r="R970" s="2">
        <f t="shared" si="64"/>
        <v>-1.4835840331190892E-2</v>
      </c>
    </row>
    <row r="971" spans="1:18" x14ac:dyDescent="0.3">
      <c r="A971" s="1">
        <v>45625</v>
      </c>
      <c r="B971">
        <v>922.55</v>
      </c>
      <c r="C971">
        <f t="shared" si="61"/>
        <v>6.5079451163285317E-4</v>
      </c>
      <c r="D971" s="2">
        <f t="shared" si="62"/>
        <v>6.5079451163285317E-4</v>
      </c>
      <c r="O971" s="1">
        <v>45625</v>
      </c>
      <c r="P971">
        <v>79802.789999999994</v>
      </c>
      <c r="Q971">
        <f t="shared" si="63"/>
        <v>9.6029109958611306E-3</v>
      </c>
      <c r="R971" s="2">
        <f t="shared" si="64"/>
        <v>9.6029109958611306E-3</v>
      </c>
    </row>
    <row r="972" spans="1:18" x14ac:dyDescent="0.3">
      <c r="A972" s="1">
        <v>45628</v>
      </c>
      <c r="B972">
        <v>894.15</v>
      </c>
      <c r="C972">
        <f t="shared" si="61"/>
        <v>-3.0784239336621298E-2</v>
      </c>
      <c r="D972" s="2">
        <f t="shared" si="62"/>
        <v>-3.0784239336621298E-2</v>
      </c>
      <c r="O972" s="1">
        <v>45628</v>
      </c>
      <c r="P972">
        <v>80248.08</v>
      </c>
      <c r="Q972">
        <f t="shared" si="63"/>
        <v>5.5798801019363879E-3</v>
      </c>
      <c r="R972" s="2">
        <f t="shared" si="64"/>
        <v>5.5798801019363879E-3</v>
      </c>
    </row>
    <row r="973" spans="1:18" x14ac:dyDescent="0.3">
      <c r="A973" s="1">
        <v>45629</v>
      </c>
      <c r="B973">
        <v>930.8</v>
      </c>
      <c r="C973">
        <f t="shared" si="61"/>
        <v>4.098864843706311E-2</v>
      </c>
      <c r="D973" s="2">
        <f t="shared" si="62"/>
        <v>4.098864843706311E-2</v>
      </c>
      <c r="O973" s="1">
        <v>45629</v>
      </c>
      <c r="P973">
        <v>80845.75</v>
      </c>
      <c r="Q973">
        <f t="shared" si="63"/>
        <v>7.4477794359690376E-3</v>
      </c>
      <c r="R973" s="2">
        <f t="shared" si="64"/>
        <v>7.4477794359690376E-3</v>
      </c>
    </row>
    <row r="974" spans="1:18" x14ac:dyDescent="0.3">
      <c r="A974" s="1">
        <v>45630</v>
      </c>
      <c r="B974">
        <v>950.15</v>
      </c>
      <c r="C974">
        <f t="shared" si="61"/>
        <v>2.0788568972926542E-2</v>
      </c>
      <c r="D974" s="2">
        <f t="shared" si="62"/>
        <v>2.0788568972926542E-2</v>
      </c>
      <c r="O974" s="1">
        <v>45630</v>
      </c>
      <c r="P974">
        <v>80956.33</v>
      </c>
      <c r="Q974">
        <f t="shared" si="63"/>
        <v>1.3677898961912253E-3</v>
      </c>
      <c r="R974" s="2">
        <f t="shared" si="64"/>
        <v>1.3677898961912253E-3</v>
      </c>
    </row>
    <row r="975" spans="1:18" x14ac:dyDescent="0.3">
      <c r="A975" s="1">
        <v>45631</v>
      </c>
      <c r="B975">
        <v>980.15</v>
      </c>
      <c r="C975">
        <f t="shared" si="61"/>
        <v>3.1573962005999053E-2</v>
      </c>
      <c r="D975" s="2">
        <f t="shared" si="62"/>
        <v>3.1573962005999053E-2</v>
      </c>
      <c r="O975" s="1">
        <v>45631</v>
      </c>
      <c r="P975">
        <v>81765.86</v>
      </c>
      <c r="Q975">
        <f t="shared" si="63"/>
        <v>9.9995886671245936E-3</v>
      </c>
      <c r="R975" s="2">
        <f t="shared" si="64"/>
        <v>9.9995886671245936E-3</v>
      </c>
    </row>
    <row r="976" spans="1:18" x14ac:dyDescent="0.3">
      <c r="A976" s="1">
        <v>45632</v>
      </c>
      <c r="B976">
        <v>965.15</v>
      </c>
      <c r="C976">
        <f t="shared" si="61"/>
        <v>-1.5303780033668316E-2</v>
      </c>
      <c r="D976" s="2">
        <f t="shared" si="62"/>
        <v>-1.5303780033668316E-2</v>
      </c>
      <c r="O976" s="1">
        <v>45632</v>
      </c>
      <c r="P976">
        <v>81709.119999999995</v>
      </c>
      <c r="Q976">
        <f t="shared" si="63"/>
        <v>-6.9393265110897432E-4</v>
      </c>
      <c r="R976" s="2">
        <f t="shared" si="64"/>
        <v>-6.9393265110897432E-4</v>
      </c>
    </row>
    <row r="977" spans="1:18" x14ac:dyDescent="0.3">
      <c r="A977" s="1">
        <v>45635</v>
      </c>
      <c r="B977">
        <v>928.25</v>
      </c>
      <c r="C977">
        <f t="shared" si="61"/>
        <v>-3.8232399108946775E-2</v>
      </c>
      <c r="D977" s="2">
        <f t="shared" si="62"/>
        <v>-3.8232399108946775E-2</v>
      </c>
      <c r="O977" s="1">
        <v>45635</v>
      </c>
      <c r="P977">
        <v>81508.460000000006</v>
      </c>
      <c r="Q977">
        <f t="shared" si="63"/>
        <v>-2.4557846174330226E-3</v>
      </c>
      <c r="R977" s="2">
        <f t="shared" si="64"/>
        <v>-2.4557846174330226E-3</v>
      </c>
    </row>
    <row r="978" spans="1:18" x14ac:dyDescent="0.3">
      <c r="A978" s="1">
        <v>45636</v>
      </c>
      <c r="B978">
        <v>928</v>
      </c>
      <c r="C978">
        <f t="shared" si="61"/>
        <v>-2.6932399676811203E-4</v>
      </c>
      <c r="D978" s="2">
        <f t="shared" si="62"/>
        <v>-2.6932399676811203E-4</v>
      </c>
      <c r="O978" s="1">
        <v>45636</v>
      </c>
      <c r="P978">
        <v>81510.05</v>
      </c>
      <c r="Q978">
        <f t="shared" si="63"/>
        <v>1.9507177537110963E-5</v>
      </c>
      <c r="R978" s="2">
        <f t="shared" si="64"/>
        <v>1.9507177537110963E-5</v>
      </c>
    </row>
    <row r="979" spans="1:18" x14ac:dyDescent="0.3">
      <c r="A979" s="1">
        <v>45637</v>
      </c>
      <c r="B979">
        <v>923.35</v>
      </c>
      <c r="C979">
        <f t="shared" si="61"/>
        <v>-5.0107758620689408E-3</v>
      </c>
      <c r="D979" s="2">
        <f t="shared" si="62"/>
        <v>-5.0107758620689408E-3</v>
      </c>
      <c r="O979" s="1">
        <v>45637</v>
      </c>
      <c r="P979">
        <v>81526.14</v>
      </c>
      <c r="Q979">
        <f t="shared" si="63"/>
        <v>1.973989710470857E-4</v>
      </c>
      <c r="R979" s="2">
        <f t="shared" si="64"/>
        <v>1.973989710470857E-4</v>
      </c>
    </row>
    <row r="980" spans="1:18" x14ac:dyDescent="0.3">
      <c r="A980" s="1">
        <v>45638</v>
      </c>
      <c r="B980">
        <v>908</v>
      </c>
      <c r="C980">
        <f t="shared" si="61"/>
        <v>-1.6624248659771509E-2</v>
      </c>
      <c r="D980" s="2">
        <f t="shared" si="62"/>
        <v>-1.6624248659771509E-2</v>
      </c>
      <c r="O980" s="1">
        <v>45638</v>
      </c>
      <c r="P980">
        <v>81289.960000000006</v>
      </c>
      <c r="Q980">
        <f t="shared" si="63"/>
        <v>-2.8969849424981117E-3</v>
      </c>
      <c r="R980" s="2">
        <f t="shared" si="64"/>
        <v>-2.8969849424981117E-3</v>
      </c>
    </row>
    <row r="981" spans="1:18" x14ac:dyDescent="0.3">
      <c r="A981" s="1">
        <v>45639</v>
      </c>
      <c r="B981">
        <v>935.45</v>
      </c>
      <c r="C981">
        <f t="shared" si="61"/>
        <v>3.0231277533039697E-2</v>
      </c>
      <c r="D981" s="2">
        <f t="shared" si="62"/>
        <v>3.0231277533039697E-2</v>
      </c>
      <c r="O981" s="1">
        <v>45639</v>
      </c>
      <c r="P981">
        <v>82133.119999999995</v>
      </c>
      <c r="Q981">
        <f t="shared" si="63"/>
        <v>1.0372252612745644E-2</v>
      </c>
      <c r="R981" s="2">
        <f t="shared" si="64"/>
        <v>1.0372252612745644E-2</v>
      </c>
    </row>
    <row r="982" spans="1:18" x14ac:dyDescent="0.3">
      <c r="A982" s="1">
        <v>45642</v>
      </c>
      <c r="B982">
        <v>1053.2</v>
      </c>
      <c r="C982">
        <f t="shared" si="61"/>
        <v>0.12587524720722645</v>
      </c>
      <c r="D982" s="2">
        <f t="shared" si="62"/>
        <v>0.12587524720722645</v>
      </c>
      <c r="O982" s="1">
        <v>45642</v>
      </c>
      <c r="P982">
        <v>81748.570000000007</v>
      </c>
      <c r="Q982">
        <f t="shared" si="63"/>
        <v>-4.6820332650213264E-3</v>
      </c>
      <c r="R982" s="2">
        <f t="shared" si="64"/>
        <v>-4.6820332650213264E-3</v>
      </c>
    </row>
    <row r="983" spans="1:18" x14ac:dyDescent="0.3">
      <c r="A983" s="1">
        <v>45643</v>
      </c>
      <c r="B983">
        <v>1063.05</v>
      </c>
      <c r="C983">
        <f t="shared" si="61"/>
        <v>9.3524496771742391E-3</v>
      </c>
      <c r="D983" s="2">
        <f t="shared" si="62"/>
        <v>9.3524496771742391E-3</v>
      </c>
      <c r="O983" s="1">
        <v>45643</v>
      </c>
      <c r="P983">
        <v>80684.45</v>
      </c>
      <c r="Q983">
        <f t="shared" si="63"/>
        <v>-1.3016986107524692E-2</v>
      </c>
      <c r="R983" s="2">
        <f t="shared" si="64"/>
        <v>-1.3016986107524692E-2</v>
      </c>
    </row>
    <row r="984" spans="1:18" x14ac:dyDescent="0.3">
      <c r="A984" s="1">
        <v>45644</v>
      </c>
      <c r="B984">
        <v>1017.8</v>
      </c>
      <c r="C984">
        <f t="shared" si="61"/>
        <v>-4.2566201025351587E-2</v>
      </c>
      <c r="D984" s="2">
        <f t="shared" si="62"/>
        <v>-4.2566201025351587E-2</v>
      </c>
      <c r="O984" s="1">
        <v>45644</v>
      </c>
      <c r="P984">
        <v>80182.2</v>
      </c>
      <c r="Q984">
        <f t="shared" si="63"/>
        <v>-6.2248673691151146E-3</v>
      </c>
      <c r="R984" s="2">
        <f t="shared" si="64"/>
        <v>-6.2248673691151146E-3</v>
      </c>
    </row>
    <row r="985" spans="1:18" x14ac:dyDescent="0.3">
      <c r="A985" s="1">
        <v>45645</v>
      </c>
      <c r="B985">
        <v>1045.45</v>
      </c>
      <c r="C985">
        <f t="shared" si="61"/>
        <v>2.7166437414030353E-2</v>
      </c>
      <c r="D985" s="2">
        <f t="shared" si="62"/>
        <v>2.7166437414030353E-2</v>
      </c>
      <c r="O985" s="1">
        <v>45645</v>
      </c>
      <c r="P985">
        <v>79218.05</v>
      </c>
      <c r="Q985">
        <f t="shared" si="63"/>
        <v>-1.2024489225788195E-2</v>
      </c>
      <c r="R985" s="2">
        <f t="shared" si="64"/>
        <v>-1.2024489225788195E-2</v>
      </c>
    </row>
    <row r="986" spans="1:18" x14ac:dyDescent="0.3">
      <c r="A986" s="1">
        <v>45646</v>
      </c>
      <c r="B986">
        <v>991.45</v>
      </c>
      <c r="C986">
        <f t="shared" si="61"/>
        <v>-5.1652398488689077E-2</v>
      </c>
      <c r="D986" s="2">
        <f t="shared" si="62"/>
        <v>-5.1652398488689077E-2</v>
      </c>
      <c r="O986" s="1">
        <v>45646</v>
      </c>
      <c r="P986">
        <v>78041.59</v>
      </c>
      <c r="Q986">
        <f t="shared" si="63"/>
        <v>-1.4850908347276995E-2</v>
      </c>
      <c r="R986" s="2">
        <f t="shared" si="64"/>
        <v>-1.4850908347276995E-2</v>
      </c>
    </row>
    <row r="987" spans="1:18" x14ac:dyDescent="0.3">
      <c r="A987" s="1">
        <v>45649</v>
      </c>
      <c r="B987">
        <v>969.65</v>
      </c>
      <c r="C987">
        <f t="shared" si="61"/>
        <v>-2.1987997377578363E-2</v>
      </c>
      <c r="D987" s="2">
        <f t="shared" si="62"/>
        <v>-2.1987997377578363E-2</v>
      </c>
      <c r="O987" s="1">
        <v>45649</v>
      </c>
      <c r="P987">
        <v>78540.17</v>
      </c>
      <c r="Q987">
        <f t="shared" si="63"/>
        <v>6.3886448238689364E-3</v>
      </c>
      <c r="R987" s="2">
        <f t="shared" si="64"/>
        <v>6.3886448238689364E-3</v>
      </c>
    </row>
    <row r="988" spans="1:18" x14ac:dyDescent="0.3">
      <c r="A988" s="1">
        <v>45650</v>
      </c>
      <c r="B988">
        <v>1016.05</v>
      </c>
      <c r="C988">
        <f t="shared" si="61"/>
        <v>4.7852317846645676E-2</v>
      </c>
      <c r="D988" s="2">
        <f t="shared" si="62"/>
        <v>4.7852317846645676E-2</v>
      </c>
      <c r="O988" s="1">
        <v>45650</v>
      </c>
      <c r="P988">
        <v>78472.87</v>
      </c>
      <c r="Q988">
        <f t="shared" si="63"/>
        <v>-8.5688635509705306E-4</v>
      </c>
      <c r="R988" s="2">
        <f t="shared" si="64"/>
        <v>-8.5688635509705306E-4</v>
      </c>
    </row>
    <row r="989" spans="1:18" x14ac:dyDescent="0.3">
      <c r="A989" s="1">
        <v>45652</v>
      </c>
      <c r="B989">
        <v>991.1</v>
      </c>
      <c r="C989">
        <f t="shared" si="61"/>
        <v>-2.4555878155602513E-2</v>
      </c>
      <c r="D989" s="2">
        <f t="shared" si="62"/>
        <v>-2.4555878155602513E-2</v>
      </c>
      <c r="O989" s="1">
        <v>45652</v>
      </c>
      <c r="P989">
        <v>78472.479999999996</v>
      </c>
      <c r="Q989">
        <f t="shared" si="63"/>
        <v>-4.9698704787962765E-6</v>
      </c>
      <c r="R989" s="2">
        <f t="shared" si="64"/>
        <v>-4.9698704787962765E-6</v>
      </c>
    </row>
    <row r="990" spans="1:18" x14ac:dyDescent="0.3">
      <c r="A990" s="1">
        <v>45653</v>
      </c>
      <c r="B990">
        <v>975.2</v>
      </c>
      <c r="C990">
        <f t="shared" si="61"/>
        <v>-1.6042780748663079E-2</v>
      </c>
      <c r="D990" s="2">
        <f t="shared" si="62"/>
        <v>-1.6042780748663079E-2</v>
      </c>
      <c r="O990" s="1">
        <v>45653</v>
      </c>
      <c r="P990">
        <v>78699.070000000007</v>
      </c>
      <c r="Q990">
        <f t="shared" si="63"/>
        <v>2.8875090987313143E-3</v>
      </c>
      <c r="R990" s="2">
        <f t="shared" si="64"/>
        <v>2.8875090987313143E-3</v>
      </c>
    </row>
    <row r="991" spans="1:18" x14ac:dyDescent="0.3">
      <c r="A991" s="1">
        <v>45656</v>
      </c>
      <c r="B991">
        <v>965.05</v>
      </c>
      <c r="C991">
        <f t="shared" si="61"/>
        <v>-1.040812141099271E-2</v>
      </c>
      <c r="D991" s="2">
        <f t="shared" si="62"/>
        <v>-1.040812141099271E-2</v>
      </c>
      <c r="O991" s="1">
        <v>45656</v>
      </c>
      <c r="P991">
        <v>78248.13</v>
      </c>
      <c r="Q991">
        <f t="shared" si="63"/>
        <v>-5.7299279394280303E-3</v>
      </c>
      <c r="R991" s="2">
        <f t="shared" si="64"/>
        <v>-5.7299279394280303E-3</v>
      </c>
    </row>
    <row r="992" spans="1:18" x14ac:dyDescent="0.3">
      <c r="A992" s="1">
        <v>45657</v>
      </c>
      <c r="B992">
        <v>964.55</v>
      </c>
      <c r="C992">
        <f t="shared" si="61"/>
        <v>-5.1810787005854622E-4</v>
      </c>
      <c r="D992" s="2">
        <f t="shared" si="62"/>
        <v>-5.1810787005854622E-4</v>
      </c>
      <c r="O992" s="1">
        <v>45657</v>
      </c>
      <c r="P992">
        <v>78139.009999999995</v>
      </c>
      <c r="Q992">
        <f t="shared" si="63"/>
        <v>-1.3945381186746557E-3</v>
      </c>
      <c r="R992" s="2">
        <f t="shared" si="64"/>
        <v>-1.3945381186746557E-3</v>
      </c>
    </row>
    <row r="993" spans="1:18" x14ac:dyDescent="0.3">
      <c r="A993" s="1">
        <v>45658</v>
      </c>
      <c r="B993">
        <v>974.1</v>
      </c>
      <c r="C993">
        <f t="shared" si="61"/>
        <v>9.9009900990099722E-3</v>
      </c>
      <c r="D993" s="2">
        <f t="shared" si="62"/>
        <v>9.9009900990099722E-3</v>
      </c>
      <c r="O993" s="1">
        <v>45658</v>
      </c>
      <c r="P993">
        <v>78507.41</v>
      </c>
      <c r="Q993">
        <f t="shared" si="63"/>
        <v>4.7146745268465615E-3</v>
      </c>
      <c r="R993" s="2">
        <f t="shared" si="64"/>
        <v>4.7146745268465615E-3</v>
      </c>
    </row>
    <row r="994" spans="1:18" x14ac:dyDescent="0.3">
      <c r="A994" s="1">
        <v>45659</v>
      </c>
      <c r="B994">
        <v>1047.0999999999999</v>
      </c>
      <c r="C994">
        <f t="shared" si="61"/>
        <v>7.4940971152858929E-2</v>
      </c>
      <c r="D994" s="2">
        <f t="shared" si="62"/>
        <v>7.4940971152858929E-2</v>
      </c>
      <c r="O994" s="1">
        <v>45659</v>
      </c>
      <c r="P994">
        <v>79943.710000000006</v>
      </c>
      <c r="Q994">
        <f t="shared" si="63"/>
        <v>1.829508832350988E-2</v>
      </c>
      <c r="R994" s="2">
        <f t="shared" si="64"/>
        <v>1.829508832350988E-2</v>
      </c>
    </row>
    <row r="995" spans="1:18" x14ac:dyDescent="0.3">
      <c r="A995" s="1">
        <v>45660</v>
      </c>
      <c r="B995">
        <v>1040.2</v>
      </c>
      <c r="C995">
        <f t="shared" si="61"/>
        <v>-6.5896284977555765E-3</v>
      </c>
      <c r="D995" s="2">
        <f t="shared" si="62"/>
        <v>-6.5896284977555765E-3</v>
      </c>
      <c r="O995" s="1">
        <v>45660</v>
      </c>
      <c r="P995">
        <v>79223.11</v>
      </c>
      <c r="Q995">
        <f t="shared" si="63"/>
        <v>-9.0138423648340286E-3</v>
      </c>
      <c r="R995" s="2">
        <f t="shared" si="64"/>
        <v>-9.0138423648340286E-3</v>
      </c>
    </row>
    <row r="996" spans="1:18" x14ac:dyDescent="0.3">
      <c r="A996" s="1">
        <v>45663</v>
      </c>
      <c r="B996">
        <v>997</v>
      </c>
      <c r="C996">
        <f t="shared" si="61"/>
        <v>-4.1530474908671448E-2</v>
      </c>
      <c r="D996" s="2">
        <f t="shared" si="62"/>
        <v>-4.1530474908671448E-2</v>
      </c>
      <c r="O996" s="1">
        <v>45663</v>
      </c>
      <c r="P996">
        <v>77964.990000000005</v>
      </c>
      <c r="Q996">
        <f t="shared" si="63"/>
        <v>-1.5880719653646458E-2</v>
      </c>
      <c r="R996" s="2">
        <f t="shared" si="64"/>
        <v>-1.5880719653646458E-2</v>
      </c>
    </row>
    <row r="997" spans="1:18" x14ac:dyDescent="0.3">
      <c r="A997" s="1">
        <v>45664</v>
      </c>
      <c r="B997">
        <v>1033.5</v>
      </c>
      <c r="C997">
        <f t="shared" si="61"/>
        <v>3.6609829488465397E-2</v>
      </c>
      <c r="D997" s="2">
        <f t="shared" si="62"/>
        <v>3.6609829488465397E-2</v>
      </c>
      <c r="O997" s="1">
        <v>45664</v>
      </c>
      <c r="P997">
        <v>78199.11</v>
      </c>
      <c r="Q997">
        <f t="shared" si="63"/>
        <v>3.0028862955025753E-3</v>
      </c>
      <c r="R997" s="2">
        <f t="shared" si="64"/>
        <v>3.0028862955025753E-3</v>
      </c>
    </row>
    <row r="998" spans="1:18" x14ac:dyDescent="0.3">
      <c r="A998" s="1">
        <v>45665</v>
      </c>
      <c r="B998">
        <v>998.8</v>
      </c>
      <c r="C998">
        <f t="shared" si="61"/>
        <v>-3.3575229801644943E-2</v>
      </c>
      <c r="D998" s="2">
        <f t="shared" si="62"/>
        <v>-3.3575229801644943E-2</v>
      </c>
      <c r="O998" s="1">
        <v>45665</v>
      </c>
      <c r="P998">
        <v>78148.490000000005</v>
      </c>
      <c r="Q998">
        <f t="shared" si="63"/>
        <v>-6.4732194522412517E-4</v>
      </c>
      <c r="R998" s="2">
        <f t="shared" si="64"/>
        <v>-6.4732194522412517E-4</v>
      </c>
    </row>
    <row r="999" spans="1:18" x14ac:dyDescent="0.3">
      <c r="A999" s="1">
        <v>45666</v>
      </c>
      <c r="B999">
        <v>966.05</v>
      </c>
      <c r="C999">
        <f t="shared" si="61"/>
        <v>-3.2789347216659992E-2</v>
      </c>
      <c r="D999" s="2">
        <f t="shared" si="62"/>
        <v>-3.2789347216659992E-2</v>
      </c>
      <c r="O999" s="1">
        <v>45666</v>
      </c>
      <c r="P999">
        <v>77620.210000000006</v>
      </c>
      <c r="Q999">
        <f t="shared" si="63"/>
        <v>-6.7599514718710346E-3</v>
      </c>
      <c r="R999" s="2">
        <f t="shared" si="64"/>
        <v>-6.7599514718710346E-3</v>
      </c>
    </row>
    <row r="1000" spans="1:18" x14ac:dyDescent="0.3">
      <c r="A1000" s="1">
        <v>45667</v>
      </c>
      <c r="B1000">
        <v>946.05</v>
      </c>
      <c r="C1000">
        <f t="shared" si="61"/>
        <v>-2.0702862170695099E-2</v>
      </c>
      <c r="D1000" s="2">
        <f t="shared" si="62"/>
        <v>-2.0702862170695099E-2</v>
      </c>
      <c r="O1000" s="1">
        <v>45667</v>
      </c>
      <c r="P1000">
        <v>77378.91</v>
      </c>
      <c r="Q1000">
        <f t="shared" si="63"/>
        <v>-3.1087264515259993E-3</v>
      </c>
      <c r="R1000" s="2">
        <f t="shared" si="64"/>
        <v>-3.1087264515259993E-3</v>
      </c>
    </row>
    <row r="1001" spans="1:18" x14ac:dyDescent="0.3">
      <c r="A1001" s="1">
        <v>45670</v>
      </c>
      <c r="B1001">
        <v>890.75</v>
      </c>
      <c r="C1001">
        <f t="shared" si="61"/>
        <v>-5.8453570107288154E-2</v>
      </c>
      <c r="D1001" s="2">
        <f t="shared" si="62"/>
        <v>-5.8453570107288154E-2</v>
      </c>
      <c r="O1001" s="1">
        <v>45670</v>
      </c>
      <c r="P1001">
        <v>76330.009999999995</v>
      </c>
      <c r="Q1001">
        <f t="shared" si="63"/>
        <v>-1.355537316304932E-2</v>
      </c>
      <c r="R1001" s="2">
        <f t="shared" si="64"/>
        <v>-1.355537316304932E-2</v>
      </c>
    </row>
    <row r="1002" spans="1:18" x14ac:dyDescent="0.3">
      <c r="A1002" s="1">
        <v>45671</v>
      </c>
      <c r="B1002">
        <v>880.15</v>
      </c>
      <c r="C1002">
        <f t="shared" si="61"/>
        <v>-1.1900084198708978E-2</v>
      </c>
      <c r="D1002" s="2">
        <f t="shared" si="62"/>
        <v>-1.1900084198708978E-2</v>
      </c>
      <c r="O1002" s="1">
        <v>45671</v>
      </c>
      <c r="P1002">
        <v>76499.63</v>
      </c>
      <c r="Q1002">
        <f t="shared" si="63"/>
        <v>2.2221928177398368E-3</v>
      </c>
      <c r="R1002" s="2">
        <f t="shared" si="64"/>
        <v>2.2221928177398368E-3</v>
      </c>
    </row>
    <row r="1003" spans="1:18" x14ac:dyDescent="0.3">
      <c r="A1003" s="1">
        <v>45672</v>
      </c>
      <c r="B1003">
        <v>901.1</v>
      </c>
      <c r="C1003">
        <f t="shared" si="61"/>
        <v>2.3802760893029649E-2</v>
      </c>
      <c r="D1003" s="2">
        <f t="shared" si="62"/>
        <v>2.3802760893029649E-2</v>
      </c>
      <c r="O1003" s="1">
        <v>45672</v>
      </c>
      <c r="P1003">
        <v>76724.08</v>
      </c>
      <c r="Q1003">
        <f t="shared" si="63"/>
        <v>2.9340011186981831E-3</v>
      </c>
      <c r="R1003" s="2">
        <f t="shared" si="64"/>
        <v>2.9340011186981831E-3</v>
      </c>
    </row>
    <row r="1004" spans="1:18" x14ac:dyDescent="0.3">
      <c r="A1004" s="1">
        <v>45673</v>
      </c>
      <c r="B1004">
        <v>908.65</v>
      </c>
      <c r="C1004">
        <f t="shared" si="61"/>
        <v>8.3786483187215117E-3</v>
      </c>
      <c r="D1004" s="2">
        <f t="shared" si="62"/>
        <v>8.3786483187215117E-3</v>
      </c>
      <c r="O1004" s="1">
        <v>45673</v>
      </c>
      <c r="P1004">
        <v>77042.820000000007</v>
      </c>
      <c r="Q1004">
        <f t="shared" si="63"/>
        <v>4.1543671817245017E-3</v>
      </c>
      <c r="R1004" s="2">
        <f t="shared" si="64"/>
        <v>4.1543671817245017E-3</v>
      </c>
    </row>
    <row r="1005" spans="1:18" x14ac:dyDescent="0.3">
      <c r="A1005" s="1">
        <v>45674</v>
      </c>
      <c r="B1005">
        <v>881.95</v>
      </c>
      <c r="C1005">
        <f t="shared" si="61"/>
        <v>-2.9384251361910453E-2</v>
      </c>
      <c r="D1005" s="2">
        <f t="shared" si="62"/>
        <v>-2.9384251361910453E-2</v>
      </c>
      <c r="O1005" s="1">
        <v>45674</v>
      </c>
      <c r="P1005">
        <v>76619.33</v>
      </c>
      <c r="Q1005">
        <f t="shared" si="63"/>
        <v>-5.4968133305609169E-3</v>
      </c>
      <c r="R1005" s="2">
        <f t="shared" si="64"/>
        <v>-5.4968133305609169E-3</v>
      </c>
    </row>
    <row r="1006" spans="1:18" x14ac:dyDescent="0.3">
      <c r="A1006" s="1">
        <v>45677</v>
      </c>
      <c r="B1006">
        <v>884.85</v>
      </c>
      <c r="C1006">
        <f t="shared" si="61"/>
        <v>3.2881682635069755E-3</v>
      </c>
      <c r="D1006" s="2">
        <f t="shared" si="62"/>
        <v>3.2881682635069755E-3</v>
      </c>
      <c r="O1006" s="1">
        <v>45677</v>
      </c>
      <c r="P1006">
        <v>77073.440000000002</v>
      </c>
      <c r="Q1006">
        <f t="shared" si="63"/>
        <v>5.9268333461020943E-3</v>
      </c>
      <c r="R1006" s="2">
        <f t="shared" si="64"/>
        <v>5.9268333461020943E-3</v>
      </c>
    </row>
    <row r="1007" spans="1:18" x14ac:dyDescent="0.3">
      <c r="A1007" s="1">
        <v>45678</v>
      </c>
      <c r="B1007">
        <v>852.35</v>
      </c>
      <c r="C1007">
        <f t="shared" si="61"/>
        <v>-3.6729389162004862E-2</v>
      </c>
      <c r="D1007" s="2">
        <f t="shared" si="62"/>
        <v>-3.6729389162004862E-2</v>
      </c>
      <c r="O1007" s="1">
        <v>45678</v>
      </c>
      <c r="P1007">
        <v>75838.36</v>
      </c>
      <c r="Q1007">
        <f t="shared" si="63"/>
        <v>-1.6024716166814428E-2</v>
      </c>
      <c r="R1007" s="2">
        <f t="shared" si="64"/>
        <v>-1.6024716166814428E-2</v>
      </c>
    </row>
    <row r="1008" spans="1:18" x14ac:dyDescent="0.3">
      <c r="A1008" s="1">
        <v>45679</v>
      </c>
      <c r="B1008">
        <v>869.65</v>
      </c>
      <c r="C1008">
        <f t="shared" si="61"/>
        <v>2.0296826421071102E-2</v>
      </c>
      <c r="D1008" s="2">
        <f t="shared" si="62"/>
        <v>2.0296826421071102E-2</v>
      </c>
      <c r="O1008" s="1">
        <v>45679</v>
      </c>
      <c r="P1008">
        <v>76404.990000000005</v>
      </c>
      <c r="Q1008">
        <f t="shared" si="63"/>
        <v>7.4715486991016773E-3</v>
      </c>
      <c r="R1008" s="2">
        <f t="shared" si="64"/>
        <v>7.4715486991016773E-3</v>
      </c>
    </row>
    <row r="1009" spans="1:18" x14ac:dyDescent="0.3">
      <c r="A1009" s="1">
        <v>45680</v>
      </c>
      <c r="B1009">
        <v>886.85</v>
      </c>
      <c r="C1009">
        <f t="shared" si="61"/>
        <v>1.9778071638015347E-2</v>
      </c>
      <c r="D1009" s="2">
        <f t="shared" si="62"/>
        <v>1.9778071638015347E-2</v>
      </c>
      <c r="O1009" s="1">
        <v>45680</v>
      </c>
      <c r="P1009">
        <v>76520.38</v>
      </c>
      <c r="Q1009">
        <f t="shared" si="63"/>
        <v>1.5102416740058393E-3</v>
      </c>
      <c r="R1009" s="2">
        <f t="shared" si="64"/>
        <v>1.5102416740058393E-3</v>
      </c>
    </row>
    <row r="1010" spans="1:18" x14ac:dyDescent="0.3">
      <c r="A1010" s="1">
        <v>45681</v>
      </c>
      <c r="B1010">
        <v>851.9</v>
      </c>
      <c r="C1010">
        <f t="shared" si="61"/>
        <v>-3.9409144725714655E-2</v>
      </c>
      <c r="D1010" s="2">
        <f t="shared" si="62"/>
        <v>-3.9409144725714655E-2</v>
      </c>
      <c r="O1010" s="1">
        <v>45681</v>
      </c>
      <c r="P1010">
        <v>76190.460000000006</v>
      </c>
      <c r="Q1010">
        <f t="shared" si="63"/>
        <v>-4.3115311241266477E-3</v>
      </c>
      <c r="R1010" s="2">
        <f t="shared" si="64"/>
        <v>-4.3115311241266477E-3</v>
      </c>
    </row>
    <row r="1011" spans="1:18" x14ac:dyDescent="0.3">
      <c r="A1011" s="1">
        <v>45684</v>
      </c>
      <c r="B1011">
        <v>844.35</v>
      </c>
      <c r="C1011">
        <f t="shared" si="61"/>
        <v>-8.8625425519426627E-3</v>
      </c>
      <c r="D1011" s="2">
        <f t="shared" si="62"/>
        <v>-8.8625425519426627E-3</v>
      </c>
      <c r="O1011" s="1">
        <v>45684</v>
      </c>
      <c r="P1011">
        <v>75366.17</v>
      </c>
      <c r="Q1011">
        <f t="shared" si="63"/>
        <v>-1.0818808548996924E-2</v>
      </c>
      <c r="R1011" s="2">
        <f t="shared" si="64"/>
        <v>-1.0818808548996924E-2</v>
      </c>
    </row>
    <row r="1012" spans="1:18" x14ac:dyDescent="0.3">
      <c r="A1012" s="1">
        <v>45685</v>
      </c>
      <c r="B1012">
        <v>861.2</v>
      </c>
      <c r="C1012">
        <f t="shared" si="61"/>
        <v>1.9956179309528067E-2</v>
      </c>
      <c r="D1012" s="2">
        <f t="shared" si="62"/>
        <v>1.9956179309528067E-2</v>
      </c>
      <c r="O1012" s="1">
        <v>45685</v>
      </c>
      <c r="P1012">
        <v>75901.41</v>
      </c>
      <c r="Q1012">
        <f t="shared" si="63"/>
        <v>7.1018601582116389E-3</v>
      </c>
      <c r="R1012" s="2">
        <f t="shared" si="64"/>
        <v>7.1018601582116389E-3</v>
      </c>
    </row>
    <row r="1013" spans="1:18" x14ac:dyDescent="0.3">
      <c r="A1013" s="1">
        <v>45686</v>
      </c>
      <c r="B1013">
        <v>818.45</v>
      </c>
      <c r="C1013">
        <f t="shared" si="61"/>
        <v>-4.9640037157454714E-2</v>
      </c>
      <c r="D1013" s="2">
        <f t="shared" si="62"/>
        <v>-4.9640037157454714E-2</v>
      </c>
      <c r="O1013" s="1">
        <v>45686</v>
      </c>
      <c r="P1013">
        <v>76532.960000000006</v>
      </c>
      <c r="Q1013">
        <f t="shared" si="63"/>
        <v>8.320662290726916E-3</v>
      </c>
      <c r="R1013" s="2">
        <f t="shared" si="64"/>
        <v>8.320662290726916E-3</v>
      </c>
    </row>
    <row r="1014" spans="1:18" x14ac:dyDescent="0.3">
      <c r="A1014" s="1">
        <v>45687</v>
      </c>
      <c r="B1014">
        <v>825.95</v>
      </c>
      <c r="C1014">
        <f t="shared" si="61"/>
        <v>9.1636630215651532E-3</v>
      </c>
      <c r="D1014" s="2">
        <f t="shared" si="62"/>
        <v>9.1636630215651532E-3</v>
      </c>
      <c r="O1014" s="1">
        <v>45687</v>
      </c>
      <c r="P1014">
        <v>76759.81</v>
      </c>
      <c r="Q1014">
        <f t="shared" si="63"/>
        <v>2.964082403189309E-3</v>
      </c>
      <c r="R1014" s="2">
        <f t="shared" si="64"/>
        <v>2.964082403189309E-3</v>
      </c>
    </row>
    <row r="1015" spans="1:18" x14ac:dyDescent="0.3">
      <c r="A1015" s="1">
        <v>45688</v>
      </c>
      <c r="B1015">
        <v>845.15</v>
      </c>
      <c r="C1015">
        <f t="shared" si="61"/>
        <v>2.3245959198498613E-2</v>
      </c>
      <c r="D1015" s="2">
        <f t="shared" si="62"/>
        <v>2.3245959198498613E-2</v>
      </c>
      <c r="O1015" s="1">
        <v>45688</v>
      </c>
      <c r="P1015">
        <v>77500.570000000007</v>
      </c>
      <c r="Q1015">
        <f t="shared" si="63"/>
        <v>9.6503626051186071E-3</v>
      </c>
      <c r="R1015" s="2">
        <f t="shared" si="64"/>
        <v>9.6503626051186071E-3</v>
      </c>
    </row>
    <row r="1016" spans="1:18" x14ac:dyDescent="0.3">
      <c r="A1016" s="1">
        <v>45689</v>
      </c>
      <c r="B1016">
        <v>791.45</v>
      </c>
      <c r="C1016">
        <f t="shared" si="61"/>
        <v>-6.3539016742589993E-2</v>
      </c>
      <c r="D1016" s="2">
        <f t="shared" si="62"/>
        <v>-6.3539016742589993E-2</v>
      </c>
      <c r="O1016" s="1">
        <v>45689</v>
      </c>
      <c r="P1016">
        <v>77505.960000000006</v>
      </c>
      <c r="Q1016">
        <f t="shared" si="63"/>
        <v>6.9547875583359157E-5</v>
      </c>
      <c r="R1016" s="2">
        <f t="shared" si="64"/>
        <v>6.9547875583359157E-5</v>
      </c>
    </row>
    <row r="1017" spans="1:18" x14ac:dyDescent="0.3">
      <c r="A1017" s="1">
        <v>45691</v>
      </c>
      <c r="B1017">
        <v>734.75</v>
      </c>
      <c r="C1017">
        <f t="shared" si="61"/>
        <v>-7.1640659548929231E-2</v>
      </c>
      <c r="D1017" s="2">
        <f t="shared" si="62"/>
        <v>-7.1640659548929231E-2</v>
      </c>
      <c r="O1017" s="1">
        <v>45691</v>
      </c>
      <c r="P1017">
        <v>77186.740000000005</v>
      </c>
      <c r="Q1017">
        <f t="shared" si="63"/>
        <v>-4.1186510043872901E-3</v>
      </c>
      <c r="R1017" s="2">
        <f t="shared" si="64"/>
        <v>-4.1186510043872901E-3</v>
      </c>
    </row>
    <row r="1018" spans="1:18" x14ac:dyDescent="0.3">
      <c r="A1018" s="1">
        <v>45692</v>
      </c>
      <c r="B1018">
        <v>752.85</v>
      </c>
      <c r="C1018">
        <f t="shared" si="61"/>
        <v>2.4634229329704011E-2</v>
      </c>
      <c r="D1018" s="2">
        <f t="shared" si="62"/>
        <v>2.4634229329704011E-2</v>
      </c>
      <c r="O1018" s="1">
        <v>45692</v>
      </c>
      <c r="P1018">
        <v>78583.81</v>
      </c>
      <c r="Q1018">
        <f t="shared" si="63"/>
        <v>1.809987052180196E-2</v>
      </c>
      <c r="R1018" s="2">
        <f t="shared" si="64"/>
        <v>1.809987052180196E-2</v>
      </c>
    </row>
    <row r="1019" spans="1:18" x14ac:dyDescent="0.3">
      <c r="A1019" s="1">
        <v>45693</v>
      </c>
      <c r="B1019">
        <v>757.5</v>
      </c>
      <c r="C1019">
        <f t="shared" si="61"/>
        <v>6.1765291890814597E-3</v>
      </c>
      <c r="D1019" s="2">
        <f t="shared" si="62"/>
        <v>6.1765291890814597E-3</v>
      </c>
      <c r="O1019" s="1">
        <v>45693</v>
      </c>
      <c r="P1019">
        <v>78271.28</v>
      </c>
      <c r="Q1019">
        <f t="shared" si="63"/>
        <v>-3.9770278381768311E-3</v>
      </c>
      <c r="R1019" s="2">
        <f t="shared" si="64"/>
        <v>-3.9770278381768311E-3</v>
      </c>
    </row>
    <row r="1020" spans="1:18" x14ac:dyDescent="0.3">
      <c r="A1020" s="1">
        <v>45694</v>
      </c>
      <c r="B1020">
        <v>746.05</v>
      </c>
      <c r="C1020">
        <f t="shared" si="61"/>
        <v>-1.5115511551155175E-2</v>
      </c>
      <c r="D1020" s="2">
        <f t="shared" si="62"/>
        <v>-1.5115511551155175E-2</v>
      </c>
      <c r="O1020" s="1">
        <v>45694</v>
      </c>
      <c r="P1020">
        <v>78058.16</v>
      </c>
      <c r="Q1020">
        <f t="shared" si="63"/>
        <v>-2.7228378020647593E-3</v>
      </c>
      <c r="R1020" s="2">
        <f t="shared" si="64"/>
        <v>-2.7228378020647593E-3</v>
      </c>
    </row>
    <row r="1021" spans="1:18" x14ac:dyDescent="0.3">
      <c r="A1021" s="1">
        <v>45695</v>
      </c>
      <c r="B1021">
        <v>773.65</v>
      </c>
      <c r="C1021">
        <f t="shared" si="61"/>
        <v>3.6994839487970006E-2</v>
      </c>
      <c r="D1021" s="2">
        <f t="shared" si="62"/>
        <v>3.6994839487970006E-2</v>
      </c>
      <c r="O1021" s="1">
        <v>45695</v>
      </c>
      <c r="P1021">
        <v>77860.19</v>
      </c>
      <c r="Q1021">
        <f t="shared" si="63"/>
        <v>-2.5361858388668291E-3</v>
      </c>
      <c r="R1021" s="2">
        <f t="shared" si="64"/>
        <v>-2.5361858388668291E-3</v>
      </c>
    </row>
    <row r="1022" spans="1:18" x14ac:dyDescent="0.3">
      <c r="A1022" s="1">
        <v>45698</v>
      </c>
      <c r="B1022">
        <v>736</v>
      </c>
      <c r="C1022">
        <f t="shared" si="61"/>
        <v>-4.8665417178310577E-2</v>
      </c>
      <c r="D1022" s="2">
        <f t="shared" si="62"/>
        <v>-4.8665417178310577E-2</v>
      </c>
      <c r="O1022" s="1">
        <v>45698</v>
      </c>
      <c r="P1022">
        <v>77311.8</v>
      </c>
      <c r="Q1022">
        <f t="shared" si="63"/>
        <v>-7.0432656277874409E-3</v>
      </c>
      <c r="R1022" s="2">
        <f t="shared" si="64"/>
        <v>-7.0432656277874409E-3</v>
      </c>
    </row>
    <row r="1023" spans="1:18" x14ac:dyDescent="0.3">
      <c r="A1023" s="1">
        <v>45699</v>
      </c>
      <c r="B1023">
        <v>708.75</v>
      </c>
      <c r="C1023">
        <f t="shared" si="61"/>
        <v>-3.7024456521739128E-2</v>
      </c>
      <c r="D1023" s="2">
        <f t="shared" si="62"/>
        <v>-3.7024456521739128E-2</v>
      </c>
      <c r="O1023" s="1">
        <v>45699</v>
      </c>
      <c r="P1023">
        <v>76293.600000000006</v>
      </c>
      <c r="Q1023">
        <f t="shared" si="63"/>
        <v>-1.3170046487082141E-2</v>
      </c>
      <c r="R1023" s="2">
        <f t="shared" si="64"/>
        <v>-1.3170046487082141E-2</v>
      </c>
    </row>
    <row r="1024" spans="1:18" x14ac:dyDescent="0.3">
      <c r="A1024" s="1">
        <v>45700</v>
      </c>
      <c r="B1024">
        <v>727.65</v>
      </c>
      <c r="C1024">
        <f t="shared" si="61"/>
        <v>2.6666666666666634E-2</v>
      </c>
      <c r="D1024" s="2">
        <f t="shared" si="62"/>
        <v>2.6666666666666634E-2</v>
      </c>
      <c r="O1024" s="1">
        <v>45700</v>
      </c>
      <c r="P1024">
        <v>76171.08</v>
      </c>
      <c r="Q1024">
        <f t="shared" si="63"/>
        <v>-1.6059014124383182E-3</v>
      </c>
      <c r="R1024" s="2">
        <f t="shared" si="64"/>
        <v>-1.6059014124383182E-3</v>
      </c>
    </row>
    <row r="1025" spans="1:18" x14ac:dyDescent="0.3">
      <c r="A1025" s="1">
        <v>45701</v>
      </c>
      <c r="B1025">
        <v>704.85</v>
      </c>
      <c r="C1025">
        <f t="shared" si="61"/>
        <v>-3.1333745619459841E-2</v>
      </c>
      <c r="D1025" s="2">
        <f t="shared" si="62"/>
        <v>-3.1333745619459841E-2</v>
      </c>
      <c r="O1025" s="1">
        <v>45701</v>
      </c>
      <c r="P1025">
        <v>76138.97</v>
      </c>
      <c r="Q1025">
        <f t="shared" si="63"/>
        <v>-4.2155106636272694E-4</v>
      </c>
      <c r="R1025" s="2">
        <f t="shared" si="64"/>
        <v>-4.2155106636272694E-4</v>
      </c>
    </row>
    <row r="1026" spans="1:18" x14ac:dyDescent="0.3">
      <c r="A1026" s="1">
        <v>45702</v>
      </c>
      <c r="B1026">
        <v>668.1</v>
      </c>
      <c r="C1026">
        <f t="shared" si="61"/>
        <v>-5.2138752926154497E-2</v>
      </c>
      <c r="D1026" s="2">
        <f t="shared" si="62"/>
        <v>-5.2138752926154497E-2</v>
      </c>
      <c r="O1026" s="1">
        <v>45702</v>
      </c>
      <c r="P1026">
        <v>75939.210000000006</v>
      </c>
      <c r="Q1026">
        <f t="shared" si="63"/>
        <v>-2.6236236187591553E-3</v>
      </c>
      <c r="R1026" s="2">
        <f t="shared" si="64"/>
        <v>-2.6236236187591553E-3</v>
      </c>
    </row>
    <row r="1027" spans="1:18" x14ac:dyDescent="0.3">
      <c r="A1027" s="1">
        <v>45705</v>
      </c>
      <c r="B1027">
        <v>644.4</v>
      </c>
      <c r="C1027">
        <f t="shared" si="61"/>
        <v>-3.5473731477323821E-2</v>
      </c>
      <c r="D1027" s="2">
        <f t="shared" si="62"/>
        <v>-3.5473731477323821E-2</v>
      </c>
      <c r="O1027" s="1">
        <v>45705</v>
      </c>
      <c r="P1027">
        <v>75996.86</v>
      </c>
      <c r="Q1027">
        <f t="shared" si="63"/>
        <v>7.5915985957707719E-4</v>
      </c>
      <c r="R1027" s="2">
        <f t="shared" si="64"/>
        <v>7.5915985957707719E-4</v>
      </c>
    </row>
    <row r="1028" spans="1:18" x14ac:dyDescent="0.3">
      <c r="A1028" s="1">
        <v>45706</v>
      </c>
      <c r="B1028">
        <v>622.6</v>
      </c>
      <c r="C1028">
        <f t="shared" ref="C1028:C1091" si="65">(B1028-B1027)/B1027</f>
        <v>-3.382991930477957E-2</v>
      </c>
      <c r="D1028" s="2">
        <f t="shared" ref="D1028:D1091" si="66">(B1028-B1027)/B1027</f>
        <v>-3.382991930477957E-2</v>
      </c>
      <c r="O1028" s="1">
        <v>45706</v>
      </c>
      <c r="P1028">
        <v>75967.39</v>
      </c>
      <c r="Q1028">
        <f t="shared" ref="Q1028:Q1091" si="67">(P1028-P1027)/P1027</f>
        <v>-3.8777917929768628E-4</v>
      </c>
      <c r="R1028" s="2">
        <f t="shared" ref="R1028:R1091" si="68">(P1028-P1027)/P1027</f>
        <v>-3.8777917929768628E-4</v>
      </c>
    </row>
    <row r="1029" spans="1:18" x14ac:dyDescent="0.3">
      <c r="A1029" s="1">
        <v>45707</v>
      </c>
      <c r="B1029">
        <v>638.70000000000005</v>
      </c>
      <c r="C1029">
        <f t="shared" si="65"/>
        <v>2.5859299710889853E-2</v>
      </c>
      <c r="D1029" s="2">
        <f t="shared" si="66"/>
        <v>2.5859299710889853E-2</v>
      </c>
      <c r="O1029" s="1">
        <v>45707</v>
      </c>
      <c r="P1029">
        <v>75939.179999999993</v>
      </c>
      <c r="Q1029">
        <f t="shared" si="67"/>
        <v>-3.7134354622432602E-4</v>
      </c>
      <c r="R1029" s="2">
        <f t="shared" si="68"/>
        <v>-3.7134354622432602E-4</v>
      </c>
    </row>
    <row r="1030" spans="1:18" x14ac:dyDescent="0.3">
      <c r="A1030" s="1">
        <v>45708</v>
      </c>
      <c r="B1030">
        <v>636.75</v>
      </c>
      <c r="C1030">
        <f t="shared" si="65"/>
        <v>-3.0530765617661584E-3</v>
      </c>
      <c r="D1030" s="2">
        <f t="shared" si="66"/>
        <v>-3.0530765617661584E-3</v>
      </c>
      <c r="O1030" s="1">
        <v>45708</v>
      </c>
      <c r="P1030">
        <v>75735.960000000006</v>
      </c>
      <c r="Q1030">
        <f t="shared" si="67"/>
        <v>-2.6760889438098572E-3</v>
      </c>
      <c r="R1030" s="2">
        <f t="shared" si="68"/>
        <v>-2.6760889438098572E-3</v>
      </c>
    </row>
    <row r="1031" spans="1:18" x14ac:dyDescent="0.3">
      <c r="A1031" s="1">
        <v>45709</v>
      </c>
      <c r="B1031">
        <v>655.55</v>
      </c>
      <c r="C1031">
        <f t="shared" si="65"/>
        <v>2.9524931291715673E-2</v>
      </c>
      <c r="D1031" s="2">
        <f t="shared" si="66"/>
        <v>2.9524931291715673E-2</v>
      </c>
      <c r="O1031" s="1">
        <v>45709</v>
      </c>
      <c r="P1031">
        <v>75311.06</v>
      </c>
      <c r="Q1031">
        <f t="shared" si="67"/>
        <v>-5.6102807701917121E-3</v>
      </c>
      <c r="R1031" s="2">
        <f t="shared" si="68"/>
        <v>-5.6102807701917121E-3</v>
      </c>
    </row>
    <row r="1032" spans="1:18" x14ac:dyDescent="0.3">
      <c r="A1032" s="1">
        <v>45712</v>
      </c>
      <c r="B1032">
        <v>659.6</v>
      </c>
      <c r="C1032">
        <f t="shared" si="65"/>
        <v>6.1780184577836447E-3</v>
      </c>
      <c r="D1032" s="2">
        <f t="shared" si="66"/>
        <v>6.1780184577836447E-3</v>
      </c>
      <c r="O1032" s="1">
        <v>45712</v>
      </c>
      <c r="P1032">
        <v>74454.41</v>
      </c>
      <c r="Q1032">
        <f t="shared" si="67"/>
        <v>-1.1374823299525915E-2</v>
      </c>
      <c r="R1032" s="2">
        <f t="shared" si="68"/>
        <v>-1.1374823299525915E-2</v>
      </c>
    </row>
    <row r="1033" spans="1:18" x14ac:dyDescent="0.3">
      <c r="A1033" s="1">
        <v>45713</v>
      </c>
      <c r="B1033">
        <v>649.15</v>
      </c>
      <c r="C1033">
        <f t="shared" si="65"/>
        <v>-1.5842935112189274E-2</v>
      </c>
      <c r="D1033" s="2">
        <f t="shared" si="66"/>
        <v>-1.5842935112189274E-2</v>
      </c>
      <c r="O1033" s="1">
        <v>45713</v>
      </c>
      <c r="P1033">
        <v>74602.12</v>
      </c>
      <c r="Q1033">
        <f t="shared" si="67"/>
        <v>1.9838986031853836E-3</v>
      </c>
      <c r="R1033" s="2">
        <f t="shared" si="68"/>
        <v>1.9838986031853836E-3</v>
      </c>
    </row>
    <row r="1034" spans="1:18" x14ac:dyDescent="0.3">
      <c r="A1034" s="1">
        <v>45715</v>
      </c>
      <c r="B1034">
        <v>602.85</v>
      </c>
      <c r="C1034">
        <f t="shared" si="65"/>
        <v>-7.1324039128090516E-2</v>
      </c>
      <c r="D1034" s="2">
        <f t="shared" si="66"/>
        <v>-7.1324039128090516E-2</v>
      </c>
      <c r="O1034" s="1">
        <v>45715</v>
      </c>
      <c r="P1034">
        <v>74612.429999999993</v>
      </c>
      <c r="Q1034">
        <f t="shared" si="67"/>
        <v>1.3819982595665743E-4</v>
      </c>
      <c r="R1034" s="2">
        <f t="shared" si="68"/>
        <v>1.3819982595665743E-4</v>
      </c>
    </row>
    <row r="1035" spans="1:18" x14ac:dyDescent="0.3">
      <c r="A1035" s="1">
        <v>45716</v>
      </c>
      <c r="B1035">
        <v>568.54999999999995</v>
      </c>
      <c r="C1035">
        <f t="shared" si="65"/>
        <v>-5.6896408725221975E-2</v>
      </c>
      <c r="D1035" s="2">
        <f t="shared" si="66"/>
        <v>-5.6896408725221975E-2</v>
      </c>
      <c r="O1035" s="1">
        <v>45716</v>
      </c>
      <c r="P1035">
        <v>73198.100000000006</v>
      </c>
      <c r="Q1035">
        <f t="shared" si="67"/>
        <v>-1.8955688750520353E-2</v>
      </c>
      <c r="R1035" s="2">
        <f t="shared" si="68"/>
        <v>-1.8955688750520353E-2</v>
      </c>
    </row>
    <row r="1036" spans="1:18" x14ac:dyDescent="0.3">
      <c r="A1036" s="1">
        <v>45719</v>
      </c>
      <c r="B1036">
        <v>550.5</v>
      </c>
      <c r="C1036">
        <f t="shared" si="65"/>
        <v>-3.1747427666871789E-2</v>
      </c>
      <c r="D1036" s="2">
        <f t="shared" si="66"/>
        <v>-3.1747427666871789E-2</v>
      </c>
      <c r="O1036" s="1">
        <v>45719</v>
      </c>
      <c r="P1036">
        <v>73085.94</v>
      </c>
      <c r="Q1036">
        <f t="shared" si="67"/>
        <v>-1.5322802094590363E-3</v>
      </c>
      <c r="R1036" s="2">
        <f t="shared" si="68"/>
        <v>-1.5322802094590363E-3</v>
      </c>
    </row>
    <row r="1037" spans="1:18" x14ac:dyDescent="0.3">
      <c r="A1037" s="1">
        <v>45720</v>
      </c>
      <c r="B1037">
        <v>597.20000000000005</v>
      </c>
      <c r="C1037">
        <f t="shared" si="65"/>
        <v>8.4831970935513257E-2</v>
      </c>
      <c r="D1037" s="2">
        <f t="shared" si="66"/>
        <v>8.4831970935513257E-2</v>
      </c>
      <c r="O1037" s="1">
        <v>45720</v>
      </c>
      <c r="P1037">
        <v>72989.929999999993</v>
      </c>
      <c r="Q1037">
        <f t="shared" si="67"/>
        <v>-1.313658960943915E-3</v>
      </c>
      <c r="R1037" s="2">
        <f t="shared" si="68"/>
        <v>-1.313658960943915E-3</v>
      </c>
    </row>
    <row r="1038" spans="1:18" x14ac:dyDescent="0.3">
      <c r="A1038" s="1">
        <v>45721</v>
      </c>
      <c r="B1038">
        <v>620.20000000000005</v>
      </c>
      <c r="C1038">
        <f t="shared" si="65"/>
        <v>3.8513060951105155E-2</v>
      </c>
      <c r="D1038" s="2">
        <f t="shared" si="66"/>
        <v>3.8513060951105155E-2</v>
      </c>
      <c r="O1038" s="1">
        <v>45721</v>
      </c>
      <c r="P1038">
        <v>73730.23</v>
      </c>
      <c r="Q1038">
        <f t="shared" si="67"/>
        <v>1.0142494998967707E-2</v>
      </c>
      <c r="R1038" s="2">
        <f t="shared" si="68"/>
        <v>1.0142494998967707E-2</v>
      </c>
    </row>
    <row r="1039" spans="1:18" x14ac:dyDescent="0.3">
      <c r="A1039" s="1">
        <v>45722</v>
      </c>
      <c r="B1039">
        <v>638.65</v>
      </c>
      <c r="C1039">
        <f t="shared" si="65"/>
        <v>2.9748468236052775E-2</v>
      </c>
      <c r="D1039" s="2">
        <f t="shared" si="66"/>
        <v>2.9748468236052775E-2</v>
      </c>
      <c r="O1039" s="1">
        <v>45722</v>
      </c>
      <c r="P1039">
        <v>74340.09</v>
      </c>
      <c r="Q1039">
        <f t="shared" si="67"/>
        <v>8.2715054598364954E-3</v>
      </c>
      <c r="R1039" s="2">
        <f t="shared" si="68"/>
        <v>8.2715054598364954E-3</v>
      </c>
    </row>
    <row r="1040" spans="1:18" x14ac:dyDescent="0.3">
      <c r="A1040" s="1">
        <v>45723</v>
      </c>
      <c r="B1040">
        <v>639.4</v>
      </c>
      <c r="C1040">
        <f t="shared" si="65"/>
        <v>1.1743521490644329E-3</v>
      </c>
      <c r="D1040" s="2">
        <f t="shared" si="66"/>
        <v>1.1743521490644329E-3</v>
      </c>
      <c r="O1040" s="1">
        <v>45723</v>
      </c>
      <c r="P1040">
        <v>74332.58</v>
      </c>
      <c r="Q1040">
        <f t="shared" si="67"/>
        <v>-1.01022207532904E-4</v>
      </c>
      <c r="R1040" s="2">
        <f t="shared" si="68"/>
        <v>-1.01022207532904E-4</v>
      </c>
    </row>
    <row r="1041" spans="1:18" x14ac:dyDescent="0.3">
      <c r="A1041" s="1">
        <v>45726</v>
      </c>
      <c r="B1041">
        <v>611.20000000000005</v>
      </c>
      <c r="C1041">
        <f t="shared" si="65"/>
        <v>-4.4103847356896986E-2</v>
      </c>
      <c r="D1041" s="2">
        <f t="shared" si="66"/>
        <v>-4.4103847356896986E-2</v>
      </c>
      <c r="O1041" s="1">
        <v>45726</v>
      </c>
      <c r="P1041">
        <v>74115.17</v>
      </c>
      <c r="Q1041">
        <f t="shared" si="67"/>
        <v>-2.9248278480311523E-3</v>
      </c>
      <c r="R1041" s="2">
        <f t="shared" si="68"/>
        <v>-2.9248278480311523E-3</v>
      </c>
    </row>
    <row r="1042" spans="1:18" x14ac:dyDescent="0.3">
      <c r="A1042" s="1">
        <v>45727</v>
      </c>
      <c r="B1042">
        <v>606.95000000000005</v>
      </c>
      <c r="C1042">
        <f t="shared" si="65"/>
        <v>-6.9535340314136121E-3</v>
      </c>
      <c r="D1042" s="2">
        <f t="shared" si="66"/>
        <v>-6.9535340314136121E-3</v>
      </c>
      <c r="O1042" s="1">
        <v>45727</v>
      </c>
      <c r="P1042">
        <v>74102.320000000007</v>
      </c>
      <c r="Q1042">
        <f t="shared" si="67"/>
        <v>-1.7337881030282017E-4</v>
      </c>
      <c r="R1042" s="2">
        <f t="shared" si="68"/>
        <v>-1.7337881030282017E-4</v>
      </c>
    </row>
    <row r="1043" spans="1:18" x14ac:dyDescent="0.3">
      <c r="A1043" s="1">
        <v>45728</v>
      </c>
      <c r="B1043">
        <v>590.35</v>
      </c>
      <c r="C1043">
        <f t="shared" si="65"/>
        <v>-2.7349864074470751E-2</v>
      </c>
      <c r="D1043" s="2">
        <f t="shared" si="66"/>
        <v>-2.7349864074470751E-2</v>
      </c>
      <c r="O1043" s="1">
        <v>45728</v>
      </c>
      <c r="P1043">
        <v>74029.759999999995</v>
      </c>
      <c r="Q1043">
        <f t="shared" si="67"/>
        <v>-9.791866165595384E-4</v>
      </c>
      <c r="R1043" s="2">
        <f t="shared" si="68"/>
        <v>-9.791866165595384E-4</v>
      </c>
    </row>
    <row r="1044" spans="1:18" x14ac:dyDescent="0.3">
      <c r="A1044" s="1">
        <v>45729</v>
      </c>
      <c r="B1044">
        <v>578.1</v>
      </c>
      <c r="C1044">
        <f t="shared" si="65"/>
        <v>-2.0750402303718132E-2</v>
      </c>
      <c r="D1044" s="2">
        <f t="shared" si="66"/>
        <v>-2.0750402303718132E-2</v>
      </c>
      <c r="O1044" s="1">
        <v>45729</v>
      </c>
      <c r="P1044">
        <v>73828.91</v>
      </c>
      <c r="Q1044">
        <f t="shared" si="67"/>
        <v>-2.7130980837975333E-3</v>
      </c>
      <c r="R1044" s="2">
        <f t="shared" si="68"/>
        <v>-2.7130980837975333E-3</v>
      </c>
    </row>
    <row r="1045" spans="1:18" x14ac:dyDescent="0.3">
      <c r="A1045" s="1">
        <v>45733</v>
      </c>
      <c r="B1045">
        <v>547.5</v>
      </c>
      <c r="C1045">
        <f t="shared" si="65"/>
        <v>-5.2932018681888987E-2</v>
      </c>
      <c r="D1045" s="2">
        <f t="shared" si="66"/>
        <v>-5.2932018681888987E-2</v>
      </c>
      <c r="O1045" s="1">
        <v>45733</v>
      </c>
      <c r="P1045">
        <v>74169.95</v>
      </c>
      <c r="Q1045">
        <f t="shared" si="67"/>
        <v>4.6193286613603474E-3</v>
      </c>
      <c r="R1045" s="2">
        <f t="shared" si="68"/>
        <v>4.6193286613603474E-3</v>
      </c>
    </row>
    <row r="1046" spans="1:18" x14ac:dyDescent="0.3">
      <c r="A1046" s="1">
        <v>45734</v>
      </c>
      <c r="B1046">
        <v>570.75</v>
      </c>
      <c r="C1046">
        <f t="shared" si="65"/>
        <v>4.2465753424657533E-2</v>
      </c>
      <c r="D1046" s="2">
        <f t="shared" si="66"/>
        <v>4.2465753424657533E-2</v>
      </c>
      <c r="O1046" s="1">
        <v>45734</v>
      </c>
      <c r="P1046">
        <v>75301.259999999995</v>
      </c>
      <c r="Q1046">
        <f t="shared" si="67"/>
        <v>1.5252942734894626E-2</v>
      </c>
      <c r="R1046" s="2">
        <f t="shared" si="68"/>
        <v>1.5252942734894626E-2</v>
      </c>
    </row>
    <row r="1047" spans="1:18" x14ac:dyDescent="0.3">
      <c r="A1047" s="1">
        <v>45735</v>
      </c>
      <c r="B1047">
        <v>576.25</v>
      </c>
      <c r="C1047">
        <f t="shared" si="65"/>
        <v>9.6364432763907139E-3</v>
      </c>
      <c r="D1047" s="2">
        <f t="shared" si="66"/>
        <v>9.6364432763907139E-3</v>
      </c>
      <c r="O1047" s="1">
        <v>45735</v>
      </c>
      <c r="P1047">
        <v>75449.05</v>
      </c>
      <c r="Q1047">
        <f t="shared" si="67"/>
        <v>1.9626497617703628E-3</v>
      </c>
      <c r="R1047" s="2">
        <f t="shared" si="68"/>
        <v>1.9626497617703628E-3</v>
      </c>
    </row>
    <row r="1048" spans="1:18" x14ac:dyDescent="0.3">
      <c r="A1048" s="1">
        <v>45736</v>
      </c>
      <c r="B1048">
        <v>540</v>
      </c>
      <c r="C1048">
        <f t="shared" si="65"/>
        <v>-6.2906724511930592E-2</v>
      </c>
      <c r="D1048" s="2">
        <f t="shared" si="66"/>
        <v>-6.2906724511930592E-2</v>
      </c>
      <c r="O1048" s="1">
        <v>45736</v>
      </c>
      <c r="P1048">
        <v>76348.06</v>
      </c>
      <c r="Q1048">
        <f t="shared" si="67"/>
        <v>1.1915458180056538E-2</v>
      </c>
      <c r="R1048" s="2">
        <f t="shared" si="68"/>
        <v>1.1915458180056538E-2</v>
      </c>
    </row>
    <row r="1049" spans="1:18" x14ac:dyDescent="0.3">
      <c r="A1049" s="1">
        <v>45737</v>
      </c>
      <c r="B1049">
        <v>573.75</v>
      </c>
      <c r="C1049">
        <f t="shared" si="65"/>
        <v>6.25E-2</v>
      </c>
      <c r="D1049" s="2">
        <f t="shared" si="66"/>
        <v>6.25E-2</v>
      </c>
      <c r="O1049" s="1">
        <v>45737</v>
      </c>
      <c r="P1049">
        <v>76905.509999999995</v>
      </c>
      <c r="Q1049">
        <f t="shared" si="67"/>
        <v>7.3014297940248527E-3</v>
      </c>
      <c r="R1049" s="2">
        <f t="shared" si="68"/>
        <v>7.3014297940248527E-3</v>
      </c>
    </row>
    <row r="1050" spans="1:18" x14ac:dyDescent="0.3">
      <c r="A1050" s="1">
        <v>45740</v>
      </c>
      <c r="B1050">
        <v>576.29999999999995</v>
      </c>
      <c r="C1050">
        <f t="shared" si="65"/>
        <v>4.4444444444443655E-3</v>
      </c>
      <c r="D1050" s="2">
        <f t="shared" si="66"/>
        <v>4.4444444444443655E-3</v>
      </c>
      <c r="O1050" s="1">
        <v>45740</v>
      </c>
      <c r="P1050">
        <v>77984.38</v>
      </c>
      <c r="Q1050">
        <f t="shared" si="67"/>
        <v>1.4028513691671896E-2</v>
      </c>
      <c r="R1050" s="2">
        <f t="shared" si="68"/>
        <v>1.4028513691671896E-2</v>
      </c>
    </row>
    <row r="1051" spans="1:18" x14ac:dyDescent="0.3">
      <c r="A1051" s="1">
        <v>45741</v>
      </c>
      <c r="B1051">
        <v>547.04999999999995</v>
      </c>
      <c r="C1051">
        <f t="shared" si="65"/>
        <v>-5.0754815200416456E-2</v>
      </c>
      <c r="D1051" s="2">
        <f t="shared" si="66"/>
        <v>-5.0754815200416456E-2</v>
      </c>
      <c r="O1051" s="1">
        <v>45741</v>
      </c>
      <c r="P1051">
        <v>78017.19</v>
      </c>
      <c r="Q1051">
        <f t="shared" si="67"/>
        <v>4.2072527857498735E-4</v>
      </c>
      <c r="R1051" s="2">
        <f t="shared" si="68"/>
        <v>4.2072527857498735E-4</v>
      </c>
    </row>
    <row r="1052" spans="1:18" x14ac:dyDescent="0.3">
      <c r="A1052" s="1">
        <v>45742</v>
      </c>
      <c r="B1052">
        <v>541.70000000000005</v>
      </c>
      <c r="C1052">
        <f t="shared" si="65"/>
        <v>-9.7797276300153717E-3</v>
      </c>
      <c r="D1052" s="2">
        <f t="shared" si="66"/>
        <v>-9.7797276300153717E-3</v>
      </c>
      <c r="O1052" s="1">
        <v>45742</v>
      </c>
      <c r="P1052">
        <v>77288.5</v>
      </c>
      <c r="Q1052">
        <f t="shared" si="67"/>
        <v>-9.3401210681902571E-3</v>
      </c>
      <c r="R1052" s="2">
        <f t="shared" si="68"/>
        <v>-9.3401210681902571E-3</v>
      </c>
    </row>
    <row r="1053" spans="1:18" x14ac:dyDescent="0.3">
      <c r="A1053" s="1">
        <v>45743</v>
      </c>
      <c r="B1053">
        <v>555.9</v>
      </c>
      <c r="C1053">
        <f t="shared" si="65"/>
        <v>2.6213771460217705E-2</v>
      </c>
      <c r="D1053" s="2">
        <f t="shared" si="66"/>
        <v>2.6213771460217705E-2</v>
      </c>
      <c r="O1053" s="1">
        <v>45743</v>
      </c>
      <c r="P1053">
        <v>77606.429999999993</v>
      </c>
      <c r="Q1053">
        <f t="shared" si="67"/>
        <v>4.1135485874352982E-3</v>
      </c>
      <c r="R1053" s="2">
        <f t="shared" si="68"/>
        <v>4.1135485874352982E-3</v>
      </c>
    </row>
    <row r="1054" spans="1:18" x14ac:dyDescent="0.3">
      <c r="A1054" s="1">
        <v>45744</v>
      </c>
      <c r="B1054">
        <v>564.29999999999995</v>
      </c>
      <c r="C1054">
        <f t="shared" si="65"/>
        <v>1.5110631408526674E-2</v>
      </c>
      <c r="D1054" s="2">
        <f t="shared" si="66"/>
        <v>1.5110631408526674E-2</v>
      </c>
      <c r="O1054" s="1">
        <v>45744</v>
      </c>
      <c r="P1054">
        <v>77414.92</v>
      </c>
      <c r="Q1054">
        <f t="shared" si="67"/>
        <v>-2.4677078948225654E-3</v>
      </c>
      <c r="R1054" s="2">
        <f t="shared" si="68"/>
        <v>-2.4677078948225654E-3</v>
      </c>
    </row>
    <row r="1055" spans="1:18" x14ac:dyDescent="0.3">
      <c r="A1055" s="1">
        <v>45748</v>
      </c>
      <c r="B1055">
        <v>569.5</v>
      </c>
      <c r="C1055">
        <f t="shared" si="65"/>
        <v>9.2149565833777175E-3</v>
      </c>
      <c r="D1055" s="2">
        <f t="shared" si="66"/>
        <v>9.2149565833777175E-3</v>
      </c>
      <c r="O1055" s="1">
        <v>45748</v>
      </c>
      <c r="P1055">
        <v>76024.509999999995</v>
      </c>
      <c r="Q1055">
        <f t="shared" si="67"/>
        <v>-1.7960491336812122E-2</v>
      </c>
      <c r="R1055" s="2">
        <f t="shared" si="68"/>
        <v>-1.7960491336812122E-2</v>
      </c>
    </row>
    <row r="1056" spans="1:18" x14ac:dyDescent="0.3">
      <c r="A1056" s="1">
        <v>45749</v>
      </c>
      <c r="B1056">
        <v>574.04999999999995</v>
      </c>
      <c r="C1056">
        <f t="shared" si="65"/>
        <v>7.9894644424933353E-3</v>
      </c>
      <c r="D1056" s="2">
        <f t="shared" si="66"/>
        <v>7.9894644424933353E-3</v>
      </c>
      <c r="O1056" s="1">
        <v>45749</v>
      </c>
      <c r="P1056">
        <v>76617.440000000002</v>
      </c>
      <c r="Q1056">
        <f t="shared" si="67"/>
        <v>7.7991952858362072E-3</v>
      </c>
      <c r="R1056" s="2">
        <f t="shared" si="68"/>
        <v>7.7991952858362072E-3</v>
      </c>
    </row>
    <row r="1057" spans="1:18" x14ac:dyDescent="0.3">
      <c r="A1057" s="1">
        <v>45750</v>
      </c>
      <c r="B1057">
        <v>579.5</v>
      </c>
      <c r="C1057">
        <f t="shared" si="65"/>
        <v>9.4939465203380292E-3</v>
      </c>
      <c r="D1057" s="2">
        <f t="shared" si="66"/>
        <v>9.4939465203380292E-3</v>
      </c>
      <c r="O1057" s="1">
        <v>45750</v>
      </c>
      <c r="P1057">
        <v>76295.360000000001</v>
      </c>
      <c r="Q1057">
        <f t="shared" si="67"/>
        <v>-4.2037426465828375E-3</v>
      </c>
      <c r="R1057" s="2">
        <f t="shared" si="68"/>
        <v>-4.2037426465828375E-3</v>
      </c>
    </row>
    <row r="1058" spans="1:18" x14ac:dyDescent="0.3">
      <c r="A1058" s="1">
        <v>45751</v>
      </c>
      <c r="B1058">
        <v>553.45000000000005</v>
      </c>
      <c r="C1058">
        <f t="shared" si="65"/>
        <v>-4.4952545297670329E-2</v>
      </c>
      <c r="D1058" s="2">
        <f t="shared" si="66"/>
        <v>-4.4952545297670329E-2</v>
      </c>
      <c r="O1058" s="1">
        <v>45751</v>
      </c>
      <c r="P1058">
        <v>75364.69</v>
      </c>
      <c r="Q1058">
        <f t="shared" si="67"/>
        <v>-1.2198251636796763E-2</v>
      </c>
      <c r="R1058" s="2">
        <f t="shared" si="68"/>
        <v>-1.2198251636796763E-2</v>
      </c>
    </row>
    <row r="1059" spans="1:18" x14ac:dyDescent="0.3">
      <c r="A1059" s="1">
        <v>45754</v>
      </c>
      <c r="B1059">
        <v>520.25</v>
      </c>
      <c r="C1059">
        <f t="shared" si="65"/>
        <v>-5.9987352064323866E-2</v>
      </c>
      <c r="D1059" s="2">
        <f t="shared" si="66"/>
        <v>-5.9987352064323866E-2</v>
      </c>
      <c r="O1059" s="1">
        <v>45754</v>
      </c>
      <c r="P1059">
        <v>73137.899999999994</v>
      </c>
      <c r="Q1059">
        <f t="shared" si="67"/>
        <v>-2.9546860738099076E-2</v>
      </c>
      <c r="R1059" s="2">
        <f t="shared" si="68"/>
        <v>-2.9546860738099076E-2</v>
      </c>
    </row>
    <row r="1060" spans="1:18" x14ac:dyDescent="0.3">
      <c r="A1060" s="1">
        <v>45755</v>
      </c>
      <c r="B1060">
        <v>533.75</v>
      </c>
      <c r="C1060">
        <f t="shared" si="65"/>
        <v>2.5949062950504566E-2</v>
      </c>
      <c r="D1060" s="2">
        <f t="shared" si="66"/>
        <v>2.5949062950504566E-2</v>
      </c>
      <c r="O1060" s="1">
        <v>45755</v>
      </c>
      <c r="P1060">
        <v>74227.08</v>
      </c>
      <c r="Q1060">
        <f t="shared" si="67"/>
        <v>1.4892142104162242E-2</v>
      </c>
      <c r="R1060" s="2">
        <f t="shared" si="68"/>
        <v>1.4892142104162242E-2</v>
      </c>
    </row>
    <row r="1061" spans="1:18" x14ac:dyDescent="0.3">
      <c r="A1061" s="1">
        <v>45756</v>
      </c>
      <c r="B1061">
        <v>510.05</v>
      </c>
      <c r="C1061">
        <f t="shared" si="65"/>
        <v>-4.4402810304449626E-2</v>
      </c>
      <c r="D1061" s="2">
        <f t="shared" si="66"/>
        <v>-4.4402810304449626E-2</v>
      </c>
      <c r="O1061" s="1">
        <v>45756</v>
      </c>
      <c r="P1061">
        <v>73847.149999999994</v>
      </c>
      <c r="Q1061">
        <f t="shared" si="67"/>
        <v>-5.1184823651962003E-3</v>
      </c>
      <c r="R1061" s="2">
        <f t="shared" si="68"/>
        <v>-5.1184823651962003E-3</v>
      </c>
    </row>
    <row r="1062" spans="1:18" x14ac:dyDescent="0.3">
      <c r="A1062" s="1">
        <v>45758</v>
      </c>
      <c r="B1062">
        <v>544.1</v>
      </c>
      <c r="C1062">
        <f t="shared" si="65"/>
        <v>6.6758160964611332E-2</v>
      </c>
      <c r="D1062" s="2">
        <f t="shared" si="66"/>
        <v>6.6758160964611332E-2</v>
      </c>
      <c r="O1062" s="1">
        <v>45758</v>
      </c>
      <c r="P1062">
        <v>75157.259999999995</v>
      </c>
      <c r="Q1062">
        <f t="shared" si="67"/>
        <v>1.7740833600213422E-2</v>
      </c>
      <c r="R1062" s="2">
        <f t="shared" si="68"/>
        <v>1.7740833600213422E-2</v>
      </c>
    </row>
    <row r="1063" spans="1:18" x14ac:dyDescent="0.3">
      <c r="A1063" s="1">
        <v>45762</v>
      </c>
      <c r="B1063">
        <v>581.65</v>
      </c>
      <c r="C1063">
        <f t="shared" si="65"/>
        <v>6.9013049071861704E-2</v>
      </c>
      <c r="D1063" s="2">
        <f t="shared" si="66"/>
        <v>6.9013049071861704E-2</v>
      </c>
      <c r="O1063" s="1">
        <v>45762</v>
      </c>
      <c r="P1063">
        <v>76734.89</v>
      </c>
      <c r="Q1063">
        <f t="shared" si="67"/>
        <v>2.099105262751735E-2</v>
      </c>
      <c r="R1063" s="2">
        <f t="shared" si="68"/>
        <v>2.099105262751735E-2</v>
      </c>
    </row>
    <row r="1064" spans="1:18" x14ac:dyDescent="0.3">
      <c r="A1064" s="1">
        <v>45763</v>
      </c>
      <c r="B1064">
        <v>572.6</v>
      </c>
      <c r="C1064">
        <f t="shared" si="65"/>
        <v>-1.5559185076936224E-2</v>
      </c>
      <c r="D1064" s="2">
        <f t="shared" si="66"/>
        <v>-1.5559185076936224E-2</v>
      </c>
      <c r="O1064" s="1">
        <v>45763</v>
      </c>
      <c r="P1064">
        <v>77044.289999999994</v>
      </c>
      <c r="Q1064">
        <f t="shared" si="67"/>
        <v>4.0320641627295505E-3</v>
      </c>
      <c r="R1064" s="2">
        <f t="shared" si="68"/>
        <v>4.0320641627295505E-3</v>
      </c>
    </row>
    <row r="1065" spans="1:18" x14ac:dyDescent="0.3">
      <c r="A1065" s="1">
        <v>45764</v>
      </c>
      <c r="B1065">
        <v>573.5</v>
      </c>
      <c r="C1065">
        <f t="shared" si="65"/>
        <v>1.5717778553963975E-3</v>
      </c>
      <c r="D1065" s="2">
        <f t="shared" si="66"/>
        <v>1.5717778553963975E-3</v>
      </c>
      <c r="O1065" s="1">
        <v>45764</v>
      </c>
      <c r="P1065">
        <v>78553.2</v>
      </c>
      <c r="Q1065">
        <f t="shared" si="67"/>
        <v>1.9584968594038618E-2</v>
      </c>
      <c r="R1065" s="2">
        <f t="shared" si="68"/>
        <v>1.9584968594038618E-2</v>
      </c>
    </row>
    <row r="1066" spans="1:18" x14ac:dyDescent="0.3">
      <c r="A1066" s="1">
        <v>45768</v>
      </c>
      <c r="B1066">
        <v>579.5</v>
      </c>
      <c r="C1066">
        <f t="shared" si="65"/>
        <v>1.0462074978204011E-2</v>
      </c>
      <c r="D1066" s="2">
        <f t="shared" si="66"/>
        <v>1.0462074978204011E-2</v>
      </c>
      <c r="O1066" s="1">
        <v>45768</v>
      </c>
      <c r="P1066">
        <v>79408.5</v>
      </c>
      <c r="Q1066">
        <f t="shared" si="67"/>
        <v>1.0888162417317219E-2</v>
      </c>
      <c r="R1066" s="2">
        <f t="shared" si="68"/>
        <v>1.0888162417317219E-2</v>
      </c>
    </row>
    <row r="1067" spans="1:18" x14ac:dyDescent="0.3">
      <c r="A1067" s="1">
        <v>45769</v>
      </c>
      <c r="B1067">
        <v>583.04999999999995</v>
      </c>
      <c r="C1067">
        <f t="shared" si="65"/>
        <v>6.1259706643657539E-3</v>
      </c>
      <c r="D1067" s="2">
        <f t="shared" si="66"/>
        <v>6.1259706643657539E-3</v>
      </c>
      <c r="O1067" s="1">
        <v>45769</v>
      </c>
      <c r="P1067">
        <v>79595.59</v>
      </c>
      <c r="Q1067">
        <f t="shared" si="67"/>
        <v>2.3560450077762017E-3</v>
      </c>
      <c r="R1067" s="2">
        <f t="shared" si="68"/>
        <v>2.3560450077762017E-3</v>
      </c>
    </row>
    <row r="1068" spans="1:18" x14ac:dyDescent="0.3">
      <c r="A1068" s="1">
        <v>45770</v>
      </c>
      <c r="B1068">
        <v>576.95000000000005</v>
      </c>
      <c r="C1068">
        <f t="shared" si="65"/>
        <v>-1.0462224509047097E-2</v>
      </c>
      <c r="D1068" s="2">
        <f t="shared" si="66"/>
        <v>-1.0462224509047097E-2</v>
      </c>
      <c r="O1068" s="1">
        <v>45770</v>
      </c>
      <c r="P1068">
        <v>80116.490000000005</v>
      </c>
      <c r="Q1068">
        <f t="shared" si="67"/>
        <v>6.5443324184167586E-3</v>
      </c>
      <c r="R1068" s="2">
        <f t="shared" si="68"/>
        <v>6.5443324184167586E-3</v>
      </c>
    </row>
    <row r="1069" spans="1:18" x14ac:dyDescent="0.3">
      <c r="A1069" s="1">
        <v>45771</v>
      </c>
      <c r="B1069">
        <v>579.75</v>
      </c>
      <c r="C1069">
        <f t="shared" si="65"/>
        <v>4.8531068550133538E-3</v>
      </c>
      <c r="D1069" s="2">
        <f t="shared" si="66"/>
        <v>4.8531068550133538E-3</v>
      </c>
      <c r="O1069" s="1">
        <v>45771</v>
      </c>
      <c r="P1069">
        <v>79801.429999999993</v>
      </c>
      <c r="Q1069">
        <f t="shared" si="67"/>
        <v>-3.9325237538490789E-3</v>
      </c>
      <c r="R1069" s="2">
        <f t="shared" si="68"/>
        <v>-3.9325237538490789E-3</v>
      </c>
    </row>
    <row r="1070" spans="1:18" x14ac:dyDescent="0.3">
      <c r="A1070" s="1">
        <v>45772</v>
      </c>
      <c r="B1070">
        <v>552.25</v>
      </c>
      <c r="C1070">
        <f t="shared" si="65"/>
        <v>-4.7434238896075898E-2</v>
      </c>
      <c r="D1070" s="2">
        <f t="shared" si="66"/>
        <v>-4.7434238896075898E-2</v>
      </c>
      <c r="O1070" s="1">
        <v>45772</v>
      </c>
      <c r="P1070">
        <v>79212.53</v>
      </c>
      <c r="Q1070">
        <f t="shared" si="67"/>
        <v>-7.3795670077590617E-3</v>
      </c>
      <c r="R1070" s="2">
        <f t="shared" si="68"/>
        <v>-7.3795670077590617E-3</v>
      </c>
    </row>
    <row r="1071" spans="1:18" x14ac:dyDescent="0.3">
      <c r="A1071" s="1">
        <v>45775</v>
      </c>
      <c r="B1071">
        <v>545.45000000000005</v>
      </c>
      <c r="C1071">
        <f t="shared" si="65"/>
        <v>-1.2313263920325857E-2</v>
      </c>
      <c r="D1071" s="2">
        <f t="shared" si="66"/>
        <v>-1.2313263920325857E-2</v>
      </c>
      <c r="O1071" s="1">
        <v>45775</v>
      </c>
      <c r="P1071">
        <v>80218.37</v>
      </c>
      <c r="Q1071">
        <f t="shared" si="67"/>
        <v>1.2697991088026056E-2</v>
      </c>
      <c r="R1071" s="2">
        <f t="shared" si="68"/>
        <v>1.2697991088026056E-2</v>
      </c>
    </row>
    <row r="1072" spans="1:18" x14ac:dyDescent="0.3">
      <c r="A1072" s="1">
        <v>45776</v>
      </c>
      <c r="B1072">
        <v>545.6</v>
      </c>
      <c r="C1072">
        <f t="shared" si="65"/>
        <v>2.7500229168572234E-4</v>
      </c>
      <c r="D1072" s="2">
        <f t="shared" si="66"/>
        <v>2.7500229168572234E-4</v>
      </c>
      <c r="O1072" s="1">
        <v>45776</v>
      </c>
      <c r="P1072">
        <v>80288.38</v>
      </c>
      <c r="Q1072">
        <f t="shared" si="67"/>
        <v>8.7274273959953713E-4</v>
      </c>
      <c r="R1072" s="2">
        <f t="shared" si="68"/>
        <v>8.7274273959953713E-4</v>
      </c>
    </row>
    <row r="1073" spans="1:18" x14ac:dyDescent="0.3">
      <c r="A1073" s="1">
        <v>45777</v>
      </c>
      <c r="B1073">
        <v>536.54999999999995</v>
      </c>
      <c r="C1073">
        <f t="shared" si="65"/>
        <v>-1.6587243401759655E-2</v>
      </c>
      <c r="D1073" s="2">
        <f t="shared" si="66"/>
        <v>-1.6587243401759655E-2</v>
      </c>
      <c r="O1073" s="1">
        <v>45777</v>
      </c>
      <c r="P1073">
        <v>80242.240000000005</v>
      </c>
      <c r="Q1073">
        <f t="shared" si="67"/>
        <v>-5.7467842793688722E-4</v>
      </c>
      <c r="R1073" s="2">
        <f t="shared" si="68"/>
        <v>-5.7467842793688722E-4</v>
      </c>
    </row>
    <row r="1074" spans="1:18" x14ac:dyDescent="0.3">
      <c r="A1074" s="1">
        <v>45779</v>
      </c>
      <c r="B1074">
        <v>530.65</v>
      </c>
      <c r="C1074">
        <f t="shared" si="65"/>
        <v>-1.099617929363522E-2</v>
      </c>
      <c r="D1074" s="2">
        <f t="shared" si="66"/>
        <v>-1.099617929363522E-2</v>
      </c>
      <c r="O1074" s="1">
        <v>45779</v>
      </c>
      <c r="P1074">
        <v>80501.990000000005</v>
      </c>
      <c r="Q1074">
        <f t="shared" si="67"/>
        <v>3.2370731425244359E-3</v>
      </c>
      <c r="R1074" s="2">
        <f t="shared" si="68"/>
        <v>3.2370731425244359E-3</v>
      </c>
    </row>
    <row r="1075" spans="1:18" x14ac:dyDescent="0.3">
      <c r="A1075" s="1">
        <v>45782</v>
      </c>
      <c r="B1075">
        <v>560.15</v>
      </c>
      <c r="C1075">
        <f t="shared" si="65"/>
        <v>5.5592198247432396E-2</v>
      </c>
      <c r="D1075" s="2">
        <f t="shared" si="66"/>
        <v>5.5592198247432396E-2</v>
      </c>
      <c r="O1075" s="1">
        <v>45782</v>
      </c>
      <c r="P1075">
        <v>80796.84</v>
      </c>
      <c r="Q1075">
        <f t="shared" si="67"/>
        <v>3.6626423769150459E-3</v>
      </c>
      <c r="R1075" s="2">
        <f t="shared" si="68"/>
        <v>3.6626423769150459E-3</v>
      </c>
    </row>
    <row r="1076" spans="1:18" x14ac:dyDescent="0.3">
      <c r="A1076" s="1">
        <v>45783</v>
      </c>
      <c r="B1076">
        <v>531.45000000000005</v>
      </c>
      <c r="C1076">
        <f t="shared" si="65"/>
        <v>-5.1236275997500552E-2</v>
      </c>
      <c r="D1076" s="2">
        <f t="shared" si="66"/>
        <v>-5.1236275997500552E-2</v>
      </c>
      <c r="O1076" s="1">
        <v>45783</v>
      </c>
      <c r="P1076">
        <v>80641.070000000007</v>
      </c>
      <c r="Q1076">
        <f t="shared" si="67"/>
        <v>-1.9279219335804412E-3</v>
      </c>
      <c r="R1076" s="2">
        <f t="shared" si="68"/>
        <v>-1.9279219335804412E-3</v>
      </c>
    </row>
    <row r="1077" spans="1:18" x14ac:dyDescent="0.3">
      <c r="A1077" s="1">
        <v>45784</v>
      </c>
      <c r="B1077">
        <v>544.04999999999995</v>
      </c>
      <c r="C1077">
        <f t="shared" si="65"/>
        <v>2.3708721422523112E-2</v>
      </c>
      <c r="D1077" s="2">
        <f t="shared" si="66"/>
        <v>2.3708721422523112E-2</v>
      </c>
      <c r="O1077" s="1">
        <v>45784</v>
      </c>
      <c r="P1077">
        <v>80746.78</v>
      </c>
      <c r="Q1077">
        <f t="shared" si="67"/>
        <v>1.3108705030822612E-3</v>
      </c>
      <c r="R1077" s="2">
        <f t="shared" si="68"/>
        <v>1.3108705030822612E-3</v>
      </c>
    </row>
    <row r="1078" spans="1:18" x14ac:dyDescent="0.3">
      <c r="A1078" s="1">
        <v>45785</v>
      </c>
      <c r="B1078">
        <v>535.25</v>
      </c>
      <c r="C1078">
        <f t="shared" si="65"/>
        <v>-1.6174983916919319E-2</v>
      </c>
      <c r="D1078" s="2">
        <f t="shared" si="66"/>
        <v>-1.6174983916919319E-2</v>
      </c>
      <c r="O1078" s="1">
        <v>45785</v>
      </c>
      <c r="P1078">
        <v>80334.81</v>
      </c>
      <c r="Q1078">
        <f t="shared" si="67"/>
        <v>-5.101999113772725E-3</v>
      </c>
      <c r="R1078" s="2">
        <f t="shared" si="68"/>
        <v>-5.101999113772725E-3</v>
      </c>
    </row>
    <row r="1079" spans="1:18" x14ac:dyDescent="0.3">
      <c r="A1079" s="1">
        <v>45786</v>
      </c>
      <c r="B1079">
        <v>548.20000000000005</v>
      </c>
      <c r="C1079">
        <f t="shared" si="65"/>
        <v>2.4194301728164495E-2</v>
      </c>
      <c r="D1079" s="2">
        <f t="shared" si="66"/>
        <v>2.4194301728164495E-2</v>
      </c>
      <c r="O1079" s="1">
        <v>45786</v>
      </c>
      <c r="P1079">
        <v>79454.47</v>
      </c>
      <c r="Q1079">
        <f t="shared" si="67"/>
        <v>-1.0958387777353262E-2</v>
      </c>
      <c r="R1079" s="2">
        <f t="shared" si="68"/>
        <v>-1.0958387777353262E-2</v>
      </c>
    </row>
    <row r="1080" spans="1:18" x14ac:dyDescent="0.3">
      <c r="A1080" s="1">
        <v>45789</v>
      </c>
      <c r="B1080">
        <v>612.6</v>
      </c>
      <c r="C1080">
        <f t="shared" si="65"/>
        <v>0.11747537395111268</v>
      </c>
      <c r="D1080" s="2">
        <f t="shared" si="66"/>
        <v>0.11747537395111268</v>
      </c>
      <c r="O1080" s="1">
        <v>45789</v>
      </c>
      <c r="P1080">
        <v>82429.899999999994</v>
      </c>
      <c r="Q1080">
        <f t="shared" si="67"/>
        <v>3.7448239224300316E-2</v>
      </c>
      <c r="R1080" s="2">
        <f t="shared" si="68"/>
        <v>3.7448239224300316E-2</v>
      </c>
    </row>
    <row r="1081" spans="1:18" x14ac:dyDescent="0.3">
      <c r="A1081" s="1">
        <v>45790</v>
      </c>
      <c r="B1081">
        <v>735.1</v>
      </c>
      <c r="C1081">
        <f t="shared" si="65"/>
        <v>0.1999673522690173</v>
      </c>
      <c r="D1081" s="2">
        <f t="shared" si="66"/>
        <v>0.1999673522690173</v>
      </c>
      <c r="O1081" s="1">
        <v>45790</v>
      </c>
      <c r="P1081">
        <v>81148.22</v>
      </c>
      <c r="Q1081">
        <f t="shared" si="67"/>
        <v>-1.5548726857608624E-2</v>
      </c>
      <c r="R1081" s="2">
        <f t="shared" si="68"/>
        <v>-1.5548726857608624E-2</v>
      </c>
    </row>
    <row r="1082" spans="1:18" x14ac:dyDescent="0.3">
      <c r="A1082" s="1">
        <v>45791</v>
      </c>
      <c r="B1082">
        <v>846.85</v>
      </c>
      <c r="C1082">
        <f t="shared" si="65"/>
        <v>0.15202013331519521</v>
      </c>
      <c r="D1082" s="2">
        <f t="shared" si="66"/>
        <v>0.15202013331519521</v>
      </c>
      <c r="O1082" s="1">
        <v>45791</v>
      </c>
      <c r="P1082">
        <v>81330.559999999998</v>
      </c>
      <c r="Q1082">
        <f t="shared" si="67"/>
        <v>2.2469993796536327E-3</v>
      </c>
      <c r="R1082" s="2">
        <f t="shared" si="68"/>
        <v>2.2469993796536327E-3</v>
      </c>
    </row>
    <row r="1083" spans="1:18" x14ac:dyDescent="0.3">
      <c r="A1083" s="1">
        <v>45792</v>
      </c>
      <c r="B1083">
        <v>817.2</v>
      </c>
      <c r="C1083">
        <f t="shared" si="65"/>
        <v>-3.501210367833734E-2</v>
      </c>
      <c r="D1083" s="2">
        <f t="shared" si="66"/>
        <v>-3.501210367833734E-2</v>
      </c>
      <c r="O1083" s="1">
        <v>45792</v>
      </c>
      <c r="P1083">
        <v>82530.740000000005</v>
      </c>
      <c r="Q1083">
        <f t="shared" si="67"/>
        <v>1.4756814658598289E-2</v>
      </c>
      <c r="R1083" s="2">
        <f t="shared" si="68"/>
        <v>1.4756814658598289E-2</v>
      </c>
    </row>
    <row r="1084" spans="1:18" x14ac:dyDescent="0.3">
      <c r="A1084" s="1">
        <v>45793</v>
      </c>
      <c r="B1084">
        <v>831.35</v>
      </c>
      <c r="C1084">
        <f t="shared" si="65"/>
        <v>1.7315222711698455E-2</v>
      </c>
      <c r="D1084" s="2">
        <f t="shared" si="66"/>
        <v>1.7315222711698455E-2</v>
      </c>
      <c r="O1084" s="1">
        <v>45793</v>
      </c>
      <c r="P1084">
        <v>82330.59</v>
      </c>
      <c r="Q1084">
        <f t="shared" si="67"/>
        <v>-2.4251569778728351E-3</v>
      </c>
      <c r="R1084" s="2">
        <f t="shared" si="68"/>
        <v>-2.4251569778728351E-3</v>
      </c>
    </row>
    <row r="1085" spans="1:18" x14ac:dyDescent="0.3">
      <c r="A1085" s="1">
        <v>45796</v>
      </c>
      <c r="B1085">
        <v>859.5</v>
      </c>
      <c r="C1085">
        <f t="shared" si="65"/>
        <v>3.3860588199915768E-2</v>
      </c>
      <c r="D1085" s="2">
        <f t="shared" si="66"/>
        <v>3.3860588199915768E-2</v>
      </c>
      <c r="O1085" s="1">
        <v>45796</v>
      </c>
      <c r="P1085">
        <v>82059.42</v>
      </c>
      <c r="Q1085">
        <f t="shared" si="67"/>
        <v>-3.2936724976706504E-3</v>
      </c>
      <c r="R1085" s="2">
        <f t="shared" si="68"/>
        <v>-3.2936724976706504E-3</v>
      </c>
    </row>
    <row r="1086" spans="1:18" x14ac:dyDescent="0.3">
      <c r="A1086" s="1">
        <v>45797</v>
      </c>
      <c r="B1086">
        <v>862.75</v>
      </c>
      <c r="C1086">
        <f t="shared" si="65"/>
        <v>3.7812681791739382E-3</v>
      </c>
      <c r="D1086" s="2">
        <f t="shared" si="66"/>
        <v>3.7812681791739382E-3</v>
      </c>
      <c r="O1086" s="1">
        <v>45797</v>
      </c>
      <c r="P1086">
        <v>81186.44</v>
      </c>
      <c r="Q1086">
        <f t="shared" si="67"/>
        <v>-1.0638388621318502E-2</v>
      </c>
      <c r="R1086" s="2">
        <f t="shared" si="68"/>
        <v>-1.0638388621318502E-2</v>
      </c>
    </row>
    <row r="1087" spans="1:18" x14ac:dyDescent="0.3">
      <c r="A1087" s="1">
        <v>45798</v>
      </c>
      <c r="B1087">
        <v>852.55</v>
      </c>
      <c r="C1087">
        <f t="shared" si="65"/>
        <v>-1.182266009852222E-2</v>
      </c>
      <c r="D1087" s="2">
        <f t="shared" si="66"/>
        <v>-1.182266009852222E-2</v>
      </c>
      <c r="O1087" s="1">
        <v>45798</v>
      </c>
      <c r="P1087">
        <v>81596.63</v>
      </c>
      <c r="Q1087">
        <f t="shared" si="67"/>
        <v>5.0524447186008192E-3</v>
      </c>
      <c r="R1087" s="2">
        <f t="shared" si="68"/>
        <v>5.0524447186008192E-3</v>
      </c>
    </row>
    <row r="1088" spans="1:18" x14ac:dyDescent="0.3">
      <c r="A1088" s="1">
        <v>45799</v>
      </c>
      <c r="B1088">
        <v>829.55</v>
      </c>
      <c r="C1088">
        <f t="shared" si="65"/>
        <v>-2.6977889859832269E-2</v>
      </c>
      <c r="D1088" s="2">
        <f t="shared" si="66"/>
        <v>-2.6977889859832269E-2</v>
      </c>
      <c r="O1088" s="1">
        <v>45799</v>
      </c>
      <c r="P1088">
        <v>80951.990000000005</v>
      </c>
      <c r="Q1088">
        <f t="shared" si="67"/>
        <v>-7.9003262757297629E-3</v>
      </c>
      <c r="R1088" s="2">
        <f t="shared" si="68"/>
        <v>-7.9003262757297629E-3</v>
      </c>
    </row>
    <row r="1089" spans="1:18" x14ac:dyDescent="0.3">
      <c r="A1089" s="1">
        <v>45800</v>
      </c>
      <c r="B1089">
        <v>819.6</v>
      </c>
      <c r="C1089">
        <f t="shared" si="65"/>
        <v>-1.1994454824904988E-2</v>
      </c>
      <c r="D1089" s="2">
        <f t="shared" si="66"/>
        <v>-1.1994454824904988E-2</v>
      </c>
      <c r="O1089" s="1">
        <v>45800</v>
      </c>
      <c r="P1089">
        <v>81721.08</v>
      </c>
      <c r="Q1089">
        <f t="shared" si="67"/>
        <v>9.5005694115734094E-3</v>
      </c>
      <c r="R1089" s="2">
        <f t="shared" si="68"/>
        <v>9.5005694115734094E-3</v>
      </c>
    </row>
    <row r="1090" spans="1:18" x14ac:dyDescent="0.3">
      <c r="A1090" s="1">
        <v>45803</v>
      </c>
      <c r="B1090">
        <v>828.9</v>
      </c>
      <c r="C1090">
        <f t="shared" si="65"/>
        <v>1.1346998535871101E-2</v>
      </c>
      <c r="D1090" s="2">
        <f t="shared" si="66"/>
        <v>1.1346998535871101E-2</v>
      </c>
      <c r="O1090" s="1">
        <v>45803</v>
      </c>
      <c r="P1090">
        <v>82176.45</v>
      </c>
      <c r="Q1090">
        <f t="shared" si="67"/>
        <v>5.5722464754503409E-3</v>
      </c>
      <c r="R1090" s="2">
        <f t="shared" si="68"/>
        <v>5.5722464754503409E-3</v>
      </c>
    </row>
    <row r="1091" spans="1:18" x14ac:dyDescent="0.3">
      <c r="A1091" s="1">
        <v>45804</v>
      </c>
      <c r="B1091">
        <v>869.85</v>
      </c>
      <c r="C1091">
        <f t="shared" si="65"/>
        <v>4.9402823018458254E-2</v>
      </c>
      <c r="D1091" s="2">
        <f t="shared" si="66"/>
        <v>4.9402823018458254E-2</v>
      </c>
      <c r="O1091" s="1">
        <v>45804</v>
      </c>
      <c r="P1091">
        <v>81551.63</v>
      </c>
      <c r="Q1091">
        <f t="shared" si="67"/>
        <v>-7.6033948898984131E-3</v>
      </c>
      <c r="R1091" s="2">
        <f t="shared" si="68"/>
        <v>-7.6033948898984131E-3</v>
      </c>
    </row>
    <row r="1092" spans="1:18" x14ac:dyDescent="0.3">
      <c r="A1092" s="1">
        <v>45805</v>
      </c>
      <c r="B1092">
        <v>863.65</v>
      </c>
      <c r="C1092">
        <f t="shared" ref="C1092:C1155" si="69">(B1092-B1091)/B1091</f>
        <v>-7.1276656894867455E-3</v>
      </c>
      <c r="D1092" s="2">
        <f t="shared" ref="D1092:D1155" si="70">(B1092-B1091)/B1091</f>
        <v>-7.1276656894867455E-3</v>
      </c>
      <c r="O1092" s="1">
        <v>45805</v>
      </c>
      <c r="P1092">
        <v>81312.320000000007</v>
      </c>
      <c r="Q1092">
        <f t="shared" ref="Q1092:Q1155" si="71">(P1092-P1091)/P1091</f>
        <v>-2.9344600469665373E-3</v>
      </c>
      <c r="R1092" s="2">
        <f t="shared" ref="R1092:R1155" si="72">(P1092-P1091)/P1091</f>
        <v>-2.9344600469665373E-3</v>
      </c>
    </row>
    <row r="1093" spans="1:18" x14ac:dyDescent="0.3">
      <c r="A1093" s="1">
        <v>45806</v>
      </c>
      <c r="B1093">
        <v>846.4</v>
      </c>
      <c r="C1093">
        <f t="shared" si="69"/>
        <v>-1.9973368841544607E-2</v>
      </c>
      <c r="D1093" s="2">
        <f t="shared" si="70"/>
        <v>-1.9973368841544607E-2</v>
      </c>
      <c r="O1093" s="1">
        <v>45806</v>
      </c>
      <c r="P1093">
        <v>81633.02</v>
      </c>
      <c r="Q1093">
        <f t="shared" si="71"/>
        <v>3.9440517746879818E-3</v>
      </c>
      <c r="R1093" s="2">
        <f t="shared" si="72"/>
        <v>3.9440517746879818E-3</v>
      </c>
    </row>
    <row r="1094" spans="1:18" x14ac:dyDescent="0.3">
      <c r="A1094" s="1">
        <v>45807</v>
      </c>
      <c r="B1094">
        <v>867.7</v>
      </c>
      <c r="C1094">
        <f t="shared" si="69"/>
        <v>2.5165406427221253E-2</v>
      </c>
      <c r="D1094" s="2">
        <f t="shared" si="70"/>
        <v>2.5165406427221253E-2</v>
      </c>
      <c r="O1094" s="1">
        <v>45807</v>
      </c>
      <c r="P1094">
        <v>81451.009999999995</v>
      </c>
      <c r="Q1094">
        <f t="shared" si="71"/>
        <v>-2.229612477892026E-3</v>
      </c>
      <c r="R1094" s="2">
        <f t="shared" si="72"/>
        <v>-2.229612477892026E-3</v>
      </c>
    </row>
    <row r="1095" spans="1:18" x14ac:dyDescent="0.3">
      <c r="A1095" s="1">
        <v>45810</v>
      </c>
      <c r="B1095">
        <v>853.15</v>
      </c>
      <c r="C1095">
        <f t="shared" si="69"/>
        <v>-1.6768468364642235E-2</v>
      </c>
      <c r="D1095" s="2">
        <f t="shared" si="70"/>
        <v>-1.6768468364642235E-2</v>
      </c>
      <c r="O1095" s="1">
        <v>45810</v>
      </c>
      <c r="P1095">
        <v>81373.75</v>
      </c>
      <c r="Q1095">
        <f t="shared" si="71"/>
        <v>-9.4854563497732893E-4</v>
      </c>
      <c r="R1095" s="2">
        <f t="shared" si="72"/>
        <v>-9.4854563497732893E-4</v>
      </c>
    </row>
    <row r="1096" spans="1:18" x14ac:dyDescent="0.3">
      <c r="A1096" s="1">
        <v>45811</v>
      </c>
      <c r="B1096">
        <v>869.85</v>
      </c>
      <c r="C1096">
        <f t="shared" si="69"/>
        <v>1.9574517962843634E-2</v>
      </c>
      <c r="D1096" s="2">
        <f t="shared" si="70"/>
        <v>1.9574517962843634E-2</v>
      </c>
      <c r="O1096" s="1">
        <v>45811</v>
      </c>
      <c r="P1096">
        <v>80737.509999999995</v>
      </c>
      <c r="Q1096">
        <f t="shared" si="71"/>
        <v>-7.8187376150171926E-3</v>
      </c>
      <c r="R1096" s="2">
        <f t="shared" si="72"/>
        <v>-7.8187376150171926E-3</v>
      </c>
    </row>
    <row r="1097" spans="1:18" x14ac:dyDescent="0.3">
      <c r="A1097" s="1">
        <v>45812</v>
      </c>
      <c r="B1097">
        <v>886.5</v>
      </c>
      <c r="C1097">
        <f t="shared" si="69"/>
        <v>1.9141231246766657E-2</v>
      </c>
      <c r="D1097" s="2">
        <f t="shared" si="70"/>
        <v>1.9141231246766657E-2</v>
      </c>
      <c r="O1097" s="1">
        <v>45812</v>
      </c>
      <c r="P1097">
        <v>80998.25</v>
      </c>
      <c r="Q1097">
        <f t="shared" si="71"/>
        <v>3.2294778474095281E-3</v>
      </c>
      <c r="R1097" s="2">
        <f t="shared" si="72"/>
        <v>3.2294778474095281E-3</v>
      </c>
    </row>
    <row r="1098" spans="1:18" x14ac:dyDescent="0.3">
      <c r="A1098" s="1">
        <v>45813</v>
      </c>
      <c r="B1098">
        <v>890.05</v>
      </c>
      <c r="C1098">
        <f t="shared" si="69"/>
        <v>4.0045121263394866E-3</v>
      </c>
      <c r="D1098" s="2">
        <f t="shared" si="70"/>
        <v>4.0045121263394866E-3</v>
      </c>
      <c r="O1098" s="1">
        <v>45813</v>
      </c>
      <c r="P1098">
        <v>81442.039999999994</v>
      </c>
      <c r="Q1098">
        <f t="shared" si="71"/>
        <v>5.479007262502506E-3</v>
      </c>
      <c r="R1098" s="2">
        <f t="shared" si="72"/>
        <v>5.479007262502506E-3</v>
      </c>
    </row>
    <row r="1099" spans="1:18" x14ac:dyDescent="0.3">
      <c r="A1099" s="1">
        <v>45814</v>
      </c>
      <c r="B1099">
        <v>903.15</v>
      </c>
      <c r="C1099">
        <f t="shared" si="69"/>
        <v>1.4718274254255405E-2</v>
      </c>
      <c r="D1099" s="2">
        <f t="shared" si="70"/>
        <v>1.4718274254255405E-2</v>
      </c>
      <c r="O1099" s="1">
        <v>45814</v>
      </c>
      <c r="P1099">
        <v>82188.990000000005</v>
      </c>
      <c r="Q1099">
        <f t="shared" si="71"/>
        <v>9.1715531683638045E-3</v>
      </c>
      <c r="R1099" s="2">
        <f t="shared" si="72"/>
        <v>9.1715531683638045E-3</v>
      </c>
    </row>
    <row r="1100" spans="1:18" x14ac:dyDescent="0.3">
      <c r="A1100" s="1">
        <v>45817</v>
      </c>
      <c r="B1100">
        <v>877.35</v>
      </c>
      <c r="C1100">
        <f t="shared" si="69"/>
        <v>-2.8566683275203404E-2</v>
      </c>
      <c r="D1100" s="2">
        <f t="shared" si="70"/>
        <v>-2.8566683275203404E-2</v>
      </c>
      <c r="O1100" s="1">
        <v>45817</v>
      </c>
      <c r="P1100">
        <v>82445.210000000006</v>
      </c>
      <c r="Q1100">
        <f t="shared" si="71"/>
        <v>3.1174491863204686E-3</v>
      </c>
      <c r="R1100" s="2">
        <f t="shared" si="72"/>
        <v>3.1174491863204686E-3</v>
      </c>
    </row>
    <row r="1101" spans="1:18" x14ac:dyDescent="0.3">
      <c r="A1101" s="1">
        <v>45818</v>
      </c>
      <c r="B1101">
        <v>869.25</v>
      </c>
      <c r="C1101">
        <f t="shared" si="69"/>
        <v>-9.2323474098136692E-3</v>
      </c>
      <c r="D1101" s="2">
        <f t="shared" si="70"/>
        <v>-9.2323474098136692E-3</v>
      </c>
      <c r="O1101" s="1">
        <v>45818</v>
      </c>
      <c r="P1101">
        <v>82391.72</v>
      </c>
      <c r="Q1101">
        <f t="shared" si="71"/>
        <v>-6.4879451456312904E-4</v>
      </c>
      <c r="R1101" s="2">
        <f t="shared" si="72"/>
        <v>-6.4879451456312904E-4</v>
      </c>
    </row>
    <row r="1102" spans="1:18" x14ac:dyDescent="0.3">
      <c r="A1102" s="1">
        <v>45819</v>
      </c>
      <c r="B1102">
        <v>884.65</v>
      </c>
      <c r="C1102">
        <f t="shared" si="69"/>
        <v>1.771642220304858E-2</v>
      </c>
      <c r="D1102" s="2">
        <f t="shared" si="70"/>
        <v>1.771642220304858E-2</v>
      </c>
      <c r="O1102" s="1">
        <v>45819</v>
      </c>
      <c r="P1102">
        <v>82515.14</v>
      </c>
      <c r="Q1102">
        <f t="shared" si="71"/>
        <v>1.4979660577543259E-3</v>
      </c>
      <c r="R1102" s="2">
        <f t="shared" si="72"/>
        <v>1.4979660577543259E-3</v>
      </c>
    </row>
    <row r="1103" spans="1:18" x14ac:dyDescent="0.3">
      <c r="A1103" s="1">
        <v>45820</v>
      </c>
      <c r="B1103">
        <v>887.2</v>
      </c>
      <c r="C1103">
        <f t="shared" si="69"/>
        <v>2.8824959023343337E-3</v>
      </c>
      <c r="D1103" s="2">
        <f t="shared" si="70"/>
        <v>2.8824959023343337E-3</v>
      </c>
      <c r="O1103" s="1">
        <v>45820</v>
      </c>
      <c r="P1103">
        <v>81691.98</v>
      </c>
      <c r="Q1103">
        <f t="shared" si="71"/>
        <v>-9.9758662470911825E-3</v>
      </c>
      <c r="R1103" s="2">
        <f t="shared" si="72"/>
        <v>-9.9758662470911825E-3</v>
      </c>
    </row>
    <row r="1104" spans="1:18" x14ac:dyDescent="0.3">
      <c r="A1104" s="1">
        <v>45821</v>
      </c>
      <c r="B1104">
        <v>866.35</v>
      </c>
      <c r="C1104">
        <f t="shared" si="69"/>
        <v>-2.3500901713255209E-2</v>
      </c>
      <c r="D1104" s="2">
        <f t="shared" si="70"/>
        <v>-2.3500901713255209E-2</v>
      </c>
      <c r="O1104" s="1">
        <v>45821</v>
      </c>
      <c r="P1104">
        <v>81118.600000000006</v>
      </c>
      <c r="Q1104">
        <f t="shared" si="71"/>
        <v>-7.0188040490632023E-3</v>
      </c>
      <c r="R1104" s="2">
        <f t="shared" si="72"/>
        <v>-7.0188040490632023E-3</v>
      </c>
    </row>
    <row r="1105" spans="1:18" x14ac:dyDescent="0.3">
      <c r="A1105" s="1">
        <v>45824</v>
      </c>
      <c r="B1105">
        <v>890.15</v>
      </c>
      <c r="C1105">
        <f t="shared" si="69"/>
        <v>2.7471576152825018E-2</v>
      </c>
      <c r="D1105" s="2">
        <f t="shared" si="70"/>
        <v>2.7471576152825018E-2</v>
      </c>
      <c r="O1105" s="1">
        <v>45824</v>
      </c>
      <c r="P1105">
        <v>81796.149999999994</v>
      </c>
      <c r="Q1105">
        <f t="shared" si="71"/>
        <v>8.3525849805098744E-3</v>
      </c>
      <c r="R1105" s="2">
        <f t="shared" si="72"/>
        <v>8.3525849805098744E-3</v>
      </c>
    </row>
    <row r="1106" spans="1:18" x14ac:dyDescent="0.3">
      <c r="A1106" s="1">
        <v>45825</v>
      </c>
      <c r="B1106">
        <v>883.15</v>
      </c>
      <c r="C1106">
        <f t="shared" si="69"/>
        <v>-7.8638431724990174E-3</v>
      </c>
      <c r="D1106" s="2">
        <f t="shared" si="70"/>
        <v>-7.8638431724990174E-3</v>
      </c>
      <c r="O1106" s="1">
        <v>45825</v>
      </c>
      <c r="P1106">
        <v>81583.3</v>
      </c>
      <c r="Q1106">
        <f t="shared" si="71"/>
        <v>-2.6022007148257136E-3</v>
      </c>
      <c r="R1106" s="2">
        <f t="shared" si="72"/>
        <v>-2.6022007148257136E-3</v>
      </c>
    </row>
    <row r="1107" spans="1:18" x14ac:dyDescent="0.3">
      <c r="A1107" s="1">
        <v>45826</v>
      </c>
      <c r="B1107">
        <v>900.65</v>
      </c>
      <c r="C1107">
        <f t="shared" si="69"/>
        <v>1.9815433391836043E-2</v>
      </c>
      <c r="D1107" s="2">
        <f t="shared" si="70"/>
        <v>1.9815433391836043E-2</v>
      </c>
      <c r="O1107" s="1">
        <v>45826</v>
      </c>
      <c r="P1107">
        <v>81444.66</v>
      </c>
      <c r="Q1107">
        <f t="shared" si="71"/>
        <v>-1.6993673950428509E-3</v>
      </c>
      <c r="R1107" s="2">
        <f t="shared" si="72"/>
        <v>-1.6993673950428509E-3</v>
      </c>
    </row>
    <row r="1108" spans="1:18" x14ac:dyDescent="0.3">
      <c r="A1108" s="1">
        <v>45827</v>
      </c>
      <c r="B1108">
        <v>890.25</v>
      </c>
      <c r="C1108">
        <f t="shared" si="69"/>
        <v>-1.1547215899628021E-2</v>
      </c>
      <c r="D1108" s="2">
        <f t="shared" si="70"/>
        <v>-1.1547215899628021E-2</v>
      </c>
      <c r="O1108" s="1">
        <v>45827</v>
      </c>
      <c r="P1108">
        <v>81361.87</v>
      </c>
      <c r="Q1108">
        <f t="shared" si="71"/>
        <v>-1.0165184555992763E-3</v>
      </c>
      <c r="R1108" s="2">
        <f t="shared" si="72"/>
        <v>-1.0165184555992763E-3</v>
      </c>
    </row>
    <row r="1109" spans="1:18" x14ac:dyDescent="0.3">
      <c r="A1109" s="1">
        <v>45828</v>
      </c>
      <c r="B1109">
        <v>920.95</v>
      </c>
      <c r="C1109">
        <f t="shared" si="69"/>
        <v>3.4484695310306145E-2</v>
      </c>
      <c r="D1109" s="2">
        <f t="shared" si="70"/>
        <v>3.4484695310306145E-2</v>
      </c>
      <c r="O1109" s="1">
        <v>45828</v>
      </c>
      <c r="P1109">
        <v>82408.17</v>
      </c>
      <c r="Q1109">
        <f t="shared" si="71"/>
        <v>1.2859832253118113E-2</v>
      </c>
      <c r="R1109" s="2">
        <f t="shared" si="72"/>
        <v>1.2859832253118113E-2</v>
      </c>
    </row>
    <row r="1110" spans="1:18" x14ac:dyDescent="0.3">
      <c r="A1110" s="1">
        <v>45831</v>
      </c>
      <c r="B1110">
        <v>918.8</v>
      </c>
      <c r="C1110">
        <f t="shared" si="69"/>
        <v>-2.3345458493947454E-3</v>
      </c>
      <c r="D1110" s="2">
        <f t="shared" si="70"/>
        <v>-2.3345458493947454E-3</v>
      </c>
      <c r="O1110" s="1">
        <v>45831</v>
      </c>
      <c r="P1110">
        <v>81896.789999999994</v>
      </c>
      <c r="Q1110">
        <f t="shared" si="71"/>
        <v>-6.2054526875187817E-3</v>
      </c>
      <c r="R1110" s="2">
        <f t="shared" si="72"/>
        <v>-6.2054526875187817E-3</v>
      </c>
    </row>
    <row r="1111" spans="1:18" x14ac:dyDescent="0.3">
      <c r="A1111" s="1">
        <v>45832</v>
      </c>
      <c r="B1111">
        <v>940</v>
      </c>
      <c r="C1111">
        <f t="shared" si="69"/>
        <v>2.307357422725299E-2</v>
      </c>
      <c r="D1111" s="2">
        <f t="shared" si="70"/>
        <v>2.307357422725299E-2</v>
      </c>
      <c r="O1111" s="1">
        <v>45832</v>
      </c>
      <c r="P1111">
        <v>82055.11</v>
      </c>
      <c r="Q1111">
        <f t="shared" si="71"/>
        <v>1.9331649018234658E-3</v>
      </c>
      <c r="R1111" s="2">
        <f t="shared" si="72"/>
        <v>1.9331649018234658E-3</v>
      </c>
    </row>
    <row r="1112" spans="1:18" x14ac:dyDescent="0.3">
      <c r="A1112" s="1">
        <v>45833</v>
      </c>
      <c r="B1112">
        <v>945.3</v>
      </c>
      <c r="C1112">
        <f t="shared" si="69"/>
        <v>5.6382978723403775E-3</v>
      </c>
      <c r="D1112" s="2">
        <f t="shared" si="70"/>
        <v>5.6382978723403775E-3</v>
      </c>
      <c r="O1112" s="1">
        <v>45833</v>
      </c>
      <c r="P1112">
        <v>82755.509999999995</v>
      </c>
      <c r="Q1112">
        <f t="shared" si="71"/>
        <v>8.5357267816714173E-3</v>
      </c>
      <c r="R1112" s="2">
        <f t="shared" si="72"/>
        <v>8.5357267816714173E-3</v>
      </c>
    </row>
    <row r="1113" spans="1:18" x14ac:dyDescent="0.3">
      <c r="A1113" s="1">
        <v>45834</v>
      </c>
      <c r="B1113">
        <v>951.85</v>
      </c>
      <c r="C1113">
        <f t="shared" si="69"/>
        <v>6.9290172432032882E-3</v>
      </c>
      <c r="D1113" s="2">
        <f t="shared" si="70"/>
        <v>6.9290172432032882E-3</v>
      </c>
      <c r="O1113" s="1">
        <v>45834</v>
      </c>
      <c r="P1113">
        <v>83755.87</v>
      </c>
      <c r="Q1113">
        <f t="shared" si="71"/>
        <v>1.2088137696208997E-2</v>
      </c>
      <c r="R1113" s="2">
        <f t="shared" si="72"/>
        <v>1.2088137696208997E-2</v>
      </c>
    </row>
    <row r="1114" spans="1:18" x14ac:dyDescent="0.3">
      <c r="A1114" s="1">
        <v>45835</v>
      </c>
      <c r="B1114">
        <v>895.5</v>
      </c>
      <c r="C1114">
        <f t="shared" si="69"/>
        <v>-5.9200504281136754E-2</v>
      </c>
      <c r="D1114" s="2">
        <f t="shared" si="70"/>
        <v>-5.9200504281136754E-2</v>
      </c>
      <c r="O1114" s="1">
        <v>45835</v>
      </c>
      <c r="P1114">
        <v>84058.9</v>
      </c>
      <c r="Q1114">
        <f t="shared" si="71"/>
        <v>3.6180150716600382E-3</v>
      </c>
      <c r="R1114" s="2">
        <f t="shared" si="72"/>
        <v>3.6180150716600382E-3</v>
      </c>
    </row>
    <row r="1115" spans="1:18" x14ac:dyDescent="0.3">
      <c r="A1115" s="1">
        <v>45838</v>
      </c>
      <c r="B1115">
        <v>885.65</v>
      </c>
      <c r="C1115">
        <f t="shared" si="69"/>
        <v>-1.099944165270801E-2</v>
      </c>
      <c r="D1115" s="2">
        <f t="shared" si="70"/>
        <v>-1.099944165270801E-2</v>
      </c>
      <c r="O1115" s="1">
        <v>45838</v>
      </c>
      <c r="P1115">
        <v>83606.460000000006</v>
      </c>
      <c r="Q1115">
        <f t="shared" si="71"/>
        <v>-5.3824163770878255E-3</v>
      </c>
      <c r="R1115" s="2">
        <f t="shared" si="72"/>
        <v>-5.3824163770878255E-3</v>
      </c>
    </row>
    <row r="1116" spans="1:18" x14ac:dyDescent="0.3">
      <c r="A1116" s="1">
        <v>45839</v>
      </c>
      <c r="B1116">
        <v>915.7</v>
      </c>
      <c r="C1116">
        <f t="shared" si="69"/>
        <v>3.3929882007565144E-2</v>
      </c>
      <c r="D1116" s="2">
        <f t="shared" si="70"/>
        <v>3.3929882007565144E-2</v>
      </c>
      <c r="O1116" s="1">
        <v>45839</v>
      </c>
      <c r="P1116">
        <v>83697.289999999994</v>
      </c>
      <c r="Q1116">
        <f t="shared" si="71"/>
        <v>1.0863993045511936E-3</v>
      </c>
      <c r="R1116" s="2">
        <f t="shared" si="72"/>
        <v>1.0863993045511936E-3</v>
      </c>
    </row>
    <row r="1117" spans="1:18" x14ac:dyDescent="0.3">
      <c r="A1117" s="1">
        <v>45840</v>
      </c>
      <c r="B1117">
        <v>893.1</v>
      </c>
      <c r="C1117">
        <f t="shared" si="69"/>
        <v>-2.4680572239816557E-2</v>
      </c>
      <c r="D1117" s="2">
        <f t="shared" si="70"/>
        <v>-2.4680572239816557E-2</v>
      </c>
      <c r="O1117" s="1">
        <v>45840</v>
      </c>
      <c r="P1117">
        <v>83409.69</v>
      </c>
      <c r="Q1117">
        <f t="shared" si="71"/>
        <v>-3.4361924979887794E-3</v>
      </c>
      <c r="R1117" s="2">
        <f t="shared" si="72"/>
        <v>-3.4361924979887794E-3</v>
      </c>
    </row>
    <row r="1118" spans="1:18" x14ac:dyDescent="0.3">
      <c r="A1118" s="1">
        <v>45841</v>
      </c>
      <c r="B1118">
        <v>942.9</v>
      </c>
      <c r="C1118">
        <f t="shared" si="69"/>
        <v>5.5760833053409418E-2</v>
      </c>
      <c r="D1118" s="2">
        <f t="shared" si="70"/>
        <v>5.5760833053409418E-2</v>
      </c>
      <c r="O1118" s="1">
        <v>45841</v>
      </c>
      <c r="P1118">
        <v>83239.47</v>
      </c>
      <c r="Q1118">
        <f t="shared" si="71"/>
        <v>-2.0407700831881902E-3</v>
      </c>
      <c r="R1118" s="2">
        <f t="shared" si="72"/>
        <v>-2.0407700831881902E-3</v>
      </c>
    </row>
    <row r="1119" spans="1:18" x14ac:dyDescent="0.3">
      <c r="A1119" s="1">
        <v>45842</v>
      </c>
      <c r="B1119">
        <v>983.85</v>
      </c>
      <c r="C1119">
        <f t="shared" si="69"/>
        <v>4.3429844097995593E-2</v>
      </c>
      <c r="D1119" s="2">
        <f t="shared" si="70"/>
        <v>4.3429844097995593E-2</v>
      </c>
      <c r="O1119" s="1">
        <v>45842</v>
      </c>
      <c r="P1119">
        <v>83432.89</v>
      </c>
      <c r="Q1119">
        <f t="shared" si="71"/>
        <v>2.3236572746078064E-3</v>
      </c>
      <c r="R1119" s="2">
        <f t="shared" si="72"/>
        <v>2.3236572746078064E-3</v>
      </c>
    </row>
    <row r="1120" spans="1:18" x14ac:dyDescent="0.3">
      <c r="A1120" s="1">
        <v>45845</v>
      </c>
      <c r="B1120">
        <v>998.5</v>
      </c>
      <c r="C1120">
        <f t="shared" si="69"/>
        <v>1.4890481272551687E-2</v>
      </c>
      <c r="D1120" s="2">
        <f t="shared" si="70"/>
        <v>1.4890481272551687E-2</v>
      </c>
      <c r="O1120" s="1">
        <v>45845</v>
      </c>
      <c r="P1120">
        <v>83442.5</v>
      </c>
      <c r="Q1120">
        <f t="shared" si="71"/>
        <v>1.1518239389766532E-4</v>
      </c>
      <c r="R1120" s="2">
        <f t="shared" si="72"/>
        <v>1.1518239389766532E-4</v>
      </c>
    </row>
    <row r="1121" spans="1:18" x14ac:dyDescent="0.3">
      <c r="A1121" s="1">
        <v>45846</v>
      </c>
      <c r="B1121">
        <v>997.55</v>
      </c>
      <c r="C1121">
        <f t="shared" si="69"/>
        <v>-9.5142714071111216E-4</v>
      </c>
      <c r="D1121" s="2">
        <f t="shared" si="70"/>
        <v>-9.5142714071111216E-4</v>
      </c>
      <c r="O1121" s="1">
        <v>45846</v>
      </c>
      <c r="P1121">
        <v>83712.509999999995</v>
      </c>
      <c r="Q1121">
        <f t="shared" si="71"/>
        <v>3.2358809958953141E-3</v>
      </c>
      <c r="R1121" s="2">
        <f t="shared" si="72"/>
        <v>3.2358809958953141E-3</v>
      </c>
    </row>
    <row r="1122" spans="1:18" x14ac:dyDescent="0.3">
      <c r="A1122" s="1">
        <v>45847</v>
      </c>
      <c r="B1122">
        <v>1000.3</v>
      </c>
      <c r="C1122">
        <f t="shared" si="69"/>
        <v>2.7567540474161697E-3</v>
      </c>
      <c r="D1122" s="2">
        <f t="shared" si="70"/>
        <v>2.7567540474161697E-3</v>
      </c>
      <c r="O1122" s="1">
        <v>45847</v>
      </c>
      <c r="P1122">
        <v>83536.08</v>
      </c>
      <c r="Q1122">
        <f t="shared" si="71"/>
        <v>-2.1075703022163956E-3</v>
      </c>
      <c r="R1122" s="2">
        <f t="shared" si="72"/>
        <v>-2.1075703022163956E-3</v>
      </c>
    </row>
    <row r="1123" spans="1:18" x14ac:dyDescent="0.3">
      <c r="A1123" s="1">
        <v>45848</v>
      </c>
      <c r="B1123">
        <v>1002.9</v>
      </c>
      <c r="C1123">
        <f t="shared" si="69"/>
        <v>2.599220233929844E-3</v>
      </c>
      <c r="D1123" s="2">
        <f t="shared" si="70"/>
        <v>2.599220233929844E-3</v>
      </c>
      <c r="O1123" s="1">
        <v>45848</v>
      </c>
      <c r="P1123">
        <v>83190.28</v>
      </c>
      <c r="Q1123">
        <f t="shared" si="71"/>
        <v>-4.1395286922728822E-3</v>
      </c>
      <c r="R1123" s="2">
        <f t="shared" si="72"/>
        <v>-4.1395286922728822E-3</v>
      </c>
    </row>
    <row r="1124" spans="1:18" x14ac:dyDescent="0.3">
      <c r="A1124" s="1">
        <v>45849</v>
      </c>
      <c r="B1124">
        <v>485.4</v>
      </c>
      <c r="C1124">
        <f t="shared" si="69"/>
        <v>-0.51600358959018844</v>
      </c>
      <c r="D1124" s="2">
        <f t="shared" si="70"/>
        <v>-0.51600358959018844</v>
      </c>
      <c r="O1124" s="1">
        <v>45849</v>
      </c>
      <c r="P1124">
        <v>82500.47</v>
      </c>
      <c r="Q1124">
        <f t="shared" si="71"/>
        <v>-8.291954300430263E-3</v>
      </c>
      <c r="R1124" s="2">
        <f t="shared" si="72"/>
        <v>-8.291954300430263E-3</v>
      </c>
    </row>
    <row r="1125" spans="1:18" x14ac:dyDescent="0.3">
      <c r="A1125" s="1">
        <v>45852</v>
      </c>
      <c r="B1125">
        <v>485.55</v>
      </c>
      <c r="C1125">
        <f t="shared" si="69"/>
        <v>3.0902348578498994E-4</v>
      </c>
      <c r="D1125" s="2">
        <f t="shared" si="70"/>
        <v>3.0902348578498994E-4</v>
      </c>
      <c r="O1125" s="1">
        <v>45852</v>
      </c>
      <c r="P1125">
        <v>82253.460000000006</v>
      </c>
      <c r="Q1125">
        <f t="shared" si="71"/>
        <v>-2.9940435490851719E-3</v>
      </c>
      <c r="R1125" s="2">
        <f t="shared" si="72"/>
        <v>-2.9940435490851719E-3</v>
      </c>
    </row>
    <row r="1126" spans="1:18" x14ac:dyDescent="0.3">
      <c r="A1126" s="1">
        <v>45853</v>
      </c>
      <c r="B1126">
        <v>472.9</v>
      </c>
      <c r="C1126">
        <f t="shared" si="69"/>
        <v>-2.6052929667387568E-2</v>
      </c>
      <c r="D1126" s="2">
        <f t="shared" si="70"/>
        <v>-2.6052929667387568E-2</v>
      </c>
      <c r="O1126" s="1">
        <v>45853</v>
      </c>
      <c r="P1126">
        <v>82570.91</v>
      </c>
      <c r="Q1126">
        <f t="shared" si="71"/>
        <v>3.8594121147000632E-3</v>
      </c>
      <c r="R1126" s="2">
        <f t="shared" si="72"/>
        <v>3.8594121147000632E-3</v>
      </c>
    </row>
    <row r="1127" spans="1:18" x14ac:dyDescent="0.3">
      <c r="A1127" s="1">
        <v>45854</v>
      </c>
      <c r="B1127">
        <v>443.75</v>
      </c>
      <c r="C1127">
        <f t="shared" si="69"/>
        <v>-6.1640938887714061E-2</v>
      </c>
      <c r="D1127" s="2">
        <f t="shared" si="70"/>
        <v>-6.1640938887714061E-2</v>
      </c>
      <c r="O1127" s="1">
        <v>45854</v>
      </c>
      <c r="P1127">
        <v>82634.48</v>
      </c>
      <c r="Q1127">
        <f t="shared" si="71"/>
        <v>7.6988372781639967E-4</v>
      </c>
      <c r="R1127" s="2">
        <f t="shared" si="72"/>
        <v>7.6988372781639967E-4</v>
      </c>
    </row>
    <row r="1128" spans="1:18" x14ac:dyDescent="0.3">
      <c r="A1128" s="1">
        <v>45855</v>
      </c>
      <c r="B1128">
        <v>461.4</v>
      </c>
      <c r="C1128">
        <f t="shared" si="69"/>
        <v>3.9774647887323891E-2</v>
      </c>
      <c r="D1128" s="2">
        <f t="shared" si="70"/>
        <v>3.9774647887323891E-2</v>
      </c>
      <c r="O1128" s="1">
        <v>45855</v>
      </c>
      <c r="P1128">
        <v>82259.240000000005</v>
      </c>
      <c r="Q1128">
        <f t="shared" si="71"/>
        <v>-4.5409615937559078E-3</v>
      </c>
      <c r="R1128" s="2">
        <f t="shared" si="72"/>
        <v>-4.5409615937559078E-3</v>
      </c>
    </row>
    <row r="1129" spans="1:18" x14ac:dyDescent="0.3">
      <c r="A1129" s="1">
        <v>45856</v>
      </c>
      <c r="B1129">
        <v>466.85</v>
      </c>
      <c r="C1129">
        <f t="shared" si="69"/>
        <v>1.1811876896402352E-2</v>
      </c>
      <c r="D1129" s="2">
        <f t="shared" si="70"/>
        <v>1.1811876896402352E-2</v>
      </c>
      <c r="O1129" s="1">
        <v>45856</v>
      </c>
      <c r="P1129">
        <v>81757.73</v>
      </c>
      <c r="Q1129">
        <f t="shared" si="71"/>
        <v>-6.0967011122399052E-3</v>
      </c>
      <c r="R1129" s="2">
        <f t="shared" si="72"/>
        <v>-6.0967011122399052E-3</v>
      </c>
    </row>
    <row r="1130" spans="1:18" x14ac:dyDescent="0.3">
      <c r="A1130" s="1">
        <v>45859</v>
      </c>
      <c r="B1130">
        <v>453.3</v>
      </c>
      <c r="C1130">
        <f t="shared" si="69"/>
        <v>-2.9024311877476727E-2</v>
      </c>
      <c r="D1130" s="2">
        <f t="shared" si="70"/>
        <v>-2.9024311877476727E-2</v>
      </c>
      <c r="O1130" s="1">
        <v>45859</v>
      </c>
      <c r="P1130">
        <v>82200.34</v>
      </c>
      <c r="Q1130">
        <f t="shared" si="71"/>
        <v>5.4136777036250961E-3</v>
      </c>
      <c r="R1130" s="2">
        <f t="shared" si="72"/>
        <v>5.4136777036250961E-3</v>
      </c>
    </row>
    <row r="1131" spans="1:18" x14ac:dyDescent="0.3">
      <c r="A1131" s="1">
        <v>45860</v>
      </c>
      <c r="B1131">
        <v>453.55</v>
      </c>
      <c r="C1131">
        <f t="shared" si="69"/>
        <v>5.5151114052503863E-4</v>
      </c>
      <c r="D1131" s="2">
        <f t="shared" si="70"/>
        <v>5.5151114052503863E-4</v>
      </c>
      <c r="O1131" s="1">
        <v>45860</v>
      </c>
      <c r="P1131">
        <v>82186.81</v>
      </c>
      <c r="Q1131">
        <f t="shared" si="71"/>
        <v>-1.64597859327575E-4</v>
      </c>
      <c r="R1131" s="2">
        <f t="shared" si="72"/>
        <v>-1.64597859327575E-4</v>
      </c>
    </row>
    <row r="1132" spans="1:18" x14ac:dyDescent="0.3">
      <c r="A1132" s="1">
        <v>45861</v>
      </c>
      <c r="B1132">
        <v>445.1</v>
      </c>
      <c r="C1132">
        <f t="shared" si="69"/>
        <v>-1.8630801455186835E-2</v>
      </c>
      <c r="D1132" s="2">
        <f t="shared" si="70"/>
        <v>-1.8630801455186835E-2</v>
      </c>
      <c r="O1132" s="1">
        <v>45861</v>
      </c>
      <c r="P1132">
        <v>82726.64</v>
      </c>
      <c r="Q1132">
        <f t="shared" si="71"/>
        <v>6.5683289082518444E-3</v>
      </c>
      <c r="R1132" s="2">
        <f t="shared" si="72"/>
        <v>6.5683289082518444E-3</v>
      </c>
    </row>
    <row r="1133" spans="1:18" x14ac:dyDescent="0.3">
      <c r="A1133" s="1">
        <v>45862</v>
      </c>
      <c r="B1133">
        <v>432.75</v>
      </c>
      <c r="C1133">
        <f t="shared" si="69"/>
        <v>-2.7746573803639683E-2</v>
      </c>
      <c r="D1133" s="2">
        <f t="shared" si="70"/>
        <v>-2.7746573803639683E-2</v>
      </c>
      <c r="O1133" s="1">
        <v>45862</v>
      </c>
      <c r="P1133">
        <v>82184.17</v>
      </c>
      <c r="Q1133">
        <f t="shared" si="71"/>
        <v>-6.5573798234764662E-3</v>
      </c>
      <c r="R1133" s="2">
        <f t="shared" si="72"/>
        <v>-6.5573798234764662E-3</v>
      </c>
    </row>
    <row r="1134" spans="1:18" x14ac:dyDescent="0.3">
      <c r="A1134" s="1">
        <v>45863</v>
      </c>
      <c r="B1134">
        <v>409.5</v>
      </c>
      <c r="C1134">
        <f t="shared" si="69"/>
        <v>-5.3726169844020795E-2</v>
      </c>
      <c r="D1134" s="2">
        <f t="shared" si="70"/>
        <v>-5.3726169844020795E-2</v>
      </c>
      <c r="O1134" s="1">
        <v>45863</v>
      </c>
      <c r="P1134">
        <v>81463.09</v>
      </c>
      <c r="Q1134">
        <f t="shared" si="71"/>
        <v>-8.7739524533739493E-3</v>
      </c>
      <c r="R1134" s="2">
        <f t="shared" si="72"/>
        <v>-8.7739524533739493E-3</v>
      </c>
    </row>
    <row r="1135" spans="1:18" x14ac:dyDescent="0.3">
      <c r="A1135" s="1">
        <v>45866</v>
      </c>
      <c r="B1135">
        <v>402.9</v>
      </c>
      <c r="C1135">
        <f t="shared" si="69"/>
        <v>-1.6117216117216174E-2</v>
      </c>
      <c r="D1135" s="2">
        <f t="shared" si="70"/>
        <v>-1.6117216117216174E-2</v>
      </c>
      <c r="O1135" s="1">
        <v>45866</v>
      </c>
      <c r="P1135">
        <v>80891.02</v>
      </c>
      <c r="Q1135">
        <f t="shared" si="71"/>
        <v>-7.0224441523147781E-3</v>
      </c>
      <c r="R1135" s="2">
        <f t="shared" si="72"/>
        <v>-7.0224441523147781E-3</v>
      </c>
    </row>
    <row r="1136" spans="1:18" x14ac:dyDescent="0.3">
      <c r="A1136" s="1">
        <v>45867</v>
      </c>
      <c r="B1136">
        <v>400.85</v>
      </c>
      <c r="C1136">
        <f t="shared" si="69"/>
        <v>-5.0881111938445136E-3</v>
      </c>
      <c r="D1136" s="2">
        <f t="shared" si="70"/>
        <v>-5.0881111938445136E-3</v>
      </c>
      <c r="O1136" s="1">
        <v>45867</v>
      </c>
      <c r="P1136">
        <v>81337.95</v>
      </c>
      <c r="Q1136">
        <f t="shared" si="71"/>
        <v>5.525087951666242E-3</v>
      </c>
      <c r="R1136" s="2">
        <f t="shared" si="72"/>
        <v>5.525087951666242E-3</v>
      </c>
    </row>
    <row r="1137" spans="1:18" x14ac:dyDescent="0.3">
      <c r="A1137" s="1">
        <v>45868</v>
      </c>
      <c r="B1137">
        <v>407.3</v>
      </c>
      <c r="C1137">
        <f t="shared" si="69"/>
        <v>1.6090807035050489E-2</v>
      </c>
      <c r="D1137" s="2">
        <f t="shared" si="70"/>
        <v>1.6090807035050489E-2</v>
      </c>
      <c r="O1137" s="1">
        <v>45868</v>
      </c>
      <c r="P1137">
        <v>81481.86</v>
      </c>
      <c r="Q1137">
        <f t="shared" si="71"/>
        <v>1.7692848172348025E-3</v>
      </c>
      <c r="R1137" s="2">
        <f t="shared" si="72"/>
        <v>1.7692848172348025E-3</v>
      </c>
    </row>
    <row r="1138" spans="1:18" x14ac:dyDescent="0.3">
      <c r="A1138" s="1">
        <v>45869</v>
      </c>
      <c r="B1138">
        <v>400</v>
      </c>
      <c r="C1138">
        <f t="shared" si="69"/>
        <v>-1.7922906948195462E-2</v>
      </c>
      <c r="D1138" s="2">
        <f t="shared" si="70"/>
        <v>-1.7922906948195462E-2</v>
      </c>
      <c r="O1138" s="1">
        <v>45869</v>
      </c>
      <c r="P1138">
        <v>81185.58</v>
      </c>
      <c r="Q1138">
        <f t="shared" si="71"/>
        <v>-3.6361467448091985E-3</v>
      </c>
      <c r="R1138" s="2">
        <f t="shared" si="72"/>
        <v>-3.6361467448091985E-3</v>
      </c>
    </row>
    <row r="1139" spans="1:18" x14ac:dyDescent="0.3">
      <c r="A1139" s="1">
        <v>45870</v>
      </c>
      <c r="B1139">
        <v>392.15</v>
      </c>
      <c r="C1139">
        <f t="shared" si="69"/>
        <v>-1.9625000000000056E-2</v>
      </c>
      <c r="D1139" s="2">
        <f t="shared" si="70"/>
        <v>-1.9625000000000056E-2</v>
      </c>
      <c r="O1139" s="1">
        <v>45870</v>
      </c>
      <c r="P1139">
        <v>80599.91</v>
      </c>
      <c r="Q1139">
        <f t="shared" si="71"/>
        <v>-7.2139658298924301E-3</v>
      </c>
      <c r="R1139" s="2">
        <f t="shared" si="72"/>
        <v>-7.2139658298924301E-3</v>
      </c>
    </row>
    <row r="1140" spans="1:18" x14ac:dyDescent="0.3">
      <c r="A1140" s="1">
        <v>45873</v>
      </c>
      <c r="B1140">
        <v>411.5</v>
      </c>
      <c r="C1140">
        <f t="shared" si="69"/>
        <v>4.9343363508861468E-2</v>
      </c>
      <c r="D1140" s="2">
        <f t="shared" si="70"/>
        <v>4.9343363508861468E-2</v>
      </c>
      <c r="O1140" s="1">
        <v>45873</v>
      </c>
      <c r="P1140">
        <v>81018.720000000001</v>
      </c>
      <c r="Q1140">
        <f t="shared" si="71"/>
        <v>5.1961596483171965E-3</v>
      </c>
      <c r="R1140" s="2">
        <f t="shared" si="72"/>
        <v>5.1961596483171965E-3</v>
      </c>
    </row>
    <row r="1141" spans="1:18" x14ac:dyDescent="0.3">
      <c r="A1141" s="1">
        <v>45874</v>
      </c>
      <c r="B1141">
        <v>408.5</v>
      </c>
      <c r="C1141">
        <f t="shared" si="69"/>
        <v>-7.2904009720534627E-3</v>
      </c>
      <c r="D1141" s="2">
        <f t="shared" si="70"/>
        <v>-7.2904009720534627E-3</v>
      </c>
      <c r="O1141" s="1">
        <v>45874</v>
      </c>
      <c r="P1141">
        <v>80710.25</v>
      </c>
      <c r="Q1141">
        <f t="shared" si="71"/>
        <v>-3.8073916744179761E-3</v>
      </c>
      <c r="R1141" s="2">
        <f t="shared" si="72"/>
        <v>-3.8073916744179761E-3</v>
      </c>
    </row>
    <row r="1142" spans="1:18" x14ac:dyDescent="0.3">
      <c r="A1142" s="1">
        <v>45875</v>
      </c>
      <c r="B1142">
        <v>408.55</v>
      </c>
      <c r="C1142">
        <f t="shared" si="69"/>
        <v>1.2239902080786138E-4</v>
      </c>
      <c r="D1142" s="2">
        <f t="shared" si="70"/>
        <v>1.2239902080786138E-4</v>
      </c>
      <c r="O1142" s="1">
        <v>45875</v>
      </c>
      <c r="P1142">
        <v>80543.990000000005</v>
      </c>
      <c r="Q1142">
        <f t="shared" si="71"/>
        <v>-2.0599614051498385E-3</v>
      </c>
      <c r="R1142" s="2">
        <f t="shared" si="72"/>
        <v>-2.0599614051498385E-3</v>
      </c>
    </row>
    <row r="1143" spans="1:18" x14ac:dyDescent="0.3">
      <c r="A1143" s="1">
        <v>45876</v>
      </c>
      <c r="B1143">
        <v>407.7</v>
      </c>
      <c r="C1143">
        <f t="shared" si="69"/>
        <v>-2.0805286990576983E-3</v>
      </c>
      <c r="D1143" s="2">
        <f t="shared" si="70"/>
        <v>-2.0805286990576983E-3</v>
      </c>
      <c r="O1143" s="1">
        <v>45876</v>
      </c>
      <c r="P1143">
        <v>80623.259999999995</v>
      </c>
      <c r="Q1143">
        <f t="shared" si="71"/>
        <v>9.8418268079330964E-4</v>
      </c>
      <c r="R1143" s="2">
        <f t="shared" si="72"/>
        <v>9.8418268079330964E-4</v>
      </c>
    </row>
    <row r="1144" spans="1:18" x14ac:dyDescent="0.3">
      <c r="A1144" s="1">
        <v>45877</v>
      </c>
      <c r="B1144">
        <v>401.75</v>
      </c>
      <c r="C1144">
        <f t="shared" si="69"/>
        <v>-1.4594064262938408E-2</v>
      </c>
      <c r="D1144" s="2">
        <f t="shared" si="70"/>
        <v>-1.4594064262938408E-2</v>
      </c>
      <c r="O1144" s="1">
        <v>45877</v>
      </c>
      <c r="P1144">
        <v>79857.789999999994</v>
      </c>
      <c r="Q1144">
        <f t="shared" si="71"/>
        <v>-9.4944064529268752E-3</v>
      </c>
      <c r="R1144" s="2">
        <f t="shared" si="72"/>
        <v>-9.4944064529268752E-3</v>
      </c>
    </row>
    <row r="1145" spans="1:18" x14ac:dyDescent="0.3">
      <c r="A1145" s="1">
        <v>45880</v>
      </c>
      <c r="B1145">
        <v>399.9</v>
      </c>
      <c r="C1145">
        <f t="shared" si="69"/>
        <v>-4.6048537647791479E-3</v>
      </c>
      <c r="D1145" s="2">
        <f t="shared" si="70"/>
        <v>-4.6048537647791479E-3</v>
      </c>
      <c r="O1145" s="1">
        <v>45880</v>
      </c>
      <c r="P1145">
        <v>80604.08</v>
      </c>
      <c r="Q1145">
        <f t="shared" si="71"/>
        <v>9.3452373275044083E-3</v>
      </c>
      <c r="R1145" s="2">
        <f t="shared" si="72"/>
        <v>9.3452373275044083E-3</v>
      </c>
    </row>
    <row r="1146" spans="1:18" x14ac:dyDescent="0.3">
      <c r="A1146" s="1">
        <v>45881</v>
      </c>
      <c r="B1146">
        <v>394.3</v>
      </c>
      <c r="C1146">
        <f t="shared" si="69"/>
        <v>-1.4003500875218721E-2</v>
      </c>
      <c r="D1146" s="2">
        <f t="shared" si="70"/>
        <v>-1.4003500875218721E-2</v>
      </c>
      <c r="O1146" s="1">
        <v>45881</v>
      </c>
      <c r="P1146">
        <v>80235.59</v>
      </c>
      <c r="Q1146">
        <f t="shared" si="71"/>
        <v>-4.5716048120641685E-3</v>
      </c>
      <c r="R1146" s="2">
        <f t="shared" si="72"/>
        <v>-4.5716048120641685E-3</v>
      </c>
    </row>
    <row r="1147" spans="1:18" x14ac:dyDescent="0.3">
      <c r="A1147" s="1">
        <v>45882</v>
      </c>
      <c r="B1147">
        <v>395.6</v>
      </c>
      <c r="C1147">
        <f t="shared" si="69"/>
        <v>3.2969819934060649E-3</v>
      </c>
      <c r="D1147" s="2">
        <f t="shared" si="70"/>
        <v>3.2969819934060649E-3</v>
      </c>
      <c r="O1147" s="1">
        <v>45882</v>
      </c>
      <c r="P1147">
        <v>80539.91</v>
      </c>
      <c r="Q1147">
        <f t="shared" si="71"/>
        <v>3.7928305880221857E-3</v>
      </c>
      <c r="R1147" s="2">
        <f t="shared" si="72"/>
        <v>3.7928305880221857E-3</v>
      </c>
    </row>
    <row r="1148" spans="1:18" x14ac:dyDescent="0.3">
      <c r="A1148" s="1">
        <v>45883</v>
      </c>
      <c r="B1148">
        <v>390.65</v>
      </c>
      <c r="C1148">
        <f t="shared" si="69"/>
        <v>-1.2512639029322663E-2</v>
      </c>
      <c r="D1148" s="2">
        <f t="shared" si="70"/>
        <v>-1.2512639029322663E-2</v>
      </c>
      <c r="O1148" s="1">
        <v>45883</v>
      </c>
      <c r="P1148">
        <v>80597.66</v>
      </c>
      <c r="Q1148">
        <f t="shared" si="71"/>
        <v>7.1703581491461808E-4</v>
      </c>
      <c r="R1148" s="2">
        <f t="shared" si="72"/>
        <v>7.1703581491461808E-4</v>
      </c>
    </row>
    <row r="1149" spans="1:18" x14ac:dyDescent="0.3">
      <c r="A1149" s="1">
        <v>45887</v>
      </c>
      <c r="B1149">
        <v>390.1</v>
      </c>
      <c r="C1149">
        <f t="shared" si="69"/>
        <v>-1.4079098937666826E-3</v>
      </c>
      <c r="D1149" s="2">
        <f t="shared" si="70"/>
        <v>-1.4079098937666826E-3</v>
      </c>
      <c r="O1149" s="1">
        <v>45887</v>
      </c>
      <c r="P1149">
        <v>81273.75</v>
      </c>
      <c r="Q1149">
        <f t="shared" si="71"/>
        <v>8.3884569353501887E-3</v>
      </c>
      <c r="R1149" s="2">
        <f t="shared" si="72"/>
        <v>8.3884569353501887E-3</v>
      </c>
    </row>
    <row r="1150" spans="1:18" x14ac:dyDescent="0.3">
      <c r="A1150" s="1">
        <v>45888</v>
      </c>
      <c r="B1150">
        <v>399.9</v>
      </c>
      <c r="C1150">
        <f t="shared" si="69"/>
        <v>2.5121763650345946E-2</v>
      </c>
      <c r="D1150" s="2">
        <f t="shared" si="70"/>
        <v>2.5121763650345946E-2</v>
      </c>
      <c r="O1150" s="1">
        <v>45888</v>
      </c>
      <c r="P1150">
        <v>81644.39</v>
      </c>
      <c r="Q1150">
        <f t="shared" si="71"/>
        <v>4.560390039834503E-3</v>
      </c>
      <c r="R1150" s="2">
        <f t="shared" si="72"/>
        <v>4.560390039834503E-3</v>
      </c>
    </row>
    <row r="1151" spans="1:18" x14ac:dyDescent="0.3">
      <c r="A1151" s="1">
        <v>45889</v>
      </c>
      <c r="B1151">
        <v>479.85</v>
      </c>
      <c r="C1151">
        <f t="shared" si="69"/>
        <v>0.19992498124531144</v>
      </c>
      <c r="D1151" s="2">
        <f t="shared" si="70"/>
        <v>0.19992498124531144</v>
      </c>
      <c r="O1151" s="1">
        <v>45889</v>
      </c>
      <c r="P1151">
        <v>81857.84</v>
      </c>
      <c r="Q1151">
        <f t="shared" si="71"/>
        <v>2.6143866100291407E-3</v>
      </c>
      <c r="R1151" s="2">
        <f t="shared" si="72"/>
        <v>2.6143866100291407E-3</v>
      </c>
    </row>
    <row r="1152" spans="1:18" x14ac:dyDescent="0.3">
      <c r="A1152" s="1">
        <v>45890</v>
      </c>
      <c r="B1152">
        <v>463.25</v>
      </c>
      <c r="C1152">
        <f t="shared" si="69"/>
        <v>-3.4594144003334423E-2</v>
      </c>
      <c r="D1152" s="2">
        <f t="shared" si="70"/>
        <v>-3.4594144003334423E-2</v>
      </c>
      <c r="O1152" s="1">
        <v>45890</v>
      </c>
      <c r="P1152">
        <v>82000.710000000006</v>
      </c>
      <c r="Q1152">
        <f t="shared" si="71"/>
        <v>1.7453429017918124E-3</v>
      </c>
      <c r="R1152" s="2">
        <f t="shared" si="72"/>
        <v>1.7453429017918124E-3</v>
      </c>
    </row>
    <row r="1153" spans="1:18" x14ac:dyDescent="0.3">
      <c r="A1153" s="1">
        <v>45891</v>
      </c>
      <c r="B1153">
        <v>453.95</v>
      </c>
      <c r="C1153">
        <f t="shared" si="69"/>
        <v>-2.007555315704266E-2</v>
      </c>
      <c r="D1153" s="2">
        <f t="shared" si="70"/>
        <v>-2.007555315704266E-2</v>
      </c>
      <c r="O1153" s="1">
        <v>45891</v>
      </c>
      <c r="P1153">
        <v>81306.850000000006</v>
      </c>
      <c r="Q1153">
        <f t="shared" si="71"/>
        <v>-8.4616340517051688E-3</v>
      </c>
      <c r="R1153" s="2">
        <f t="shared" si="72"/>
        <v>-8.4616340517051688E-3</v>
      </c>
    </row>
    <row r="1154" spans="1:18" x14ac:dyDescent="0.3">
      <c r="A1154" s="1">
        <v>45894</v>
      </c>
      <c r="B1154">
        <v>440.2</v>
      </c>
      <c r="C1154">
        <f t="shared" si="69"/>
        <v>-3.0289679480118955E-2</v>
      </c>
      <c r="D1154" s="2">
        <f t="shared" si="70"/>
        <v>-3.0289679480118955E-2</v>
      </c>
      <c r="O1154" s="1">
        <v>45894</v>
      </c>
      <c r="P1154">
        <v>81635.91</v>
      </c>
      <c r="Q1154">
        <f t="shared" si="71"/>
        <v>4.0471374798064083E-3</v>
      </c>
      <c r="R1154" s="2">
        <f t="shared" si="72"/>
        <v>4.0471374798064083E-3</v>
      </c>
    </row>
    <row r="1155" spans="1:18" x14ac:dyDescent="0.3">
      <c r="A1155" s="1">
        <v>45895</v>
      </c>
      <c r="B1155">
        <v>438.7</v>
      </c>
      <c r="C1155">
        <f t="shared" si="69"/>
        <v>-3.4075420263516582E-3</v>
      </c>
      <c r="D1155" s="2">
        <f t="shared" si="70"/>
        <v>-3.4075420263516582E-3</v>
      </c>
      <c r="O1155" s="1">
        <v>45895</v>
      </c>
      <c r="P1155">
        <v>80786.539999999994</v>
      </c>
      <c r="Q1155">
        <f t="shared" si="71"/>
        <v>-1.0404367391752108E-2</v>
      </c>
      <c r="R1155" s="2">
        <f t="shared" si="72"/>
        <v>-1.0404367391752108E-2</v>
      </c>
    </row>
    <row r="1156" spans="1:18" x14ac:dyDescent="0.3">
      <c r="A1156" s="1">
        <v>45897</v>
      </c>
      <c r="B1156">
        <v>427.5</v>
      </c>
      <c r="C1156">
        <f t="shared" ref="C1156:C1219" si="73">(B1156-B1155)/B1155</f>
        <v>-2.5529974925917458E-2</v>
      </c>
      <c r="D1156" s="2">
        <f t="shared" ref="D1156:D1219" si="74">(B1156-B1155)/B1155</f>
        <v>-2.5529974925917458E-2</v>
      </c>
      <c r="O1156" s="1">
        <v>45897</v>
      </c>
      <c r="P1156">
        <v>80080.570000000007</v>
      </c>
      <c r="Q1156">
        <f t="shared" ref="Q1156:Q1219" si="75">(P1156-P1155)/P1155</f>
        <v>-8.7387082055994311E-3</v>
      </c>
      <c r="R1156" s="2">
        <f t="shared" ref="R1156:R1219" si="76">(P1156-P1155)/P1155</f>
        <v>-8.7387082055994311E-3</v>
      </c>
    </row>
    <row r="1157" spans="1:18" x14ac:dyDescent="0.3">
      <c r="A1157" s="1">
        <v>45898</v>
      </c>
      <c r="B1157">
        <v>419.5</v>
      </c>
      <c r="C1157">
        <f t="shared" si="73"/>
        <v>-1.8713450292397661E-2</v>
      </c>
      <c r="D1157" s="2">
        <f t="shared" si="74"/>
        <v>-1.8713450292397661E-2</v>
      </c>
      <c r="O1157" s="1">
        <v>45898</v>
      </c>
      <c r="P1157">
        <v>79809.649999999994</v>
      </c>
      <c r="Q1157">
        <f t="shared" si="75"/>
        <v>-3.3830928026612793E-3</v>
      </c>
      <c r="R1157" s="2">
        <f t="shared" si="76"/>
        <v>-3.3830928026612793E-3</v>
      </c>
    </row>
    <row r="1158" spans="1:18" x14ac:dyDescent="0.3">
      <c r="A1158" s="1">
        <v>45901</v>
      </c>
      <c r="B1158">
        <v>430.1</v>
      </c>
      <c r="C1158">
        <f t="shared" si="73"/>
        <v>2.5268176400476811E-2</v>
      </c>
      <c r="D1158" s="2">
        <f t="shared" si="74"/>
        <v>2.5268176400476811E-2</v>
      </c>
      <c r="O1158" s="1">
        <v>45901</v>
      </c>
      <c r="P1158">
        <v>80364.490000000005</v>
      </c>
      <c r="Q1158">
        <f t="shared" si="75"/>
        <v>6.9520415137769818E-3</v>
      </c>
      <c r="R1158" s="2">
        <f t="shared" si="76"/>
        <v>6.9520415137769818E-3</v>
      </c>
    </row>
    <row r="1159" spans="1:18" x14ac:dyDescent="0.3">
      <c r="A1159" s="1">
        <v>45902</v>
      </c>
      <c r="B1159">
        <v>431.8</v>
      </c>
      <c r="C1159">
        <f t="shared" si="73"/>
        <v>3.952569169960448E-3</v>
      </c>
      <c r="D1159" s="2">
        <f t="shared" si="74"/>
        <v>3.952569169960448E-3</v>
      </c>
      <c r="O1159" s="1">
        <v>45902</v>
      </c>
      <c r="P1159">
        <v>80157.88</v>
      </c>
      <c r="Q1159">
        <f t="shared" si="75"/>
        <v>-2.5709116053620269E-3</v>
      </c>
      <c r="R1159" s="2">
        <f t="shared" si="76"/>
        <v>-2.5709116053620269E-3</v>
      </c>
    </row>
    <row r="1160" spans="1:18" x14ac:dyDescent="0.3">
      <c r="A1160" s="1">
        <v>45903</v>
      </c>
      <c r="B1160">
        <v>432.45</v>
      </c>
      <c r="C1160">
        <f t="shared" si="73"/>
        <v>1.5053265400647921E-3</v>
      </c>
      <c r="D1160" s="2">
        <f t="shared" si="74"/>
        <v>1.5053265400647921E-3</v>
      </c>
      <c r="O1160" s="1">
        <v>45903</v>
      </c>
      <c r="P1160">
        <v>80567.710000000006</v>
      </c>
      <c r="Q1160">
        <f t="shared" si="75"/>
        <v>5.1127849189624491E-3</v>
      </c>
      <c r="R1160" s="2">
        <f t="shared" si="76"/>
        <v>5.1127849189624491E-3</v>
      </c>
    </row>
    <row r="1161" spans="1:18" x14ac:dyDescent="0.3">
      <c r="A1161" s="1">
        <v>45904</v>
      </c>
      <c r="B1161">
        <v>437.95</v>
      </c>
      <c r="C1161">
        <f t="shared" si="73"/>
        <v>1.2718233321771303E-2</v>
      </c>
      <c r="D1161" s="2">
        <f t="shared" si="74"/>
        <v>1.2718233321771303E-2</v>
      </c>
      <c r="O1161" s="1">
        <v>45904</v>
      </c>
      <c r="P1161">
        <v>80718.009999999995</v>
      </c>
      <c r="Q1161">
        <f t="shared" si="75"/>
        <v>1.8655116299071718E-3</v>
      </c>
      <c r="R1161" s="2">
        <f t="shared" si="76"/>
        <v>1.8655116299071718E-3</v>
      </c>
    </row>
    <row r="1162" spans="1:18" x14ac:dyDescent="0.3">
      <c r="A1162" s="1">
        <v>45905</v>
      </c>
      <c r="B1162">
        <v>428.5</v>
      </c>
      <c r="C1162">
        <f t="shared" si="73"/>
        <v>-2.1577805685580521E-2</v>
      </c>
      <c r="D1162" s="2">
        <f t="shared" si="74"/>
        <v>-2.1577805685580521E-2</v>
      </c>
      <c r="O1162" s="1">
        <v>45905</v>
      </c>
      <c r="P1162">
        <v>80710.759999999995</v>
      </c>
      <c r="Q1162">
        <f t="shared" si="75"/>
        <v>-8.981886446407686E-5</v>
      </c>
      <c r="R1162" s="2">
        <f t="shared" si="76"/>
        <v>-8.981886446407686E-5</v>
      </c>
    </row>
    <row r="1163" spans="1:18" x14ac:dyDescent="0.3">
      <c r="A1163" s="1">
        <v>45908</v>
      </c>
      <c r="B1163">
        <v>424.75</v>
      </c>
      <c r="C1163">
        <f t="shared" si="73"/>
        <v>-8.7514585764294044E-3</v>
      </c>
      <c r="D1163" s="2">
        <f t="shared" si="74"/>
        <v>-8.7514585764294044E-3</v>
      </c>
      <c r="O1163" s="1">
        <v>45908</v>
      </c>
      <c r="P1163">
        <v>80787.3</v>
      </c>
      <c r="Q1163">
        <f t="shared" si="75"/>
        <v>9.4832461000253444E-4</v>
      </c>
      <c r="R1163" s="2">
        <f t="shared" si="76"/>
        <v>9.4832461000253444E-4</v>
      </c>
    </row>
    <row r="1164" spans="1:18" x14ac:dyDescent="0.3">
      <c r="A1164" s="1">
        <v>45909</v>
      </c>
      <c r="B1164">
        <v>424.75</v>
      </c>
      <c r="C1164">
        <f t="shared" si="73"/>
        <v>0</v>
      </c>
      <c r="D1164" s="2">
        <f t="shared" si="74"/>
        <v>0</v>
      </c>
      <c r="O1164" s="1">
        <v>45909</v>
      </c>
      <c r="P1164">
        <v>81101.320000000007</v>
      </c>
      <c r="Q1164">
        <f t="shared" si="75"/>
        <v>3.8869970898891791E-3</v>
      </c>
      <c r="R1164" s="2">
        <f t="shared" si="76"/>
        <v>3.8869970898891791E-3</v>
      </c>
    </row>
    <row r="1165" spans="1:18" x14ac:dyDescent="0.3">
      <c r="A1165" s="1">
        <v>45910</v>
      </c>
      <c r="B1165">
        <v>446.2</v>
      </c>
      <c r="C1165">
        <f t="shared" si="73"/>
        <v>5.0500294290759244E-2</v>
      </c>
      <c r="D1165" s="2">
        <f t="shared" si="74"/>
        <v>5.0500294290759244E-2</v>
      </c>
      <c r="O1165" s="1">
        <v>45910</v>
      </c>
      <c r="P1165">
        <v>81425.149999999994</v>
      </c>
      <c r="Q1165">
        <f t="shared" si="75"/>
        <v>3.9929066505944317E-3</v>
      </c>
      <c r="R1165" s="2">
        <f t="shared" si="76"/>
        <v>3.9929066505944317E-3</v>
      </c>
    </row>
    <row r="1166" spans="1:18" x14ac:dyDescent="0.3">
      <c r="A1166" s="1">
        <v>45911</v>
      </c>
      <c r="B1166">
        <v>436.45</v>
      </c>
      <c r="C1166">
        <f t="shared" si="73"/>
        <v>-2.1851187808157778E-2</v>
      </c>
      <c r="D1166" s="2">
        <f t="shared" si="74"/>
        <v>-2.1851187808157778E-2</v>
      </c>
      <c r="O1166" s="1">
        <v>45911</v>
      </c>
      <c r="P1166">
        <v>81548.73</v>
      </c>
      <c r="Q1166">
        <f t="shared" si="75"/>
        <v>1.5177128933751029E-3</v>
      </c>
      <c r="R1166" s="2">
        <f t="shared" si="76"/>
        <v>1.5177128933751029E-3</v>
      </c>
    </row>
    <row r="1167" spans="1:18" x14ac:dyDescent="0.3">
      <c r="A1167" s="1">
        <v>45912</v>
      </c>
      <c r="B1167">
        <v>430.85</v>
      </c>
      <c r="C1167">
        <f t="shared" si="73"/>
        <v>-1.2830793905372817E-2</v>
      </c>
      <c r="D1167" s="2">
        <f t="shared" si="74"/>
        <v>-1.2830793905372817E-2</v>
      </c>
      <c r="O1167" s="1">
        <v>45912</v>
      </c>
      <c r="P1167">
        <v>81904.7</v>
      </c>
      <c r="Q1167">
        <f t="shared" si="75"/>
        <v>4.3651200944515162E-3</v>
      </c>
      <c r="R1167" s="2">
        <f t="shared" si="76"/>
        <v>4.3651200944515162E-3</v>
      </c>
    </row>
    <row r="1168" spans="1:18" x14ac:dyDescent="0.3">
      <c r="A1168" s="1">
        <v>45915</v>
      </c>
      <c r="B1168">
        <v>425.7</v>
      </c>
      <c r="C1168">
        <f t="shared" si="73"/>
        <v>-1.1953115933619668E-2</v>
      </c>
      <c r="D1168" s="2">
        <f t="shared" si="74"/>
        <v>-1.1953115933619668E-2</v>
      </c>
      <c r="O1168" s="1">
        <v>45915</v>
      </c>
      <c r="P1168">
        <v>81785.740000000005</v>
      </c>
      <c r="Q1168">
        <f t="shared" si="75"/>
        <v>-1.4524197024101408E-3</v>
      </c>
      <c r="R1168" s="2">
        <f t="shared" si="76"/>
        <v>-1.4524197024101408E-3</v>
      </c>
    </row>
    <row r="1169" spans="1:18" x14ac:dyDescent="0.3">
      <c r="A1169" s="1">
        <v>45916</v>
      </c>
      <c r="B1169">
        <v>429.3</v>
      </c>
      <c r="C1169">
        <f t="shared" si="73"/>
        <v>8.4566596194503713E-3</v>
      </c>
      <c r="D1169" s="2">
        <f t="shared" si="74"/>
        <v>8.4566596194503713E-3</v>
      </c>
      <c r="O1169" s="1">
        <v>45916</v>
      </c>
      <c r="P1169">
        <v>82380.69</v>
      </c>
      <c r="Q1169">
        <f t="shared" si="75"/>
        <v>7.2744955294162163E-3</v>
      </c>
      <c r="R1169" s="2">
        <f t="shared" si="76"/>
        <v>7.2744955294162163E-3</v>
      </c>
    </row>
    <row r="1170" spans="1:18" x14ac:dyDescent="0.3">
      <c r="A1170" s="1">
        <v>45917</v>
      </c>
      <c r="B1170">
        <v>431.3</v>
      </c>
      <c r="C1170">
        <f t="shared" si="73"/>
        <v>4.6587467971115765E-3</v>
      </c>
      <c r="D1170" s="2">
        <f t="shared" si="74"/>
        <v>4.6587467971115765E-3</v>
      </c>
      <c r="O1170" s="1">
        <v>45917</v>
      </c>
      <c r="P1170">
        <v>82693.710000000006</v>
      </c>
      <c r="Q1170">
        <f t="shared" si="75"/>
        <v>3.7996768417453662E-3</v>
      </c>
      <c r="R1170" s="2">
        <f t="shared" si="76"/>
        <v>3.7996768417453662E-3</v>
      </c>
    </row>
    <row r="1171" spans="1:18" x14ac:dyDescent="0.3">
      <c r="A1171" s="1">
        <v>45918</v>
      </c>
      <c r="B1171">
        <v>429.65</v>
      </c>
      <c r="C1171">
        <f t="shared" si="73"/>
        <v>-3.8256434036634222E-3</v>
      </c>
      <c r="D1171" s="2">
        <f t="shared" si="74"/>
        <v>-3.8256434036634222E-3</v>
      </c>
      <c r="O1171" s="1">
        <v>45918</v>
      </c>
      <c r="P1171">
        <v>83013.960000000006</v>
      </c>
      <c r="Q1171">
        <f t="shared" si="75"/>
        <v>3.87272502346309E-3</v>
      </c>
      <c r="R1171" s="2">
        <f t="shared" si="76"/>
        <v>3.87272502346309E-3</v>
      </c>
    </row>
    <row r="1172" spans="1:18" x14ac:dyDescent="0.3">
      <c r="A1172" s="1">
        <v>45919</v>
      </c>
      <c r="B1172">
        <v>427.6</v>
      </c>
      <c r="C1172">
        <f t="shared" si="73"/>
        <v>-4.7713254974978579E-3</v>
      </c>
      <c r="D1172" s="2">
        <f t="shared" si="74"/>
        <v>-4.7713254974978579E-3</v>
      </c>
      <c r="O1172" s="1">
        <v>45919</v>
      </c>
      <c r="P1172">
        <v>82626.23</v>
      </c>
      <c r="Q1172">
        <f t="shared" si="75"/>
        <v>-4.670660211848832E-3</v>
      </c>
      <c r="R1172" s="2">
        <f t="shared" si="76"/>
        <v>-4.670660211848832E-3</v>
      </c>
    </row>
    <row r="1173" spans="1:18" x14ac:dyDescent="0.3">
      <c r="A1173" s="1">
        <v>45922</v>
      </c>
      <c r="B1173">
        <v>418.15</v>
      </c>
      <c r="C1173">
        <f t="shared" si="73"/>
        <v>-2.2100093545369608E-2</v>
      </c>
      <c r="D1173" s="2">
        <f t="shared" si="74"/>
        <v>-2.2100093545369608E-2</v>
      </c>
      <c r="O1173" s="1">
        <v>45922</v>
      </c>
      <c r="P1173">
        <v>82159.97</v>
      </c>
      <c r="Q1173">
        <f t="shared" si="75"/>
        <v>-5.6430022282269784E-3</v>
      </c>
      <c r="R1173" s="2">
        <f t="shared" si="76"/>
        <v>-5.6430022282269784E-3</v>
      </c>
    </row>
    <row r="1174" spans="1:18" x14ac:dyDescent="0.3">
      <c r="A1174" s="1">
        <v>45923</v>
      </c>
      <c r="B1174">
        <v>414.1</v>
      </c>
      <c r="C1174">
        <f t="shared" si="73"/>
        <v>-9.6855195504004666E-3</v>
      </c>
      <c r="D1174" s="2">
        <f t="shared" si="74"/>
        <v>-9.6855195504004666E-3</v>
      </c>
      <c r="O1174" s="1">
        <v>45923</v>
      </c>
      <c r="P1174">
        <v>82102.100000000006</v>
      </c>
      <c r="Q1174">
        <f t="shared" si="75"/>
        <v>-7.0435760869916753E-4</v>
      </c>
      <c r="R1174" s="2">
        <f t="shared" si="76"/>
        <v>-7.0435760869916753E-4</v>
      </c>
    </row>
    <row r="1175" spans="1:18" x14ac:dyDescent="0.3">
      <c r="A1175" s="1">
        <v>45924</v>
      </c>
      <c r="B1175">
        <v>411.3</v>
      </c>
      <c r="C1175">
        <f t="shared" si="73"/>
        <v>-6.7616517749336177E-3</v>
      </c>
      <c r="D1175" s="2">
        <f t="shared" si="74"/>
        <v>-6.7616517749336177E-3</v>
      </c>
      <c r="O1175" s="1">
        <v>45924</v>
      </c>
      <c r="P1175">
        <v>81715.63</v>
      </c>
      <c r="Q1175">
        <f t="shared" si="75"/>
        <v>-4.7071877576822171E-3</v>
      </c>
      <c r="R1175" s="2">
        <f t="shared" si="76"/>
        <v>-4.7071877576822171E-3</v>
      </c>
    </row>
    <row r="1176" spans="1:18" x14ac:dyDescent="0.3">
      <c r="A1176" s="1">
        <v>45925</v>
      </c>
      <c r="B1176">
        <v>410.55</v>
      </c>
      <c r="C1176">
        <f t="shared" si="73"/>
        <v>-1.823486506199854E-3</v>
      </c>
      <c r="D1176" s="2">
        <f t="shared" si="74"/>
        <v>-1.823486506199854E-3</v>
      </c>
      <c r="O1176" s="1">
        <v>45925</v>
      </c>
      <c r="P1176">
        <v>81159.679999999993</v>
      </c>
      <c r="Q1176">
        <f t="shared" si="75"/>
        <v>-6.8034719918332832E-3</v>
      </c>
      <c r="R1176" s="2">
        <f t="shared" si="76"/>
        <v>-6.8034719918332832E-3</v>
      </c>
    </row>
    <row r="1177" spans="1:18" x14ac:dyDescent="0.3">
      <c r="A1177" s="1">
        <v>45926</v>
      </c>
      <c r="B1177">
        <v>398.25</v>
      </c>
      <c r="C1177">
        <f t="shared" si="73"/>
        <v>-2.9959810010960933E-2</v>
      </c>
      <c r="D1177" s="2">
        <f t="shared" si="74"/>
        <v>-2.9959810010960933E-2</v>
      </c>
      <c r="O1177" s="1">
        <v>45926</v>
      </c>
      <c r="P1177">
        <v>80426.460000000006</v>
      </c>
      <c r="Q1177">
        <f t="shared" si="75"/>
        <v>-9.0342889474180604E-3</v>
      </c>
      <c r="R1177" s="2">
        <f t="shared" si="76"/>
        <v>-9.0342889474180604E-3</v>
      </c>
    </row>
    <row r="1178" spans="1:18" x14ac:dyDescent="0.3">
      <c r="A1178" s="1">
        <v>45929</v>
      </c>
      <c r="B1178">
        <v>393.95</v>
      </c>
      <c r="C1178">
        <f t="shared" si="73"/>
        <v>-1.0797237915882012E-2</v>
      </c>
      <c r="D1178" s="2">
        <f t="shared" si="74"/>
        <v>-1.0797237915882012E-2</v>
      </c>
      <c r="O1178" s="1">
        <v>45929</v>
      </c>
      <c r="P1178">
        <v>80364.94</v>
      </c>
      <c r="Q1178">
        <f t="shared" si="75"/>
        <v>-7.6492238996971984E-4</v>
      </c>
      <c r="R1178" s="2">
        <f t="shared" si="76"/>
        <v>-7.6492238996971984E-4</v>
      </c>
    </row>
    <row r="1179" spans="1:18" x14ac:dyDescent="0.3">
      <c r="A1179" s="1">
        <v>45930</v>
      </c>
      <c r="B1179">
        <v>386.85</v>
      </c>
      <c r="C1179">
        <f t="shared" si="73"/>
        <v>-1.8022591699454159E-2</v>
      </c>
      <c r="D1179" s="2">
        <f t="shared" si="74"/>
        <v>-1.8022591699454159E-2</v>
      </c>
      <c r="O1179" s="1">
        <v>45930</v>
      </c>
      <c r="P1179">
        <v>80267.62</v>
      </c>
      <c r="Q1179">
        <f t="shared" si="75"/>
        <v>-1.2109758310030092E-3</v>
      </c>
      <c r="R1179" s="2">
        <f t="shared" si="76"/>
        <v>-1.2109758310030092E-3</v>
      </c>
    </row>
    <row r="1180" spans="1:18" x14ac:dyDescent="0.3">
      <c r="A1180" s="1">
        <v>45931</v>
      </c>
      <c r="B1180">
        <v>400.2</v>
      </c>
      <c r="C1180">
        <f t="shared" si="73"/>
        <v>3.4509499806126318E-2</v>
      </c>
      <c r="D1180" s="2">
        <f t="shared" si="74"/>
        <v>3.4509499806126318E-2</v>
      </c>
      <c r="O1180" s="1">
        <v>45931</v>
      </c>
      <c r="P1180">
        <v>80983.31</v>
      </c>
      <c r="Q1180">
        <f t="shared" si="75"/>
        <v>8.9162977549353314E-3</v>
      </c>
      <c r="R1180" s="2">
        <f t="shared" si="76"/>
        <v>8.9162977549353314E-3</v>
      </c>
    </row>
    <row r="1181" spans="1:18" x14ac:dyDescent="0.3">
      <c r="A1181" s="1">
        <v>45933</v>
      </c>
      <c r="B1181">
        <v>404.2</v>
      </c>
      <c r="C1181">
        <f t="shared" si="73"/>
        <v>9.9950024987506252E-3</v>
      </c>
      <c r="D1181" s="2">
        <f t="shared" si="74"/>
        <v>9.9950024987506252E-3</v>
      </c>
      <c r="O1181" s="1">
        <v>45933</v>
      </c>
      <c r="P1181">
        <v>81207.17</v>
      </c>
      <c r="Q1181">
        <f t="shared" si="75"/>
        <v>2.7642732805068177E-3</v>
      </c>
      <c r="R1181" s="2">
        <f t="shared" si="76"/>
        <v>2.7642732805068177E-3</v>
      </c>
    </row>
    <row r="1182" spans="1:18" x14ac:dyDescent="0.3">
      <c r="A1182" s="1">
        <v>45936</v>
      </c>
      <c r="B1182">
        <v>405.75</v>
      </c>
      <c r="C1182">
        <f t="shared" si="73"/>
        <v>3.8347352795646003E-3</v>
      </c>
      <c r="D1182" s="2">
        <f t="shared" si="74"/>
        <v>3.8347352795646003E-3</v>
      </c>
      <c r="O1182" s="1">
        <v>45936</v>
      </c>
      <c r="P1182">
        <v>81790.12</v>
      </c>
      <c r="Q1182">
        <f t="shared" si="75"/>
        <v>7.1785533223235965E-3</v>
      </c>
      <c r="R1182" s="2">
        <f t="shared" si="76"/>
        <v>7.1785533223235965E-3</v>
      </c>
    </row>
    <row r="1183" spans="1:18" x14ac:dyDescent="0.3">
      <c r="A1183" s="1">
        <v>45937</v>
      </c>
      <c r="B1183">
        <v>399.8</v>
      </c>
      <c r="C1183">
        <f t="shared" si="73"/>
        <v>-1.4664202094885986E-2</v>
      </c>
      <c r="D1183" s="2">
        <f t="shared" si="74"/>
        <v>-1.4664202094885986E-2</v>
      </c>
      <c r="O1183" s="1">
        <v>45937</v>
      </c>
      <c r="P1183">
        <v>81926.75</v>
      </c>
      <c r="Q1183">
        <f t="shared" si="75"/>
        <v>1.6704951649417394E-3</v>
      </c>
      <c r="R1183" s="2">
        <f t="shared" si="76"/>
        <v>1.6704951649417394E-3</v>
      </c>
    </row>
    <row r="1184" spans="1:18" x14ac:dyDescent="0.3">
      <c r="A1184" s="1">
        <v>45938</v>
      </c>
      <c r="B1184">
        <v>405.75</v>
      </c>
      <c r="C1184">
        <f t="shared" si="73"/>
        <v>1.4882441220610276E-2</v>
      </c>
      <c r="D1184" s="2">
        <f t="shared" si="74"/>
        <v>1.4882441220610276E-2</v>
      </c>
      <c r="O1184" s="1">
        <v>45938</v>
      </c>
      <c r="P1184">
        <v>81773.66</v>
      </c>
      <c r="Q1184">
        <f t="shared" si="75"/>
        <v>-1.8686204444823761E-3</v>
      </c>
      <c r="R1184" s="2">
        <f t="shared" si="76"/>
        <v>-1.8686204444823761E-3</v>
      </c>
    </row>
    <row r="1185" spans="1:18" x14ac:dyDescent="0.3">
      <c r="A1185" s="1">
        <v>45939</v>
      </c>
      <c r="B1185">
        <v>395.9</v>
      </c>
      <c r="C1185">
        <f t="shared" si="73"/>
        <v>-2.4276032039433206E-2</v>
      </c>
      <c r="D1185" s="2">
        <f t="shared" si="74"/>
        <v>-2.4276032039433206E-2</v>
      </c>
      <c r="O1185" s="1">
        <v>45939</v>
      </c>
      <c r="P1185">
        <v>82172.100000000006</v>
      </c>
      <c r="Q1185">
        <f t="shared" si="75"/>
        <v>4.8724736058041469E-3</v>
      </c>
      <c r="R1185" s="2">
        <f t="shared" si="76"/>
        <v>4.8724736058041469E-3</v>
      </c>
    </row>
    <row r="1186" spans="1:18" x14ac:dyDescent="0.3">
      <c r="A1186" s="1">
        <v>45940</v>
      </c>
      <c r="B1186">
        <v>398.45</v>
      </c>
      <c r="C1186">
        <f t="shared" si="73"/>
        <v>6.4410204597120779E-3</v>
      </c>
      <c r="D1186" s="2">
        <f t="shared" si="74"/>
        <v>6.4410204597120779E-3</v>
      </c>
      <c r="O1186" s="1">
        <v>45940</v>
      </c>
      <c r="P1186">
        <v>82500.820000000007</v>
      </c>
      <c r="Q1186">
        <f t="shared" si="75"/>
        <v>4.0003845587492735E-3</v>
      </c>
      <c r="R1186" s="2">
        <f t="shared" si="76"/>
        <v>4.0003845587492735E-3</v>
      </c>
    </row>
    <row r="1187" spans="1:18" x14ac:dyDescent="0.3">
      <c r="A1187" s="1">
        <v>45943</v>
      </c>
      <c r="B1187">
        <v>391.25</v>
      </c>
      <c r="C1187">
        <f t="shared" si="73"/>
        <v>-1.8070021332664044E-2</v>
      </c>
      <c r="D1187" s="2">
        <f t="shared" si="74"/>
        <v>-1.8070021332664044E-2</v>
      </c>
      <c r="O1187" s="1">
        <v>45943</v>
      </c>
      <c r="P1187">
        <v>82327.05</v>
      </c>
      <c r="Q1187">
        <f t="shared" si="75"/>
        <v>-2.1062820951355883E-3</v>
      </c>
      <c r="R1187" s="2">
        <f t="shared" si="76"/>
        <v>-2.1062820951355883E-3</v>
      </c>
    </row>
    <row r="1188" spans="1:18" x14ac:dyDescent="0.3">
      <c r="A1188" s="1">
        <v>45944</v>
      </c>
      <c r="B1188">
        <v>399.5</v>
      </c>
      <c r="C1188">
        <f t="shared" si="73"/>
        <v>2.1086261980830672E-2</v>
      </c>
      <c r="D1188" s="2">
        <f t="shared" si="74"/>
        <v>2.1086261980830672E-2</v>
      </c>
      <c r="O1188" s="1">
        <v>45944</v>
      </c>
      <c r="P1188">
        <v>82029.98</v>
      </c>
      <c r="Q1188">
        <f t="shared" si="75"/>
        <v>-3.6084130307111328E-3</v>
      </c>
      <c r="R1188" s="2">
        <f t="shared" si="76"/>
        <v>-3.6084130307111328E-3</v>
      </c>
    </row>
    <row r="1189" spans="1:18" x14ac:dyDescent="0.3">
      <c r="A1189" s="1">
        <v>45945</v>
      </c>
      <c r="B1189">
        <v>398.05</v>
      </c>
      <c r="C1189">
        <f t="shared" si="73"/>
        <v>-3.6295369211514108E-3</v>
      </c>
      <c r="D1189" s="2">
        <f t="shared" si="74"/>
        <v>-3.6295369211514108E-3</v>
      </c>
      <c r="O1189" s="1">
        <v>45945</v>
      </c>
      <c r="P1189">
        <v>82605.429999999993</v>
      </c>
      <c r="Q1189">
        <f t="shared" si="75"/>
        <v>7.0151181312002892E-3</v>
      </c>
      <c r="R1189" s="2">
        <f t="shared" si="76"/>
        <v>7.0151181312002892E-3</v>
      </c>
    </row>
    <row r="1190" spans="1:18" x14ac:dyDescent="0.3">
      <c r="A1190" s="1">
        <v>45946</v>
      </c>
      <c r="B1190">
        <v>404.4</v>
      </c>
      <c r="C1190">
        <f t="shared" si="73"/>
        <v>1.5952769752543564E-2</v>
      </c>
      <c r="D1190" s="2">
        <f t="shared" si="74"/>
        <v>1.5952769752543564E-2</v>
      </c>
      <c r="O1190" s="1">
        <v>45946</v>
      </c>
      <c r="P1190">
        <v>83467.66</v>
      </c>
      <c r="Q1190">
        <f t="shared" si="75"/>
        <v>1.043793368063105E-2</v>
      </c>
      <c r="R1190" s="2">
        <f t="shared" si="76"/>
        <v>1.043793368063105E-2</v>
      </c>
    </row>
    <row r="1191" spans="1:18" x14ac:dyDescent="0.3">
      <c r="A1191" s="1">
        <v>45947</v>
      </c>
      <c r="B1191">
        <v>394.6</v>
      </c>
      <c r="C1191">
        <f t="shared" si="73"/>
        <v>-2.423343224530157E-2</v>
      </c>
      <c r="D1191" s="2">
        <f t="shared" si="74"/>
        <v>-2.423343224530157E-2</v>
      </c>
      <c r="O1191" s="1">
        <v>45947</v>
      </c>
      <c r="P1191">
        <v>83952.19</v>
      </c>
      <c r="Q1191">
        <f t="shared" si="75"/>
        <v>5.8050027998867923E-3</v>
      </c>
      <c r="R1191" s="2">
        <f t="shared" si="76"/>
        <v>5.8050027998867923E-3</v>
      </c>
    </row>
    <row r="1192" spans="1:18" x14ac:dyDescent="0.3">
      <c r="A1192" s="1">
        <v>45950</v>
      </c>
      <c r="B1192">
        <v>399.15</v>
      </c>
      <c r="C1192">
        <f t="shared" si="73"/>
        <v>1.1530663963507234E-2</v>
      </c>
      <c r="D1192" s="2">
        <f t="shared" si="74"/>
        <v>1.1530663963507234E-2</v>
      </c>
      <c r="O1192" s="1">
        <v>45950</v>
      </c>
      <c r="P1192">
        <v>84363.37</v>
      </c>
      <c r="Q1192">
        <f t="shared" si="75"/>
        <v>4.8977876574749632E-3</v>
      </c>
      <c r="R1192" s="2">
        <f t="shared" si="76"/>
        <v>4.8977876574749632E-3</v>
      </c>
    </row>
    <row r="1193" spans="1:18" x14ac:dyDescent="0.3">
      <c r="A1193" s="1">
        <v>45951</v>
      </c>
      <c r="B1193">
        <v>403.5</v>
      </c>
      <c r="C1193">
        <f t="shared" si="73"/>
        <v>1.0898158586997426E-2</v>
      </c>
      <c r="D1193" s="2">
        <f t="shared" si="74"/>
        <v>1.0898158586997426E-2</v>
      </c>
      <c r="O1193" s="1">
        <v>45951</v>
      </c>
      <c r="P1193">
        <v>84426.34</v>
      </c>
      <c r="Q1193">
        <f t="shared" si="75"/>
        <v>7.4641399460454426E-4</v>
      </c>
      <c r="R1193" s="2">
        <f t="shared" si="76"/>
        <v>7.4641399460454426E-4</v>
      </c>
    </row>
    <row r="1194" spans="1:18" x14ac:dyDescent="0.3">
      <c r="A1194" s="1">
        <v>45953</v>
      </c>
      <c r="B1194">
        <v>423.05</v>
      </c>
      <c r="C1194">
        <f t="shared" si="73"/>
        <v>4.8451053283767066E-2</v>
      </c>
      <c r="D1194" s="2">
        <f t="shared" si="74"/>
        <v>4.8451053283767066E-2</v>
      </c>
      <c r="O1194" s="1">
        <v>45953</v>
      </c>
      <c r="P1194">
        <v>84556.4</v>
      </c>
      <c r="Q1194">
        <f t="shared" si="75"/>
        <v>1.5405144887246998E-3</v>
      </c>
      <c r="R1194" s="2">
        <f t="shared" si="76"/>
        <v>1.5405144887246998E-3</v>
      </c>
    </row>
    <row r="1195" spans="1:18" x14ac:dyDescent="0.3">
      <c r="A1195" s="1">
        <v>45954</v>
      </c>
      <c r="B1195">
        <v>452.3</v>
      </c>
      <c r="C1195">
        <f t="shared" si="73"/>
        <v>6.9140763503132016E-2</v>
      </c>
      <c r="D1195" s="2">
        <f t="shared" si="74"/>
        <v>6.9140763503132016E-2</v>
      </c>
      <c r="O1195" s="1">
        <v>45954</v>
      </c>
      <c r="P1195">
        <v>84211.88</v>
      </c>
      <c r="Q1195">
        <f t="shared" si="75"/>
        <v>-4.074440255261453E-3</v>
      </c>
      <c r="R1195" s="2">
        <f t="shared" si="76"/>
        <v>-4.074440255261453E-3</v>
      </c>
    </row>
    <row r="1196" spans="1:18" x14ac:dyDescent="0.3">
      <c r="A1196" s="1">
        <v>45957</v>
      </c>
      <c r="B1196">
        <v>450.5</v>
      </c>
      <c r="C1196">
        <f t="shared" si="73"/>
        <v>-3.9796595180190391E-3</v>
      </c>
      <c r="D1196" s="2">
        <f t="shared" si="74"/>
        <v>-3.9796595180190391E-3</v>
      </c>
      <c r="O1196" s="1">
        <v>45957</v>
      </c>
      <c r="P1196">
        <v>84778.84</v>
      </c>
      <c r="Q1196">
        <f t="shared" si="75"/>
        <v>6.7325417743908794E-3</v>
      </c>
      <c r="R1196" s="2">
        <f t="shared" si="76"/>
        <v>6.7325417743908794E-3</v>
      </c>
    </row>
    <row r="1197" spans="1:18" x14ac:dyDescent="0.3">
      <c r="A1197" s="1">
        <v>45958</v>
      </c>
      <c r="B1197">
        <v>413.85</v>
      </c>
      <c r="C1197">
        <f t="shared" si="73"/>
        <v>-8.1354051054383966E-2</v>
      </c>
      <c r="D1197" s="2">
        <f t="shared" si="74"/>
        <v>-8.1354051054383966E-2</v>
      </c>
      <c r="O1197" s="1">
        <v>45958</v>
      </c>
      <c r="P1197">
        <v>84628.160000000003</v>
      </c>
      <c r="Q1197">
        <f t="shared" si="75"/>
        <v>-1.7773302866610705E-3</v>
      </c>
      <c r="R1197" s="2">
        <f t="shared" si="76"/>
        <v>-1.7773302866610705E-3</v>
      </c>
    </row>
    <row r="1198" spans="1:18" x14ac:dyDescent="0.3">
      <c r="A1198" s="1">
        <v>45959</v>
      </c>
      <c r="B1198">
        <v>414.65</v>
      </c>
      <c r="C1198">
        <f t="shared" si="73"/>
        <v>1.933067536546948E-3</v>
      </c>
      <c r="D1198" s="2">
        <f t="shared" si="74"/>
        <v>1.933067536546948E-3</v>
      </c>
      <c r="O1198" s="1">
        <v>45959</v>
      </c>
      <c r="P1198">
        <v>84997.13</v>
      </c>
      <c r="Q1198">
        <f t="shared" si="75"/>
        <v>4.3598962803870619E-3</v>
      </c>
      <c r="R1198" s="2">
        <f t="shared" si="76"/>
        <v>4.3598962803870619E-3</v>
      </c>
    </row>
    <row r="1199" spans="1:18" x14ac:dyDescent="0.3">
      <c r="A1199" s="1">
        <v>45960</v>
      </c>
      <c r="B1199">
        <v>406.35</v>
      </c>
      <c r="C1199">
        <f t="shared" si="73"/>
        <v>-2.0016881707464018E-2</v>
      </c>
      <c r="D1199" s="2">
        <f t="shared" si="74"/>
        <v>-2.0016881707464018E-2</v>
      </c>
      <c r="O1199" s="1">
        <v>45960</v>
      </c>
      <c r="P1199">
        <v>84404.46</v>
      </c>
      <c r="Q1199">
        <f t="shared" si="75"/>
        <v>-6.9728236706345049E-3</v>
      </c>
      <c r="R1199" s="2">
        <f t="shared" si="76"/>
        <v>-6.9728236706345049E-3</v>
      </c>
    </row>
    <row r="1200" spans="1:18" x14ac:dyDescent="0.3">
      <c r="A1200" s="1">
        <v>45961</v>
      </c>
      <c r="B1200">
        <v>402</v>
      </c>
      <c r="C1200">
        <f t="shared" si="73"/>
        <v>-1.0705057216685179E-2</v>
      </c>
      <c r="D1200" s="2">
        <f t="shared" si="74"/>
        <v>-1.0705057216685179E-2</v>
      </c>
      <c r="O1200" s="1">
        <v>45961</v>
      </c>
      <c r="P1200">
        <v>83938.71</v>
      </c>
      <c r="Q1200">
        <f t="shared" si="75"/>
        <v>-5.5180733340394568E-3</v>
      </c>
      <c r="R1200" s="2">
        <f t="shared" si="76"/>
        <v>-5.5180733340394568E-3</v>
      </c>
    </row>
    <row r="1201" spans="1:18" x14ac:dyDescent="0.3">
      <c r="A1201" s="1">
        <v>45964</v>
      </c>
      <c r="B1201">
        <v>402.1</v>
      </c>
      <c r="C1201">
        <f t="shared" si="73"/>
        <v>2.4875621890552922E-4</v>
      </c>
      <c r="D1201" s="2">
        <f t="shared" si="74"/>
        <v>2.4875621890552922E-4</v>
      </c>
      <c r="O1201" s="1">
        <v>45964</v>
      </c>
      <c r="P1201">
        <v>83978.49</v>
      </c>
      <c r="Q1201">
        <f t="shared" si="75"/>
        <v>4.7391721888505117E-4</v>
      </c>
      <c r="R1201" s="2">
        <f t="shared" si="76"/>
        <v>4.7391721888505117E-4</v>
      </c>
    </row>
    <row r="1202" spans="1:18" x14ac:dyDescent="0.3">
      <c r="A1202" s="1">
        <v>45965</v>
      </c>
      <c r="B1202">
        <v>397.45</v>
      </c>
      <c r="C1202">
        <f t="shared" si="73"/>
        <v>-1.1564287490674046E-2</v>
      </c>
      <c r="D1202" s="2">
        <f t="shared" si="74"/>
        <v>-1.1564287490674046E-2</v>
      </c>
      <c r="O1202" s="1">
        <v>45965</v>
      </c>
      <c r="P1202">
        <v>83459.149999999994</v>
      </c>
      <c r="Q1202">
        <f t="shared" si="75"/>
        <v>-6.184202645225117E-3</v>
      </c>
      <c r="R1202" s="2">
        <f t="shared" si="76"/>
        <v>-6.184202645225117E-3</v>
      </c>
    </row>
    <row r="1203" spans="1:18" x14ac:dyDescent="0.3">
      <c r="A1203" s="1">
        <v>45967</v>
      </c>
      <c r="B1203">
        <v>376.2</v>
      </c>
      <c r="C1203">
        <f t="shared" si="73"/>
        <v>-5.3465844760347214E-2</v>
      </c>
      <c r="D1203" s="2">
        <f t="shared" si="74"/>
        <v>-5.3465844760347214E-2</v>
      </c>
      <c r="O1203" s="1">
        <v>45967</v>
      </c>
      <c r="P1203">
        <v>83311.009999999995</v>
      </c>
      <c r="Q1203">
        <f t="shared" si="75"/>
        <v>-1.7750001048417031E-3</v>
      </c>
      <c r="R1203" s="2">
        <f t="shared" si="76"/>
        <v>-1.7750001048417031E-3</v>
      </c>
    </row>
    <row r="1204" spans="1:18" x14ac:dyDescent="0.3">
      <c r="A1204" s="1">
        <v>45968</v>
      </c>
      <c r="B1204">
        <v>366.25</v>
      </c>
      <c r="C1204">
        <f t="shared" si="73"/>
        <v>-2.6448697501329051E-2</v>
      </c>
      <c r="D1204" s="2">
        <f t="shared" si="74"/>
        <v>-2.6448697501329051E-2</v>
      </c>
      <c r="O1204" s="1">
        <v>45968</v>
      </c>
      <c r="P1204">
        <v>83216.28</v>
      </c>
      <c r="Q1204">
        <f t="shared" si="75"/>
        <v>-1.1370645968641591E-3</v>
      </c>
      <c r="R1204" s="2">
        <f t="shared" si="76"/>
        <v>-1.1370645968641591E-3</v>
      </c>
    </row>
    <row r="1205" spans="1:18" x14ac:dyDescent="0.3">
      <c r="A1205" s="1">
        <v>45971</v>
      </c>
      <c r="B1205">
        <v>380.35</v>
      </c>
      <c r="C1205">
        <f t="shared" si="73"/>
        <v>3.8498293515358425E-2</v>
      </c>
      <c r="D1205" s="2">
        <f t="shared" si="74"/>
        <v>3.8498293515358425E-2</v>
      </c>
      <c r="O1205" s="1">
        <v>45971</v>
      </c>
      <c r="P1205">
        <v>83535.350000000006</v>
      </c>
      <c r="Q1205">
        <f t="shared" si="75"/>
        <v>3.834225706796879E-3</v>
      </c>
      <c r="R1205" s="2">
        <f t="shared" si="76"/>
        <v>3.834225706796879E-3</v>
      </c>
    </row>
    <row r="1206" spans="1:18" x14ac:dyDescent="0.3">
      <c r="A1206" s="1">
        <v>45972</v>
      </c>
      <c r="B1206">
        <v>379.85</v>
      </c>
      <c r="C1206">
        <f t="shared" si="73"/>
        <v>-1.3145786775338503E-3</v>
      </c>
      <c r="D1206" s="2">
        <f t="shared" si="74"/>
        <v>-1.3145786775338503E-3</v>
      </c>
      <c r="O1206" s="1">
        <v>45972</v>
      </c>
      <c r="P1206">
        <v>83871.320000000007</v>
      </c>
      <c r="Q1206">
        <f t="shared" si="75"/>
        <v>4.0218901339373232E-3</v>
      </c>
      <c r="R1206" s="2">
        <f t="shared" si="76"/>
        <v>4.0218901339373232E-3</v>
      </c>
    </row>
    <row r="1207" spans="1:18" x14ac:dyDescent="0.3">
      <c r="A1207" s="1">
        <v>45973</v>
      </c>
      <c r="B1207">
        <v>382.25</v>
      </c>
      <c r="C1207">
        <f t="shared" si="73"/>
        <v>6.3182835329734822E-3</v>
      </c>
      <c r="D1207" s="2">
        <f t="shared" si="74"/>
        <v>6.3182835329734822E-3</v>
      </c>
      <c r="O1207" s="1">
        <v>45973</v>
      </c>
      <c r="P1207">
        <v>84466.51</v>
      </c>
      <c r="Q1207">
        <f t="shared" si="75"/>
        <v>7.0964663486873429E-3</v>
      </c>
      <c r="R1207" s="2">
        <f t="shared" si="76"/>
        <v>7.0964663486873429E-3</v>
      </c>
    </row>
    <row r="1208" spans="1:18" x14ac:dyDescent="0.3">
      <c r="A1208" s="1">
        <v>45974</v>
      </c>
      <c r="B1208">
        <v>370.3</v>
      </c>
      <c r="C1208">
        <f t="shared" si="73"/>
        <v>-3.1262262916939149E-2</v>
      </c>
      <c r="D1208" s="2">
        <f t="shared" si="74"/>
        <v>-3.1262262916939149E-2</v>
      </c>
      <c r="O1208" s="1">
        <v>45974</v>
      </c>
      <c r="P1208">
        <v>84478.67</v>
      </c>
      <c r="Q1208">
        <f t="shared" si="75"/>
        <v>1.4396238225071088E-4</v>
      </c>
      <c r="R1208" s="2">
        <f t="shared" si="76"/>
        <v>1.4396238225071088E-4</v>
      </c>
    </row>
    <row r="1209" spans="1:18" x14ac:dyDescent="0.3">
      <c r="A1209" s="1">
        <v>45975</v>
      </c>
      <c r="B1209">
        <v>365.25</v>
      </c>
      <c r="C1209">
        <f t="shared" si="73"/>
        <v>-1.3637591142317071E-2</v>
      </c>
      <c r="D1209" s="2">
        <f t="shared" si="74"/>
        <v>-1.3637591142317071E-2</v>
      </c>
      <c r="O1209" s="1">
        <v>45975</v>
      </c>
      <c r="P1209">
        <v>84562.78</v>
      </c>
      <c r="Q1209">
        <f t="shared" si="75"/>
        <v>9.9563593981771468E-4</v>
      </c>
      <c r="R1209" s="2">
        <f t="shared" si="76"/>
        <v>9.9563593981771468E-4</v>
      </c>
    </row>
    <row r="1210" spans="1:18" x14ac:dyDescent="0.3">
      <c r="A1210" s="1">
        <v>45978</v>
      </c>
      <c r="B1210">
        <v>372.5</v>
      </c>
      <c r="C1210">
        <f t="shared" si="73"/>
        <v>1.9849418206707735E-2</v>
      </c>
      <c r="D1210" s="2">
        <f t="shared" si="74"/>
        <v>1.9849418206707735E-2</v>
      </c>
      <c r="O1210" s="1">
        <v>45978</v>
      </c>
      <c r="P1210">
        <v>84950.95</v>
      </c>
      <c r="Q1210">
        <f t="shared" si="75"/>
        <v>4.5903173949579032E-3</v>
      </c>
      <c r="R1210" s="2">
        <f t="shared" si="76"/>
        <v>4.5903173949579032E-3</v>
      </c>
    </row>
    <row r="1211" spans="1:18" x14ac:dyDescent="0.3">
      <c r="A1211" s="1">
        <v>45979</v>
      </c>
      <c r="B1211">
        <v>363.75</v>
      </c>
      <c r="C1211">
        <f t="shared" si="73"/>
        <v>-2.3489932885906041E-2</v>
      </c>
      <c r="D1211" s="2">
        <f t="shared" si="74"/>
        <v>-2.3489932885906041E-2</v>
      </c>
      <c r="O1211" s="1">
        <v>45979</v>
      </c>
      <c r="P1211">
        <v>84673.02</v>
      </c>
      <c r="Q1211">
        <f t="shared" si="75"/>
        <v>-3.2716526419068067E-3</v>
      </c>
      <c r="R1211" s="2">
        <f t="shared" si="76"/>
        <v>-3.2716526419068067E-3</v>
      </c>
    </row>
    <row r="1212" spans="1:18" x14ac:dyDescent="0.3">
      <c r="A1212" s="1">
        <v>45980</v>
      </c>
      <c r="B1212">
        <v>362.25</v>
      </c>
      <c r="C1212">
        <f t="shared" si="73"/>
        <v>-4.1237113402061857E-3</v>
      </c>
      <c r="D1212" s="2">
        <f t="shared" si="74"/>
        <v>-4.1237113402061857E-3</v>
      </c>
      <c r="O1212" s="1">
        <v>45980</v>
      </c>
      <c r="P1212">
        <v>85186.47</v>
      </c>
      <c r="Q1212">
        <f t="shared" si="75"/>
        <v>6.0639150463748315E-3</v>
      </c>
      <c r="R1212" s="2">
        <f t="shared" si="76"/>
        <v>6.0639150463748315E-3</v>
      </c>
    </row>
    <row r="1213" spans="1:18" x14ac:dyDescent="0.3">
      <c r="A1213" s="1">
        <v>45981</v>
      </c>
      <c r="B1213">
        <v>367.25</v>
      </c>
      <c r="C1213">
        <f t="shared" si="73"/>
        <v>1.3802622498274672E-2</v>
      </c>
      <c r="D1213" s="2">
        <f t="shared" si="74"/>
        <v>1.3802622498274672E-2</v>
      </c>
      <c r="O1213" s="1">
        <v>45981</v>
      </c>
      <c r="P1213">
        <v>85632.68</v>
      </c>
      <c r="Q1213">
        <f t="shared" si="75"/>
        <v>5.2380383880209127E-3</v>
      </c>
      <c r="R1213" s="2">
        <f t="shared" si="76"/>
        <v>5.2380383880209127E-3</v>
      </c>
    </row>
    <row r="1214" spans="1:18" x14ac:dyDescent="0.3">
      <c r="A1214" s="1">
        <v>45982</v>
      </c>
      <c r="B1214">
        <v>359.5</v>
      </c>
      <c r="C1214">
        <f t="shared" si="73"/>
        <v>-2.1102791014295439E-2</v>
      </c>
      <c r="D1214" s="2">
        <f t="shared" si="74"/>
        <v>-2.1102791014295439E-2</v>
      </c>
      <c r="O1214" s="1">
        <v>45982</v>
      </c>
      <c r="P1214">
        <v>85231.92</v>
      </c>
      <c r="Q1214">
        <f t="shared" si="75"/>
        <v>-4.6799889948556418E-3</v>
      </c>
      <c r="R1214" s="2">
        <f t="shared" si="76"/>
        <v>-4.6799889948556418E-3</v>
      </c>
    </row>
    <row r="1215" spans="1:18" x14ac:dyDescent="0.3">
      <c r="A1215" s="1">
        <v>45985</v>
      </c>
      <c r="B1215">
        <v>345.55</v>
      </c>
      <c r="C1215">
        <f t="shared" si="73"/>
        <v>-3.8803894297635574E-2</v>
      </c>
      <c r="D1215" s="2">
        <f t="shared" si="74"/>
        <v>-3.8803894297635574E-2</v>
      </c>
      <c r="O1215" s="1">
        <v>45985</v>
      </c>
      <c r="P1215">
        <v>84900.71</v>
      </c>
      <c r="Q1215">
        <f t="shared" si="75"/>
        <v>-3.885985438319257E-3</v>
      </c>
      <c r="R1215" s="2">
        <f t="shared" si="76"/>
        <v>-3.885985438319257E-3</v>
      </c>
    </row>
    <row r="1216" spans="1:18" x14ac:dyDescent="0.3">
      <c r="A1216" s="1">
        <v>45986</v>
      </c>
      <c r="B1216">
        <v>352.05</v>
      </c>
      <c r="C1216">
        <f t="shared" si="73"/>
        <v>1.881059181015772E-2</v>
      </c>
      <c r="D1216" s="2">
        <f t="shared" si="74"/>
        <v>1.881059181015772E-2</v>
      </c>
      <c r="O1216" s="1">
        <v>45986</v>
      </c>
      <c r="P1216">
        <v>84587.01</v>
      </c>
      <c r="Q1216">
        <f t="shared" si="75"/>
        <v>-3.6949043182325759E-3</v>
      </c>
      <c r="R1216" s="2">
        <f t="shared" si="76"/>
        <v>-3.6949043182325759E-3</v>
      </c>
    </row>
    <row r="1217" spans="1:18" x14ac:dyDescent="0.3">
      <c r="A1217" s="1">
        <v>45987</v>
      </c>
      <c r="B1217">
        <v>339.15</v>
      </c>
      <c r="C1217">
        <f t="shared" si="73"/>
        <v>-3.6642522368981773E-2</v>
      </c>
      <c r="D1217" s="2">
        <f t="shared" si="74"/>
        <v>-3.6642522368981773E-2</v>
      </c>
      <c r="O1217" s="1">
        <v>45987</v>
      </c>
      <c r="P1217">
        <v>85609.51</v>
      </c>
      <c r="Q1217">
        <f t="shared" si="75"/>
        <v>1.2088144503511828E-2</v>
      </c>
      <c r="R1217" s="2">
        <f t="shared" si="76"/>
        <v>1.2088144503511828E-2</v>
      </c>
    </row>
    <row r="1218" spans="1:18" x14ac:dyDescent="0.3">
      <c r="A1218" s="1">
        <v>45988</v>
      </c>
      <c r="B1218">
        <v>334.65</v>
      </c>
      <c r="C1218">
        <f t="shared" si="73"/>
        <v>-1.3268465280849183E-2</v>
      </c>
      <c r="D1218" s="2">
        <f t="shared" si="74"/>
        <v>-1.3268465280849183E-2</v>
      </c>
      <c r="O1218" s="1">
        <v>45988</v>
      </c>
      <c r="P1218">
        <v>85720.38</v>
      </c>
      <c r="Q1218">
        <f t="shared" si="75"/>
        <v>1.2950664009174903E-3</v>
      </c>
      <c r="R1218" s="2">
        <f t="shared" si="76"/>
        <v>1.2950664009174903E-3</v>
      </c>
    </row>
    <row r="1219" spans="1:18" x14ac:dyDescent="0.3">
      <c r="A1219" s="1">
        <v>45989</v>
      </c>
      <c r="B1219">
        <v>330.5</v>
      </c>
      <c r="C1219">
        <f t="shared" si="73"/>
        <v>-1.2401015986851867E-2</v>
      </c>
      <c r="D1219" s="2">
        <f t="shared" si="74"/>
        <v>-1.2401015986851867E-2</v>
      </c>
      <c r="O1219" s="1">
        <v>45989</v>
      </c>
      <c r="P1219">
        <v>85706.67</v>
      </c>
      <c r="Q1219">
        <f t="shared" si="75"/>
        <v>-1.5993862836359804E-4</v>
      </c>
      <c r="R1219" s="2">
        <f t="shared" si="76"/>
        <v>-1.5993862836359804E-4</v>
      </c>
    </row>
    <row r="1220" spans="1:18" x14ac:dyDescent="0.3">
      <c r="A1220" s="1">
        <v>45992</v>
      </c>
      <c r="B1220">
        <v>340.8</v>
      </c>
      <c r="C1220">
        <f t="shared" ref="C1220:C1241" si="77">(B1220-B1219)/B1219</f>
        <v>3.1164901664145268E-2</v>
      </c>
      <c r="D1220" s="2">
        <f t="shared" ref="D1220:D1241" si="78">(B1220-B1219)/B1219</f>
        <v>3.1164901664145268E-2</v>
      </c>
      <c r="O1220" s="1">
        <v>45992</v>
      </c>
      <c r="P1220">
        <v>85641.9</v>
      </c>
      <c r="Q1220">
        <f t="shared" ref="Q1220:Q1241" si="79">(P1220-P1219)/P1219</f>
        <v>-7.557171454684224E-4</v>
      </c>
      <c r="R1220" s="2">
        <f t="shared" ref="R1220:R1241" si="80">(P1220-P1219)/P1219</f>
        <v>-7.557171454684224E-4</v>
      </c>
    </row>
    <row r="1221" spans="1:18" x14ac:dyDescent="0.3">
      <c r="A1221" s="1">
        <v>45993</v>
      </c>
      <c r="B1221">
        <v>337.8</v>
      </c>
      <c r="C1221">
        <f t="shared" si="77"/>
        <v>-8.8028169014084511E-3</v>
      </c>
      <c r="D1221" s="2">
        <f t="shared" si="78"/>
        <v>-8.8028169014084511E-3</v>
      </c>
      <c r="O1221" s="1">
        <v>45993</v>
      </c>
      <c r="P1221">
        <v>85138.27</v>
      </c>
      <c r="Q1221">
        <f t="shared" si="79"/>
        <v>-5.880649541871329E-3</v>
      </c>
      <c r="R1221" s="2">
        <f t="shared" si="80"/>
        <v>-5.880649541871329E-3</v>
      </c>
    </row>
    <row r="1222" spans="1:18" x14ac:dyDescent="0.3">
      <c r="A1222" s="1">
        <v>45994</v>
      </c>
      <c r="B1222">
        <v>330.3</v>
      </c>
      <c r="C1222">
        <f t="shared" si="77"/>
        <v>-2.2202486678507993E-2</v>
      </c>
      <c r="D1222" s="2">
        <f t="shared" si="78"/>
        <v>-2.2202486678507993E-2</v>
      </c>
      <c r="O1222" s="1">
        <v>45994</v>
      </c>
      <c r="P1222">
        <v>85106.81</v>
      </c>
      <c r="Q1222">
        <f t="shared" si="79"/>
        <v>-3.6951655230962996E-4</v>
      </c>
      <c r="R1222" s="2">
        <f t="shared" si="80"/>
        <v>-3.6951655230962996E-4</v>
      </c>
    </row>
    <row r="1223" spans="1:18" x14ac:dyDescent="0.3">
      <c r="A1223" s="1">
        <v>45995</v>
      </c>
      <c r="B1223">
        <v>334.05</v>
      </c>
      <c r="C1223">
        <f t="shared" si="77"/>
        <v>1.1353315168029064E-2</v>
      </c>
      <c r="D1223" s="2">
        <f t="shared" si="78"/>
        <v>1.1353315168029064E-2</v>
      </c>
      <c r="O1223" s="1">
        <v>45995</v>
      </c>
      <c r="P1223">
        <v>85265.32</v>
      </c>
      <c r="Q1223">
        <f t="shared" si="79"/>
        <v>1.8624831549908794E-3</v>
      </c>
      <c r="R1223" s="2">
        <f t="shared" si="80"/>
        <v>1.8624831549908794E-3</v>
      </c>
    </row>
    <row r="1224" spans="1:18" x14ac:dyDescent="0.3">
      <c r="A1224" s="1">
        <v>45996</v>
      </c>
      <c r="B1224">
        <v>333.75</v>
      </c>
      <c r="C1224">
        <f t="shared" si="77"/>
        <v>-8.98069151324686E-4</v>
      </c>
      <c r="D1224" s="2">
        <f t="shared" si="78"/>
        <v>-8.98069151324686E-4</v>
      </c>
      <c r="O1224" s="1">
        <v>45996</v>
      </c>
      <c r="P1224">
        <v>85712.37</v>
      </c>
      <c r="Q1224">
        <f t="shared" si="79"/>
        <v>5.2430460590541187E-3</v>
      </c>
      <c r="R1224" s="2">
        <f t="shared" si="80"/>
        <v>5.2430460590541187E-3</v>
      </c>
    </row>
    <row r="1225" spans="1:18" x14ac:dyDescent="0.3">
      <c r="A1225" s="1">
        <v>45999</v>
      </c>
      <c r="B1225">
        <v>322.89999999999998</v>
      </c>
      <c r="C1225">
        <f t="shared" si="77"/>
        <v>-3.2509363295880216E-2</v>
      </c>
      <c r="D1225" s="2">
        <f t="shared" si="78"/>
        <v>-3.2509363295880216E-2</v>
      </c>
      <c r="O1225" s="1">
        <v>45999</v>
      </c>
      <c r="P1225">
        <v>85102.69</v>
      </c>
      <c r="Q1225">
        <f t="shared" si="79"/>
        <v>-7.113092310946402E-3</v>
      </c>
      <c r="R1225" s="2">
        <f t="shared" si="80"/>
        <v>-7.113092310946402E-3</v>
      </c>
    </row>
    <row r="1226" spans="1:18" x14ac:dyDescent="0.3">
      <c r="A1226" s="1">
        <v>46000</v>
      </c>
      <c r="B1226">
        <v>328.4</v>
      </c>
      <c r="C1226">
        <f t="shared" si="77"/>
        <v>1.7033137194177764E-2</v>
      </c>
      <c r="D1226" s="2">
        <f t="shared" si="78"/>
        <v>1.7033137194177764E-2</v>
      </c>
      <c r="O1226" s="1">
        <v>46000</v>
      </c>
      <c r="P1226">
        <v>84666.28</v>
      </c>
      <c r="Q1226">
        <f t="shared" si="79"/>
        <v>-5.1280400184765427E-3</v>
      </c>
      <c r="R1226" s="2">
        <f t="shared" si="80"/>
        <v>-5.1280400184765427E-3</v>
      </c>
    </row>
    <row r="1227" spans="1:18" x14ac:dyDescent="0.3">
      <c r="A1227" s="1">
        <v>46001</v>
      </c>
      <c r="B1227">
        <v>327.8</v>
      </c>
      <c r="C1227">
        <f t="shared" si="77"/>
        <v>-1.8270401948841837E-3</v>
      </c>
      <c r="D1227" s="2">
        <f t="shared" si="78"/>
        <v>-1.8270401948841837E-3</v>
      </c>
      <c r="O1227" s="1">
        <v>46001</v>
      </c>
      <c r="P1227">
        <v>84391.27</v>
      </c>
      <c r="Q1227">
        <f t="shared" si="79"/>
        <v>-3.2481644404359655E-3</v>
      </c>
      <c r="R1227" s="2">
        <f t="shared" si="80"/>
        <v>-3.2481644404359655E-3</v>
      </c>
    </row>
    <row r="1228" spans="1:18" x14ac:dyDescent="0.3">
      <c r="A1228" s="1">
        <v>46002</v>
      </c>
      <c r="B1228">
        <v>328.7</v>
      </c>
      <c r="C1228">
        <f t="shared" si="77"/>
        <v>2.7455765710798575E-3</v>
      </c>
      <c r="D1228" s="2">
        <f t="shared" si="78"/>
        <v>2.7455765710798575E-3</v>
      </c>
      <c r="O1228" s="1">
        <v>46002</v>
      </c>
      <c r="P1228">
        <v>84818.13</v>
      </c>
      <c r="Q1228">
        <f t="shared" si="79"/>
        <v>5.0581061287500537E-3</v>
      </c>
      <c r="R1228" s="2">
        <f t="shared" si="80"/>
        <v>5.0581061287500537E-3</v>
      </c>
    </row>
    <row r="1229" spans="1:18" x14ac:dyDescent="0.3">
      <c r="A1229" s="1">
        <v>46003</v>
      </c>
      <c r="B1229">
        <v>334.3</v>
      </c>
      <c r="C1229">
        <f t="shared" si="77"/>
        <v>1.7036811682385224E-2</v>
      </c>
      <c r="D1229" s="2">
        <f t="shared" si="78"/>
        <v>1.7036811682385224E-2</v>
      </c>
      <c r="O1229" s="1">
        <v>46003</v>
      </c>
      <c r="P1229">
        <v>85267.66</v>
      </c>
      <c r="Q1229">
        <f t="shared" si="79"/>
        <v>5.2999282111029656E-3</v>
      </c>
      <c r="R1229" s="2">
        <f t="shared" si="80"/>
        <v>5.2999282111029656E-3</v>
      </c>
    </row>
    <row r="1230" spans="1:18" x14ac:dyDescent="0.3">
      <c r="A1230" s="1">
        <v>46006</v>
      </c>
      <c r="B1230">
        <v>337.15</v>
      </c>
      <c r="C1230">
        <f t="shared" si="77"/>
        <v>8.5252766975769251E-3</v>
      </c>
      <c r="D1230" s="2">
        <f t="shared" si="78"/>
        <v>8.5252766975769251E-3</v>
      </c>
      <c r="O1230" s="1">
        <v>46006</v>
      </c>
      <c r="P1230">
        <v>85213.36</v>
      </c>
      <c r="Q1230">
        <f t="shared" si="79"/>
        <v>-6.3681822627714788E-4</v>
      </c>
      <c r="R1230" s="2">
        <f t="shared" si="80"/>
        <v>-6.3681822627714788E-4</v>
      </c>
    </row>
    <row r="1231" spans="1:18" x14ac:dyDescent="0.3">
      <c r="A1231" s="1">
        <v>46007</v>
      </c>
      <c r="B1231">
        <v>335.85</v>
      </c>
      <c r="C1231">
        <f t="shared" si="77"/>
        <v>-3.8558505116415677E-3</v>
      </c>
      <c r="D1231" s="2">
        <f t="shared" si="78"/>
        <v>-3.8558505116415677E-3</v>
      </c>
      <c r="O1231" s="1">
        <v>46007</v>
      </c>
      <c r="P1231">
        <v>84679.86</v>
      </c>
      <c r="Q1231">
        <f t="shared" si="79"/>
        <v>-6.2607553557329507E-3</v>
      </c>
      <c r="R1231" s="2">
        <f t="shared" si="80"/>
        <v>-6.2607553557329507E-3</v>
      </c>
    </row>
    <row r="1232" spans="1:18" x14ac:dyDescent="0.3">
      <c r="A1232" s="1">
        <v>46008</v>
      </c>
      <c r="B1232">
        <v>328.15</v>
      </c>
      <c r="C1232">
        <f t="shared" si="77"/>
        <v>-2.292690189072516E-2</v>
      </c>
      <c r="D1232" s="2">
        <f t="shared" si="78"/>
        <v>-2.292690189072516E-2</v>
      </c>
      <c r="O1232" s="1">
        <v>46008</v>
      </c>
      <c r="P1232">
        <v>84559.65</v>
      </c>
      <c r="Q1232">
        <f t="shared" si="79"/>
        <v>-1.4195819407354523E-3</v>
      </c>
      <c r="R1232" s="2">
        <f t="shared" si="80"/>
        <v>-1.4195819407354523E-3</v>
      </c>
    </row>
    <row r="1233" spans="1:18" x14ac:dyDescent="0.3">
      <c r="A1233" s="1">
        <v>46009</v>
      </c>
      <c r="B1233">
        <v>332.7</v>
      </c>
      <c r="C1233">
        <f t="shared" si="77"/>
        <v>1.3865610239219905E-2</v>
      </c>
      <c r="D1233" s="2">
        <f t="shared" si="78"/>
        <v>1.3865610239219905E-2</v>
      </c>
      <c r="O1233" s="1">
        <v>46009</v>
      </c>
      <c r="P1233">
        <v>84481.81</v>
      </c>
      <c r="Q1233">
        <f t="shared" si="79"/>
        <v>-9.2053361148013873E-4</v>
      </c>
      <c r="R1233" s="2">
        <f t="shared" si="80"/>
        <v>-9.2053361148013873E-4</v>
      </c>
    </row>
    <row r="1234" spans="1:18" x14ac:dyDescent="0.3">
      <c r="A1234" s="1">
        <v>46010</v>
      </c>
      <c r="B1234">
        <v>334.05</v>
      </c>
      <c r="C1234">
        <f t="shared" si="77"/>
        <v>4.0577096483318991E-3</v>
      </c>
      <c r="D1234" s="2">
        <f t="shared" si="78"/>
        <v>4.0577096483318991E-3</v>
      </c>
      <c r="O1234" s="1">
        <v>46010</v>
      </c>
      <c r="P1234">
        <v>84929.36</v>
      </c>
      <c r="Q1234">
        <f t="shared" si="79"/>
        <v>5.2975900966137314E-3</v>
      </c>
      <c r="R1234" s="2">
        <f t="shared" si="80"/>
        <v>5.2975900966137314E-3</v>
      </c>
    </row>
    <row r="1235" spans="1:18" x14ac:dyDescent="0.3">
      <c r="A1235" s="1">
        <v>46013</v>
      </c>
      <c r="B1235">
        <v>349.35</v>
      </c>
      <c r="C1235">
        <f t="shared" si="77"/>
        <v>4.5801526717557287E-2</v>
      </c>
      <c r="D1235" s="2">
        <f t="shared" si="78"/>
        <v>4.5801526717557287E-2</v>
      </c>
      <c r="O1235" s="1">
        <v>46013</v>
      </c>
      <c r="P1235">
        <v>85567.48</v>
      </c>
      <c r="Q1235">
        <f t="shared" si="79"/>
        <v>7.5135383099554191E-3</v>
      </c>
      <c r="R1235" s="2">
        <f t="shared" si="80"/>
        <v>7.5135383099554191E-3</v>
      </c>
    </row>
    <row r="1236" spans="1:18" x14ac:dyDescent="0.3">
      <c r="A1236" s="1">
        <v>46014</v>
      </c>
      <c r="B1236">
        <v>352.55</v>
      </c>
      <c r="C1236">
        <f t="shared" si="77"/>
        <v>9.1598683268927679E-3</v>
      </c>
      <c r="D1236" s="2">
        <f t="shared" si="78"/>
        <v>9.1598683268927679E-3</v>
      </c>
      <c r="O1236" s="1">
        <v>46014</v>
      </c>
      <c r="P1236">
        <v>85524.84</v>
      </c>
      <c r="Q1236">
        <f t="shared" si="79"/>
        <v>-4.9832015620887072E-4</v>
      </c>
      <c r="R1236" s="2">
        <f t="shared" si="80"/>
        <v>-4.9832015620887072E-4</v>
      </c>
    </row>
    <row r="1237" spans="1:18" x14ac:dyDescent="0.3">
      <c r="A1237" s="1">
        <v>46015</v>
      </c>
      <c r="B1237">
        <v>343.15</v>
      </c>
      <c r="C1237">
        <f t="shared" si="77"/>
        <v>-2.6662884697206166E-2</v>
      </c>
      <c r="D1237" s="2">
        <f t="shared" si="78"/>
        <v>-2.6662884697206166E-2</v>
      </c>
      <c r="O1237" s="1">
        <v>46015</v>
      </c>
      <c r="P1237">
        <v>85408.7</v>
      </c>
      <c r="Q1237">
        <f t="shared" si="79"/>
        <v>-1.3579680476455661E-3</v>
      </c>
      <c r="R1237" s="2">
        <f t="shared" si="80"/>
        <v>-1.3579680476455661E-3</v>
      </c>
    </row>
    <row r="1238" spans="1:18" x14ac:dyDescent="0.3">
      <c r="A1238" s="1">
        <v>46017</v>
      </c>
      <c r="B1238">
        <v>337.85</v>
      </c>
      <c r="C1238">
        <f t="shared" si="77"/>
        <v>-1.5445140609062961E-2</v>
      </c>
      <c r="D1238" s="2">
        <f t="shared" si="78"/>
        <v>-1.5445140609062961E-2</v>
      </c>
      <c r="O1238" s="1">
        <v>46017</v>
      </c>
      <c r="P1238">
        <v>85041.45</v>
      </c>
      <c r="Q1238">
        <f t="shared" si="79"/>
        <v>-4.2999132406885947E-3</v>
      </c>
      <c r="R1238" s="2">
        <f t="shared" si="80"/>
        <v>-4.2999132406885947E-3</v>
      </c>
    </row>
    <row r="1239" spans="1:18" x14ac:dyDescent="0.3">
      <c r="A1239" s="1">
        <v>46020</v>
      </c>
      <c r="B1239">
        <v>332.05</v>
      </c>
      <c r="C1239">
        <f t="shared" si="77"/>
        <v>-1.7167381974248958E-2</v>
      </c>
      <c r="D1239" s="2">
        <f t="shared" si="78"/>
        <v>-1.7167381974248958E-2</v>
      </c>
      <c r="O1239" s="1">
        <v>46020</v>
      </c>
      <c r="P1239">
        <v>84695.54</v>
      </c>
      <c r="Q1239">
        <f t="shared" si="79"/>
        <v>-4.0675458849773081E-3</v>
      </c>
      <c r="R1239" s="2">
        <f t="shared" si="80"/>
        <v>-4.0675458849773081E-3</v>
      </c>
    </row>
    <row r="1240" spans="1:18" x14ac:dyDescent="0.3">
      <c r="A1240" s="1">
        <v>46021</v>
      </c>
      <c r="B1240">
        <v>334.95</v>
      </c>
      <c r="C1240">
        <f t="shared" si="77"/>
        <v>8.7336244541484035E-3</v>
      </c>
      <c r="D1240" s="2">
        <f t="shared" si="78"/>
        <v>8.7336244541484035E-3</v>
      </c>
      <c r="O1240" s="1">
        <v>46021</v>
      </c>
      <c r="P1240">
        <v>84675.08</v>
      </c>
      <c r="Q1240">
        <f t="shared" si="79"/>
        <v>-2.4157116183439945E-4</v>
      </c>
      <c r="R1240" s="2">
        <f t="shared" si="80"/>
        <v>-2.4157116183439945E-4</v>
      </c>
    </row>
    <row r="1241" spans="1:18" x14ac:dyDescent="0.3">
      <c r="A1241" s="1">
        <v>46022</v>
      </c>
      <c r="B1241">
        <v>334</v>
      </c>
      <c r="C1241">
        <f t="shared" si="77"/>
        <v>-2.8362442155545264E-3</v>
      </c>
      <c r="D1241" s="2">
        <f t="shared" si="78"/>
        <v>-2.8362442155545264E-3</v>
      </c>
      <c r="O1241" s="1">
        <v>46022</v>
      </c>
      <c r="P1241">
        <v>85220.6</v>
      </c>
      <c r="Q1241">
        <f t="shared" si="79"/>
        <v>6.4425094136315439E-3</v>
      </c>
      <c r="R1241" s="2">
        <f t="shared" si="80"/>
        <v>6.4425094136315439E-3</v>
      </c>
    </row>
  </sheetData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FC68F-611B-42A4-A48C-297F70221CFA}">
  <dimension ref="A1:H1241"/>
  <sheetViews>
    <sheetView topLeftCell="B1210" workbookViewId="0">
      <selection activeCell="D1215" sqref="D1215"/>
    </sheetView>
  </sheetViews>
  <sheetFormatPr defaultColWidth="15.77734375" defaultRowHeight="14.4" x14ac:dyDescent="0.3"/>
  <cols>
    <col min="3" max="3" width="20.44140625" customWidth="1"/>
    <col min="4" max="4" width="21.88671875" customWidth="1"/>
    <col min="6" max="6" width="35.5546875" customWidth="1"/>
    <col min="7" max="7" width="21.5546875" customWidth="1"/>
  </cols>
  <sheetData>
    <row r="1" spans="1:8" x14ac:dyDescent="0.3">
      <c r="A1" t="s">
        <v>0</v>
      </c>
      <c r="B1" t="s">
        <v>4</v>
      </c>
      <c r="C1" t="s">
        <v>15</v>
      </c>
      <c r="D1" t="s">
        <v>19</v>
      </c>
    </row>
    <row r="2" spans="1:8" x14ac:dyDescent="0.3">
      <c r="A2" s="1">
        <v>44197</v>
      </c>
      <c r="B2">
        <v>47868.98</v>
      </c>
      <c r="C2" t="s">
        <v>13</v>
      </c>
    </row>
    <row r="3" spans="1:8" x14ac:dyDescent="0.3">
      <c r="A3" s="1">
        <v>44200</v>
      </c>
      <c r="B3">
        <v>48176.800000000003</v>
      </c>
      <c r="C3">
        <f>(B3-B2)/B2</f>
        <v>6.4304691681335109E-3</v>
      </c>
      <c r="D3" s="2">
        <f>(B3-B2)/B2</f>
        <v>6.4304691681335109E-3</v>
      </c>
      <c r="G3" s="3" t="s">
        <v>20</v>
      </c>
      <c r="H3" s="3" t="s">
        <v>21</v>
      </c>
    </row>
    <row r="4" spans="1:8" x14ac:dyDescent="0.3">
      <c r="A4" s="1">
        <v>44201</v>
      </c>
      <c r="B4">
        <v>48437.78</v>
      </c>
      <c r="C4">
        <f t="shared" ref="C4:C67" si="0">(B4-B3)/B3</f>
        <v>5.4171302369604435E-3</v>
      </c>
      <c r="D4" s="2">
        <f t="shared" ref="D4:D67" si="1">(B4-B3)/B3</f>
        <v>5.4171302369604435E-3</v>
      </c>
      <c r="F4" s="3" t="s">
        <v>24</v>
      </c>
      <c r="G4" s="4">
        <f>AVERAGE(C3:C1241)</f>
        <v>5.0461517469639399E-4</v>
      </c>
      <c r="H4" s="2">
        <f>AVERAGE(C3:C1241)</f>
        <v>5.0461517469639399E-4</v>
      </c>
    </row>
    <row r="5" spans="1:8" x14ac:dyDescent="0.3">
      <c r="A5" s="1">
        <v>44202</v>
      </c>
      <c r="B5">
        <v>48174.06</v>
      </c>
      <c r="C5">
        <f t="shared" si="0"/>
        <v>-5.444510462700833E-3</v>
      </c>
      <c r="D5" s="2">
        <f t="shared" si="1"/>
        <v>-5.444510462700833E-3</v>
      </c>
      <c r="F5" s="3" t="s">
        <v>25</v>
      </c>
      <c r="G5">
        <f>_xlfn.STDEV.S(C3:C1241)</f>
        <v>8.8282244368571971E-3</v>
      </c>
      <c r="H5" s="2">
        <f>_xlfn.STDEV.S(C3:C1241)</f>
        <v>8.8282244368571971E-3</v>
      </c>
    </row>
    <row r="6" spans="1:8" x14ac:dyDescent="0.3">
      <c r="A6" s="1">
        <v>44203</v>
      </c>
      <c r="B6">
        <v>48093.32</v>
      </c>
      <c r="C6">
        <f t="shared" si="0"/>
        <v>-1.6760057175998445E-3</v>
      </c>
      <c r="D6" s="2">
        <f t="shared" si="1"/>
        <v>-1.6760057175998445E-3</v>
      </c>
    </row>
    <row r="7" spans="1:8" x14ac:dyDescent="0.3">
      <c r="A7" s="1">
        <v>44204</v>
      </c>
      <c r="B7">
        <v>48782.51</v>
      </c>
      <c r="C7">
        <f t="shared" si="0"/>
        <v>1.4330264577284379E-2</v>
      </c>
      <c r="D7" s="2">
        <f t="shared" si="1"/>
        <v>1.4330264577284379E-2</v>
      </c>
    </row>
    <row r="8" spans="1:8" x14ac:dyDescent="0.3">
      <c r="A8" s="1">
        <v>44207</v>
      </c>
      <c r="B8">
        <v>49269.32</v>
      </c>
      <c r="C8">
        <f t="shared" si="0"/>
        <v>9.9791913126240864E-3</v>
      </c>
      <c r="D8" s="2">
        <f t="shared" si="1"/>
        <v>9.9791913126240864E-3</v>
      </c>
      <c r="F8" s="3" t="s">
        <v>53</v>
      </c>
      <c r="G8" s="3" t="s">
        <v>79</v>
      </c>
      <c r="H8" s="3" t="s">
        <v>81</v>
      </c>
    </row>
    <row r="9" spans="1:8" x14ac:dyDescent="0.3">
      <c r="A9" s="1">
        <v>44208</v>
      </c>
      <c r="B9">
        <v>49517.11</v>
      </c>
      <c r="C9">
        <f t="shared" si="0"/>
        <v>5.0292961218056367E-3</v>
      </c>
      <c r="D9" s="2">
        <f t="shared" si="1"/>
        <v>5.0292961218056367E-3</v>
      </c>
      <c r="F9" s="3" t="s">
        <v>54</v>
      </c>
      <c r="G9">
        <f>AVERAGE(C3:C249)</f>
        <v>8.4485718755751311E-4</v>
      </c>
      <c r="H9">
        <f>(1+G9)^252-1</f>
        <v>0.23715467392650158</v>
      </c>
    </row>
    <row r="10" spans="1:8" x14ac:dyDescent="0.3">
      <c r="A10" s="1">
        <v>44209</v>
      </c>
      <c r="B10">
        <v>49492.32</v>
      </c>
      <c r="C10">
        <f t="shared" si="0"/>
        <v>-5.0063503302193667E-4</v>
      </c>
      <c r="D10" s="2">
        <f t="shared" si="1"/>
        <v>-5.0063503302193667E-4</v>
      </c>
      <c r="F10" s="3" t="s">
        <v>55</v>
      </c>
      <c r="G10">
        <f>AVERAGE(C250:C497)</f>
        <v>2.3578934537817853E-4</v>
      </c>
      <c r="H10">
        <f t="shared" ref="H10:H13" si="2">(1+G10)^252-1</f>
        <v>6.1212275694364271E-2</v>
      </c>
    </row>
    <row r="11" spans="1:8" x14ac:dyDescent="0.3">
      <c r="A11" s="1">
        <v>44210</v>
      </c>
      <c r="B11">
        <v>49584.160000000003</v>
      </c>
      <c r="C11">
        <f t="shared" si="0"/>
        <v>1.8556414409347508E-3</v>
      </c>
      <c r="D11" s="2">
        <f t="shared" si="1"/>
        <v>1.8556414409347508E-3</v>
      </c>
      <c r="F11" s="3" t="s">
        <v>56</v>
      </c>
      <c r="G11">
        <f>AVERAGE(C498:C743)</f>
        <v>7.1776647734053635E-4</v>
      </c>
      <c r="H11">
        <f t="shared" si="2"/>
        <v>0.19819022139689579</v>
      </c>
    </row>
    <row r="12" spans="1:8" x14ac:dyDescent="0.3">
      <c r="A12" s="1">
        <v>44211</v>
      </c>
      <c r="B12">
        <v>49034.67</v>
      </c>
      <c r="C12">
        <f t="shared" si="0"/>
        <v>-1.1081966498978812E-2</v>
      </c>
      <c r="D12" s="2">
        <f t="shared" si="1"/>
        <v>-1.1081966498978812E-2</v>
      </c>
      <c r="F12" s="3" t="s">
        <v>57</v>
      </c>
      <c r="G12">
        <f>AVERAGE(C744:C992)</f>
        <v>3.5357752904206303E-4</v>
      </c>
      <c r="H12">
        <f t="shared" si="2"/>
        <v>9.3174434514059934E-2</v>
      </c>
    </row>
    <row r="13" spans="1:8" x14ac:dyDescent="0.3">
      <c r="A13" s="1">
        <v>44214</v>
      </c>
      <c r="B13">
        <v>48564.27</v>
      </c>
      <c r="C13">
        <f t="shared" si="0"/>
        <v>-9.5932123128390882E-3</v>
      </c>
      <c r="D13" s="2">
        <f t="shared" si="1"/>
        <v>-9.5932123128390882E-3</v>
      </c>
      <c r="F13" s="3" t="s">
        <v>58</v>
      </c>
      <c r="G13">
        <f>AVERAGE(C993:C1241)</f>
        <v>3.7530666791603574E-4</v>
      </c>
      <c r="H13">
        <f t="shared" si="2"/>
        <v>9.9174602756621821E-2</v>
      </c>
    </row>
    <row r="14" spans="1:8" x14ac:dyDescent="0.3">
      <c r="A14" s="1">
        <v>44215</v>
      </c>
      <c r="B14">
        <v>49398.29</v>
      </c>
      <c r="C14">
        <f t="shared" si="0"/>
        <v>1.7173531075418288E-2</v>
      </c>
      <c r="D14" s="2">
        <f t="shared" si="1"/>
        <v>1.7173531075418288E-2</v>
      </c>
    </row>
    <row r="15" spans="1:8" x14ac:dyDescent="0.3">
      <c r="A15" s="1">
        <v>44216</v>
      </c>
      <c r="B15">
        <v>49792.12</v>
      </c>
      <c r="C15">
        <f t="shared" si="0"/>
        <v>7.9725431791262766E-3</v>
      </c>
      <c r="D15" s="2">
        <f t="shared" si="1"/>
        <v>7.9725431791262766E-3</v>
      </c>
    </row>
    <row r="16" spans="1:8" x14ac:dyDescent="0.3">
      <c r="A16" s="1">
        <v>44217</v>
      </c>
      <c r="B16">
        <v>49624.76</v>
      </c>
      <c r="C16">
        <f t="shared" si="0"/>
        <v>-3.3611744187634625E-3</v>
      </c>
      <c r="D16" s="2">
        <f t="shared" si="1"/>
        <v>-3.3611744187634625E-3</v>
      </c>
    </row>
    <row r="17" spans="1:4" x14ac:dyDescent="0.3">
      <c r="A17" s="1">
        <v>44218</v>
      </c>
      <c r="B17">
        <v>48878.54</v>
      </c>
      <c r="C17">
        <f t="shared" si="0"/>
        <v>-1.5037251565549156E-2</v>
      </c>
      <c r="D17" s="2">
        <f t="shared" si="1"/>
        <v>-1.5037251565549156E-2</v>
      </c>
    </row>
    <row r="18" spans="1:4" x14ac:dyDescent="0.3">
      <c r="A18" s="1">
        <v>44221</v>
      </c>
      <c r="B18">
        <v>48347.59</v>
      </c>
      <c r="C18">
        <f t="shared" si="0"/>
        <v>-1.0862640332546847E-2</v>
      </c>
      <c r="D18" s="2">
        <f t="shared" si="1"/>
        <v>-1.0862640332546847E-2</v>
      </c>
    </row>
    <row r="19" spans="1:4" x14ac:dyDescent="0.3">
      <c r="A19" s="1">
        <v>44223</v>
      </c>
      <c r="B19">
        <v>47409.93</v>
      </c>
      <c r="C19">
        <f t="shared" si="0"/>
        <v>-1.9394141465996471E-2</v>
      </c>
      <c r="D19" s="2">
        <f t="shared" si="1"/>
        <v>-1.9394141465996471E-2</v>
      </c>
    </row>
    <row r="20" spans="1:4" x14ac:dyDescent="0.3">
      <c r="A20" s="1">
        <v>44224</v>
      </c>
      <c r="B20">
        <v>46874.36</v>
      </c>
      <c r="C20">
        <f t="shared" si="0"/>
        <v>-1.1296578585962893E-2</v>
      </c>
      <c r="D20" s="2">
        <f t="shared" si="1"/>
        <v>-1.1296578585962893E-2</v>
      </c>
    </row>
    <row r="21" spans="1:4" x14ac:dyDescent="0.3">
      <c r="A21" s="1">
        <v>44225</v>
      </c>
      <c r="B21">
        <v>46285.77</v>
      </c>
      <c r="C21">
        <f t="shared" si="0"/>
        <v>-1.2556758108270786E-2</v>
      </c>
      <c r="D21" s="2">
        <f t="shared" si="1"/>
        <v>-1.2556758108270786E-2</v>
      </c>
    </row>
    <row r="22" spans="1:4" x14ac:dyDescent="0.3">
      <c r="A22" s="1">
        <v>44228</v>
      </c>
      <c r="B22">
        <v>48600.61</v>
      </c>
      <c r="C22">
        <f t="shared" si="0"/>
        <v>5.0011915109114617E-2</v>
      </c>
      <c r="D22" s="2">
        <f t="shared" si="1"/>
        <v>5.0011915109114617E-2</v>
      </c>
    </row>
    <row r="23" spans="1:4" x14ac:dyDescent="0.3">
      <c r="A23" s="1">
        <v>44229</v>
      </c>
      <c r="B23">
        <v>49797.72</v>
      </c>
      <c r="C23">
        <f t="shared" si="0"/>
        <v>2.4631583842260427E-2</v>
      </c>
      <c r="D23" s="2">
        <f t="shared" si="1"/>
        <v>2.4631583842260427E-2</v>
      </c>
    </row>
    <row r="24" spans="1:4" x14ac:dyDescent="0.3">
      <c r="A24" s="1">
        <v>44230</v>
      </c>
      <c r="B24">
        <v>50255.75</v>
      </c>
      <c r="C24">
        <f t="shared" si="0"/>
        <v>9.19781066281747E-3</v>
      </c>
      <c r="D24" s="2">
        <f t="shared" si="1"/>
        <v>9.19781066281747E-3</v>
      </c>
    </row>
    <row r="25" spans="1:4" x14ac:dyDescent="0.3">
      <c r="A25" s="1">
        <v>44231</v>
      </c>
      <c r="B25">
        <v>50614.29</v>
      </c>
      <c r="C25">
        <f t="shared" si="0"/>
        <v>7.13430801450582E-3</v>
      </c>
      <c r="D25" s="2">
        <f t="shared" si="1"/>
        <v>7.13430801450582E-3</v>
      </c>
    </row>
    <row r="26" spans="1:4" x14ac:dyDescent="0.3">
      <c r="A26" s="1">
        <v>44232</v>
      </c>
      <c r="B26">
        <v>50731.63</v>
      </c>
      <c r="C26">
        <f t="shared" si="0"/>
        <v>2.3183176134644289E-3</v>
      </c>
      <c r="D26" s="2">
        <f t="shared" si="1"/>
        <v>2.3183176134644289E-3</v>
      </c>
    </row>
    <row r="27" spans="1:4" x14ac:dyDescent="0.3">
      <c r="A27" s="1">
        <v>44235</v>
      </c>
      <c r="B27">
        <v>51348.77</v>
      </c>
      <c r="C27">
        <f t="shared" si="0"/>
        <v>1.2164797385772927E-2</v>
      </c>
      <c r="D27" s="2">
        <f t="shared" si="1"/>
        <v>1.2164797385772927E-2</v>
      </c>
    </row>
    <row r="28" spans="1:4" x14ac:dyDescent="0.3">
      <c r="A28" s="1">
        <v>44236</v>
      </c>
      <c r="B28">
        <v>51329.08</v>
      </c>
      <c r="C28">
        <f t="shared" si="0"/>
        <v>-3.8345611783875358E-4</v>
      </c>
      <c r="D28" s="2">
        <f t="shared" si="1"/>
        <v>-3.8345611783875358E-4</v>
      </c>
    </row>
    <row r="29" spans="1:4" x14ac:dyDescent="0.3">
      <c r="A29" s="1">
        <v>44237</v>
      </c>
      <c r="B29">
        <v>51309.39</v>
      </c>
      <c r="C29">
        <f t="shared" si="0"/>
        <v>-3.8360321283768047E-4</v>
      </c>
      <c r="D29" s="2">
        <f t="shared" si="1"/>
        <v>-3.8360321283768047E-4</v>
      </c>
    </row>
    <row r="30" spans="1:4" x14ac:dyDescent="0.3">
      <c r="A30" s="1">
        <v>44238</v>
      </c>
      <c r="B30">
        <v>51531.519999999997</v>
      </c>
      <c r="C30">
        <f t="shared" si="0"/>
        <v>4.3292270674041801E-3</v>
      </c>
      <c r="D30" s="2">
        <f t="shared" si="1"/>
        <v>4.3292270674041801E-3</v>
      </c>
    </row>
    <row r="31" spans="1:4" x14ac:dyDescent="0.3">
      <c r="A31" s="1">
        <v>44239</v>
      </c>
      <c r="B31">
        <v>51544.3</v>
      </c>
      <c r="C31">
        <f t="shared" si="0"/>
        <v>2.4800355200091346E-4</v>
      </c>
      <c r="D31" s="2">
        <f t="shared" si="1"/>
        <v>2.4800355200091346E-4</v>
      </c>
    </row>
    <row r="32" spans="1:4" x14ac:dyDescent="0.3">
      <c r="A32" s="1">
        <v>44242</v>
      </c>
      <c r="B32">
        <v>52154.13</v>
      </c>
      <c r="C32">
        <f t="shared" si="0"/>
        <v>1.1831182109369891E-2</v>
      </c>
      <c r="D32" s="2">
        <f t="shared" si="1"/>
        <v>1.1831182109369891E-2</v>
      </c>
    </row>
    <row r="33" spans="1:4" x14ac:dyDescent="0.3">
      <c r="A33" s="1">
        <v>44243</v>
      </c>
      <c r="B33">
        <v>52104.17</v>
      </c>
      <c r="C33">
        <f t="shared" si="0"/>
        <v>-9.579298897325893E-4</v>
      </c>
      <c r="D33" s="2">
        <f t="shared" si="1"/>
        <v>-9.579298897325893E-4</v>
      </c>
    </row>
    <row r="34" spans="1:4" x14ac:dyDescent="0.3">
      <c r="A34" s="1">
        <v>44244</v>
      </c>
      <c r="B34">
        <v>51703.83</v>
      </c>
      <c r="C34">
        <f t="shared" si="0"/>
        <v>-7.6834541266082258E-3</v>
      </c>
      <c r="D34" s="2">
        <f t="shared" si="1"/>
        <v>-7.6834541266082258E-3</v>
      </c>
    </row>
    <row r="35" spans="1:4" x14ac:dyDescent="0.3">
      <c r="A35" s="1">
        <v>44245</v>
      </c>
      <c r="B35">
        <v>51324.69</v>
      </c>
      <c r="C35">
        <f t="shared" si="0"/>
        <v>-7.3329190506776654E-3</v>
      </c>
      <c r="D35" s="2">
        <f t="shared" si="1"/>
        <v>-7.3329190506776654E-3</v>
      </c>
    </row>
    <row r="36" spans="1:4" x14ac:dyDescent="0.3">
      <c r="A36" s="1">
        <v>44246</v>
      </c>
      <c r="B36">
        <v>50889.760000000002</v>
      </c>
      <c r="C36">
        <f t="shared" si="0"/>
        <v>-8.4740891761840211E-3</v>
      </c>
      <c r="D36" s="2">
        <f t="shared" si="1"/>
        <v>-8.4740891761840211E-3</v>
      </c>
    </row>
    <row r="37" spans="1:4" x14ac:dyDescent="0.3">
      <c r="A37" s="1">
        <v>44249</v>
      </c>
      <c r="B37">
        <v>49744.32</v>
      </c>
      <c r="C37">
        <f t="shared" si="0"/>
        <v>-2.2508260993960322E-2</v>
      </c>
      <c r="D37" s="2">
        <f t="shared" si="1"/>
        <v>-2.2508260993960322E-2</v>
      </c>
    </row>
    <row r="38" spans="1:4" x14ac:dyDescent="0.3">
      <c r="A38" s="1">
        <v>44250</v>
      </c>
      <c r="B38">
        <v>49751.41</v>
      </c>
      <c r="C38">
        <f t="shared" si="0"/>
        <v>1.4252883545304838E-4</v>
      </c>
      <c r="D38" s="2">
        <f t="shared" si="1"/>
        <v>1.4252883545304838E-4</v>
      </c>
    </row>
    <row r="39" spans="1:4" x14ac:dyDescent="0.3">
      <c r="A39" s="1">
        <v>44251</v>
      </c>
      <c r="B39">
        <v>50781.69</v>
      </c>
      <c r="C39">
        <f t="shared" si="0"/>
        <v>2.0708558812704982E-2</v>
      </c>
      <c r="D39" s="2">
        <f t="shared" si="1"/>
        <v>2.0708558812704982E-2</v>
      </c>
    </row>
    <row r="40" spans="1:4" x14ac:dyDescent="0.3">
      <c r="A40" s="1">
        <v>44252</v>
      </c>
      <c r="B40">
        <v>51039.31</v>
      </c>
      <c r="C40">
        <f t="shared" si="0"/>
        <v>5.0730883513328395E-3</v>
      </c>
      <c r="D40" s="2">
        <f t="shared" si="1"/>
        <v>5.0730883513328395E-3</v>
      </c>
    </row>
    <row r="41" spans="1:4" x14ac:dyDescent="0.3">
      <c r="A41" s="1">
        <v>44253</v>
      </c>
      <c r="B41">
        <v>49099.99</v>
      </c>
      <c r="C41">
        <f t="shared" si="0"/>
        <v>-3.7996595173406533E-2</v>
      </c>
      <c r="D41" s="2">
        <f t="shared" si="1"/>
        <v>-3.7996595173406533E-2</v>
      </c>
    </row>
    <row r="42" spans="1:4" x14ac:dyDescent="0.3">
      <c r="A42" s="1">
        <v>44256</v>
      </c>
      <c r="B42">
        <v>49849.84</v>
      </c>
      <c r="C42">
        <f t="shared" si="0"/>
        <v>1.5271897204052354E-2</v>
      </c>
      <c r="D42" s="2">
        <f t="shared" si="1"/>
        <v>1.5271897204052354E-2</v>
      </c>
    </row>
    <row r="43" spans="1:4" x14ac:dyDescent="0.3">
      <c r="A43" s="1">
        <v>44257</v>
      </c>
      <c r="B43">
        <v>50296.89</v>
      </c>
      <c r="C43">
        <f t="shared" si="0"/>
        <v>8.9679324948686492E-3</v>
      </c>
      <c r="D43" s="2">
        <f t="shared" si="1"/>
        <v>8.9679324948686492E-3</v>
      </c>
    </row>
    <row r="44" spans="1:4" x14ac:dyDescent="0.3">
      <c r="A44" s="1">
        <v>44258</v>
      </c>
      <c r="B44">
        <v>51444.65</v>
      </c>
      <c r="C44">
        <f t="shared" si="0"/>
        <v>2.2819701178343275E-2</v>
      </c>
      <c r="D44" s="2">
        <f t="shared" si="1"/>
        <v>2.2819701178343275E-2</v>
      </c>
    </row>
    <row r="45" spans="1:4" x14ac:dyDescent="0.3">
      <c r="A45" s="1">
        <v>44259</v>
      </c>
      <c r="B45">
        <v>50846.080000000002</v>
      </c>
      <c r="C45">
        <f t="shared" si="0"/>
        <v>-1.1635223487767915E-2</v>
      </c>
      <c r="D45" s="2">
        <f t="shared" si="1"/>
        <v>-1.1635223487767915E-2</v>
      </c>
    </row>
    <row r="46" spans="1:4" x14ac:dyDescent="0.3">
      <c r="A46" s="1">
        <v>44260</v>
      </c>
      <c r="B46">
        <v>50405.32</v>
      </c>
      <c r="C46">
        <f t="shared" si="0"/>
        <v>-8.6685148589626185E-3</v>
      </c>
      <c r="D46" s="2">
        <f t="shared" si="1"/>
        <v>-8.6685148589626185E-3</v>
      </c>
    </row>
    <row r="47" spans="1:4" x14ac:dyDescent="0.3">
      <c r="A47" s="1">
        <v>44263</v>
      </c>
      <c r="B47">
        <v>50441.07</v>
      </c>
      <c r="C47">
        <f t="shared" si="0"/>
        <v>7.0925053149151717E-4</v>
      </c>
      <c r="D47" s="2">
        <f t="shared" si="1"/>
        <v>7.0925053149151717E-4</v>
      </c>
    </row>
    <row r="48" spans="1:4" x14ac:dyDescent="0.3">
      <c r="A48" s="1">
        <v>44264</v>
      </c>
      <c r="B48">
        <v>51025.48</v>
      </c>
      <c r="C48">
        <f t="shared" si="0"/>
        <v>1.1585995301051375E-2</v>
      </c>
      <c r="D48" s="2">
        <f t="shared" si="1"/>
        <v>1.1585995301051375E-2</v>
      </c>
    </row>
    <row r="49" spans="1:4" x14ac:dyDescent="0.3">
      <c r="A49" s="1">
        <v>44265</v>
      </c>
      <c r="B49">
        <v>51279.51</v>
      </c>
      <c r="C49">
        <f t="shared" si="0"/>
        <v>4.9784930979580953E-3</v>
      </c>
      <c r="D49" s="2">
        <f t="shared" si="1"/>
        <v>4.9784930979580953E-3</v>
      </c>
    </row>
    <row r="50" spans="1:4" x14ac:dyDescent="0.3">
      <c r="A50" s="1">
        <v>44267</v>
      </c>
      <c r="B50">
        <v>50792.08</v>
      </c>
      <c r="C50">
        <f t="shared" si="0"/>
        <v>-9.5053560379184648E-3</v>
      </c>
      <c r="D50" s="2">
        <f t="shared" si="1"/>
        <v>-9.5053560379184648E-3</v>
      </c>
    </row>
    <row r="51" spans="1:4" x14ac:dyDescent="0.3">
      <c r="A51" s="1">
        <v>44270</v>
      </c>
      <c r="B51">
        <v>50395.08</v>
      </c>
      <c r="C51">
        <f t="shared" si="0"/>
        <v>-7.8161792153422349E-3</v>
      </c>
      <c r="D51" s="2">
        <f t="shared" si="1"/>
        <v>-7.8161792153422349E-3</v>
      </c>
    </row>
    <row r="52" spans="1:4" x14ac:dyDescent="0.3">
      <c r="A52" s="1">
        <v>44271</v>
      </c>
      <c r="B52">
        <v>50363.96</v>
      </c>
      <c r="C52">
        <f t="shared" si="0"/>
        <v>-6.1752059923315169E-4</v>
      </c>
      <c r="D52" s="2">
        <f t="shared" si="1"/>
        <v>-6.1752059923315169E-4</v>
      </c>
    </row>
    <row r="53" spans="1:4" x14ac:dyDescent="0.3">
      <c r="A53" s="1">
        <v>44272</v>
      </c>
      <c r="B53">
        <v>49801.62</v>
      </c>
      <c r="C53">
        <f t="shared" si="0"/>
        <v>-1.1165523918293885E-2</v>
      </c>
      <c r="D53" s="2">
        <f t="shared" si="1"/>
        <v>-1.1165523918293885E-2</v>
      </c>
    </row>
    <row r="54" spans="1:4" x14ac:dyDescent="0.3">
      <c r="A54" s="1">
        <v>44273</v>
      </c>
      <c r="B54">
        <v>49216.52</v>
      </c>
      <c r="C54">
        <f t="shared" si="0"/>
        <v>-1.1748613800113446E-2</v>
      </c>
      <c r="D54" s="2">
        <f t="shared" si="1"/>
        <v>-1.1748613800113446E-2</v>
      </c>
    </row>
    <row r="55" spans="1:4" x14ac:dyDescent="0.3">
      <c r="A55" s="1">
        <v>44274</v>
      </c>
      <c r="B55">
        <v>49858.239999999998</v>
      </c>
      <c r="C55">
        <f t="shared" si="0"/>
        <v>1.3038711392028555E-2</v>
      </c>
      <c r="D55" s="2">
        <f t="shared" si="1"/>
        <v>1.3038711392028555E-2</v>
      </c>
    </row>
    <row r="56" spans="1:4" x14ac:dyDescent="0.3">
      <c r="A56" s="1">
        <v>44277</v>
      </c>
      <c r="B56">
        <v>49771.29</v>
      </c>
      <c r="C56">
        <f t="shared" si="0"/>
        <v>-1.7439444312514259E-3</v>
      </c>
      <c r="D56" s="2">
        <f t="shared" si="1"/>
        <v>-1.7439444312514259E-3</v>
      </c>
    </row>
    <row r="57" spans="1:4" x14ac:dyDescent="0.3">
      <c r="A57" s="1">
        <v>44278</v>
      </c>
      <c r="B57">
        <v>50051.44</v>
      </c>
      <c r="C57">
        <f t="shared" si="0"/>
        <v>5.628747014594186E-3</v>
      </c>
      <c r="D57" s="2">
        <f t="shared" si="1"/>
        <v>5.628747014594186E-3</v>
      </c>
    </row>
    <row r="58" spans="1:4" x14ac:dyDescent="0.3">
      <c r="A58" s="1">
        <v>44279</v>
      </c>
      <c r="B58">
        <v>49180.31</v>
      </c>
      <c r="C58">
        <f t="shared" si="0"/>
        <v>-1.7404694050760668E-2</v>
      </c>
      <c r="D58" s="2">
        <f t="shared" si="1"/>
        <v>-1.7404694050760668E-2</v>
      </c>
    </row>
    <row r="59" spans="1:4" x14ac:dyDescent="0.3">
      <c r="A59" s="1">
        <v>44280</v>
      </c>
      <c r="B59">
        <v>48440.12</v>
      </c>
      <c r="C59">
        <f t="shared" si="0"/>
        <v>-1.5050535468361121E-2</v>
      </c>
      <c r="D59" s="2">
        <f t="shared" si="1"/>
        <v>-1.5050535468361121E-2</v>
      </c>
    </row>
    <row r="60" spans="1:4" x14ac:dyDescent="0.3">
      <c r="A60" s="1">
        <v>44281</v>
      </c>
      <c r="B60">
        <v>49008.5</v>
      </c>
      <c r="C60">
        <f t="shared" si="0"/>
        <v>1.1733662096625635E-2</v>
      </c>
      <c r="D60" s="2">
        <f t="shared" si="1"/>
        <v>1.1733662096625635E-2</v>
      </c>
    </row>
    <row r="61" spans="1:4" x14ac:dyDescent="0.3">
      <c r="A61" s="1">
        <v>44285</v>
      </c>
      <c r="B61">
        <v>50136.58</v>
      </c>
      <c r="C61">
        <f t="shared" si="0"/>
        <v>2.3018047889651831E-2</v>
      </c>
      <c r="D61" s="2">
        <f t="shared" si="1"/>
        <v>2.3018047889651831E-2</v>
      </c>
    </row>
    <row r="62" spans="1:4" x14ac:dyDescent="0.3">
      <c r="A62" s="1">
        <v>44286</v>
      </c>
      <c r="B62">
        <v>49509.15</v>
      </c>
      <c r="C62">
        <f t="shared" si="0"/>
        <v>-1.2514415622286168E-2</v>
      </c>
      <c r="D62" s="2">
        <f t="shared" si="1"/>
        <v>-1.2514415622286168E-2</v>
      </c>
    </row>
    <row r="63" spans="1:4" x14ac:dyDescent="0.3">
      <c r="A63" s="1">
        <v>44287</v>
      </c>
      <c r="B63">
        <v>50029.83</v>
      </c>
      <c r="C63">
        <f t="shared" si="0"/>
        <v>1.051684385613569E-2</v>
      </c>
      <c r="D63" s="2">
        <f t="shared" si="1"/>
        <v>1.051684385613569E-2</v>
      </c>
    </row>
    <row r="64" spans="1:4" x14ac:dyDescent="0.3">
      <c r="A64" s="1">
        <v>44291</v>
      </c>
      <c r="B64">
        <v>49159.32</v>
      </c>
      <c r="C64">
        <f t="shared" si="0"/>
        <v>-1.7399819267824856E-2</v>
      </c>
      <c r="D64" s="2">
        <f t="shared" si="1"/>
        <v>-1.7399819267824856E-2</v>
      </c>
    </row>
    <row r="65" spans="1:4" x14ac:dyDescent="0.3">
      <c r="A65" s="1">
        <v>44292</v>
      </c>
      <c r="B65">
        <v>49201.39</v>
      </c>
      <c r="C65">
        <f t="shared" si="0"/>
        <v>8.5578889211648389E-4</v>
      </c>
      <c r="D65" s="2">
        <f t="shared" si="1"/>
        <v>8.5578889211648389E-4</v>
      </c>
    </row>
    <row r="66" spans="1:4" x14ac:dyDescent="0.3">
      <c r="A66" s="1">
        <v>44293</v>
      </c>
      <c r="B66">
        <v>49661.760000000002</v>
      </c>
      <c r="C66">
        <f t="shared" si="0"/>
        <v>9.3568494711227194E-3</v>
      </c>
      <c r="D66" s="2">
        <f t="shared" si="1"/>
        <v>9.3568494711227194E-3</v>
      </c>
    </row>
    <row r="67" spans="1:4" x14ac:dyDescent="0.3">
      <c r="A67" s="1">
        <v>44294</v>
      </c>
      <c r="B67">
        <v>49746.21</v>
      </c>
      <c r="C67">
        <f t="shared" si="0"/>
        <v>1.700503566526782E-3</v>
      </c>
      <c r="D67" s="2">
        <f t="shared" si="1"/>
        <v>1.700503566526782E-3</v>
      </c>
    </row>
    <row r="68" spans="1:4" x14ac:dyDescent="0.3">
      <c r="A68" s="1">
        <v>44295</v>
      </c>
      <c r="B68">
        <v>49591.32</v>
      </c>
      <c r="C68">
        <f t="shared" ref="C68:C131" si="3">(B68-B67)/B67</f>
        <v>-3.1136040313422754E-3</v>
      </c>
      <c r="D68" s="2">
        <f t="shared" ref="D68:D131" si="4">(B68-B67)/B67</f>
        <v>-3.1136040313422754E-3</v>
      </c>
    </row>
    <row r="69" spans="1:4" x14ac:dyDescent="0.3">
      <c r="A69" s="1">
        <v>44298</v>
      </c>
      <c r="B69">
        <v>47883.38</v>
      </c>
      <c r="C69">
        <f t="shared" si="3"/>
        <v>-3.4440301246266528E-2</v>
      </c>
      <c r="D69" s="2">
        <f t="shared" si="4"/>
        <v>-3.4440301246266528E-2</v>
      </c>
    </row>
    <row r="70" spans="1:4" x14ac:dyDescent="0.3">
      <c r="A70" s="1">
        <v>44299</v>
      </c>
      <c r="B70">
        <v>48544.06</v>
      </c>
      <c r="C70">
        <f t="shared" si="3"/>
        <v>1.3797689302634867E-2</v>
      </c>
      <c r="D70" s="2">
        <f t="shared" si="4"/>
        <v>1.3797689302634867E-2</v>
      </c>
    </row>
    <row r="71" spans="1:4" x14ac:dyDescent="0.3">
      <c r="A71" s="1">
        <v>44301</v>
      </c>
      <c r="B71">
        <v>48803.68</v>
      </c>
      <c r="C71">
        <f t="shared" si="3"/>
        <v>5.3481311616705041E-3</v>
      </c>
      <c r="D71" s="2">
        <f t="shared" si="4"/>
        <v>5.3481311616705041E-3</v>
      </c>
    </row>
    <row r="72" spans="1:4" x14ac:dyDescent="0.3">
      <c r="A72" s="1">
        <v>44302</v>
      </c>
      <c r="B72">
        <v>48832.03</v>
      </c>
      <c r="C72">
        <f t="shared" si="3"/>
        <v>5.8089881746619407E-4</v>
      </c>
      <c r="D72" s="2">
        <f t="shared" si="4"/>
        <v>5.8089881746619407E-4</v>
      </c>
    </row>
    <row r="73" spans="1:4" x14ac:dyDescent="0.3">
      <c r="A73" s="1">
        <v>44305</v>
      </c>
      <c r="B73">
        <v>47949.42</v>
      </c>
      <c r="C73">
        <f t="shared" si="3"/>
        <v>-1.8074407310120031E-2</v>
      </c>
      <c r="D73" s="2">
        <f t="shared" si="4"/>
        <v>-1.8074407310120031E-2</v>
      </c>
    </row>
    <row r="74" spans="1:4" x14ac:dyDescent="0.3">
      <c r="A74" s="1">
        <v>44306</v>
      </c>
      <c r="B74">
        <v>47705.8</v>
      </c>
      <c r="C74">
        <f t="shared" si="3"/>
        <v>-5.0807705286110942E-3</v>
      </c>
      <c r="D74" s="2">
        <f t="shared" si="4"/>
        <v>-5.0807705286110942E-3</v>
      </c>
    </row>
    <row r="75" spans="1:4" x14ac:dyDescent="0.3">
      <c r="A75" s="1">
        <v>44308</v>
      </c>
      <c r="B75">
        <v>48080.67</v>
      </c>
      <c r="C75">
        <f t="shared" si="3"/>
        <v>7.8579543787127629E-3</v>
      </c>
      <c r="D75" s="2">
        <f t="shared" si="4"/>
        <v>7.8579543787127629E-3</v>
      </c>
    </row>
    <row r="76" spans="1:4" x14ac:dyDescent="0.3">
      <c r="A76" s="1">
        <v>44309</v>
      </c>
      <c r="B76">
        <v>47878.45</v>
      </c>
      <c r="C76">
        <f t="shared" si="3"/>
        <v>-4.2058482130136951E-3</v>
      </c>
      <c r="D76" s="2">
        <f t="shared" si="4"/>
        <v>-4.2058482130136951E-3</v>
      </c>
    </row>
    <row r="77" spans="1:4" x14ac:dyDescent="0.3">
      <c r="A77" s="1">
        <v>44312</v>
      </c>
      <c r="B77">
        <v>48386.51</v>
      </c>
      <c r="C77">
        <f t="shared" si="3"/>
        <v>1.0611454631467915E-2</v>
      </c>
      <c r="D77" s="2">
        <f t="shared" si="4"/>
        <v>1.0611454631467915E-2</v>
      </c>
    </row>
    <row r="78" spans="1:4" x14ac:dyDescent="0.3">
      <c r="A78" s="1">
        <v>44313</v>
      </c>
      <c r="B78">
        <v>48944.14</v>
      </c>
      <c r="C78">
        <f t="shared" si="3"/>
        <v>1.1524493087019447E-2</v>
      </c>
      <c r="D78" s="2">
        <f t="shared" si="4"/>
        <v>1.1524493087019447E-2</v>
      </c>
    </row>
    <row r="79" spans="1:4" x14ac:dyDescent="0.3">
      <c r="A79" s="1">
        <v>44314</v>
      </c>
      <c r="B79">
        <v>49733.84</v>
      </c>
      <c r="C79">
        <f t="shared" si="3"/>
        <v>1.6134720111539342E-2</v>
      </c>
      <c r="D79" s="2">
        <f t="shared" si="4"/>
        <v>1.6134720111539342E-2</v>
      </c>
    </row>
    <row r="80" spans="1:4" x14ac:dyDescent="0.3">
      <c r="A80" s="1">
        <v>44315</v>
      </c>
      <c r="B80">
        <v>49765.94</v>
      </c>
      <c r="C80">
        <f t="shared" si="3"/>
        <v>6.4543578376425031E-4</v>
      </c>
      <c r="D80" s="2">
        <f t="shared" si="4"/>
        <v>6.4543578376425031E-4</v>
      </c>
    </row>
    <row r="81" spans="1:4" x14ac:dyDescent="0.3">
      <c r="A81" s="1">
        <v>44316</v>
      </c>
      <c r="B81">
        <v>48782.36</v>
      </c>
      <c r="C81">
        <f t="shared" si="3"/>
        <v>-1.9764119797596544E-2</v>
      </c>
      <c r="D81" s="2">
        <f t="shared" si="4"/>
        <v>-1.9764119797596544E-2</v>
      </c>
    </row>
    <row r="82" spans="1:4" x14ac:dyDescent="0.3">
      <c r="A82" s="1">
        <v>44319</v>
      </c>
      <c r="B82">
        <v>48718.52</v>
      </c>
      <c r="C82">
        <f t="shared" si="3"/>
        <v>-1.30866977325418E-3</v>
      </c>
      <c r="D82" s="2">
        <f t="shared" si="4"/>
        <v>-1.30866977325418E-3</v>
      </c>
    </row>
    <row r="83" spans="1:4" x14ac:dyDescent="0.3">
      <c r="A83" s="1">
        <v>44320</v>
      </c>
      <c r="B83">
        <v>48253.51</v>
      </c>
      <c r="C83">
        <f t="shared" si="3"/>
        <v>-9.5448301795702083E-3</v>
      </c>
      <c r="D83" s="2">
        <f t="shared" si="4"/>
        <v>-9.5448301795702083E-3</v>
      </c>
    </row>
    <row r="84" spans="1:4" x14ac:dyDescent="0.3">
      <c r="A84" s="1">
        <v>44321</v>
      </c>
      <c r="B84">
        <v>48677.55</v>
      </c>
      <c r="C84">
        <f t="shared" si="3"/>
        <v>8.7877545073923296E-3</v>
      </c>
      <c r="D84" s="2">
        <f t="shared" si="4"/>
        <v>8.7877545073923296E-3</v>
      </c>
    </row>
    <row r="85" spans="1:4" x14ac:dyDescent="0.3">
      <c r="A85" s="1">
        <v>44322</v>
      </c>
      <c r="B85">
        <v>48949.760000000002</v>
      </c>
      <c r="C85">
        <f t="shared" si="3"/>
        <v>5.5921056010419402E-3</v>
      </c>
      <c r="D85" s="2">
        <f t="shared" si="4"/>
        <v>5.5921056010419402E-3</v>
      </c>
    </row>
    <row r="86" spans="1:4" x14ac:dyDescent="0.3">
      <c r="A86" s="1">
        <v>44323</v>
      </c>
      <c r="B86">
        <v>49206.47</v>
      </c>
      <c r="C86">
        <f t="shared" si="3"/>
        <v>5.2443566628314238E-3</v>
      </c>
      <c r="D86" s="2">
        <f t="shared" si="4"/>
        <v>5.2443566628314238E-3</v>
      </c>
    </row>
    <row r="87" spans="1:4" x14ac:dyDescent="0.3">
      <c r="A87" s="1">
        <v>44326</v>
      </c>
      <c r="B87">
        <v>49502.41</v>
      </c>
      <c r="C87">
        <f t="shared" si="3"/>
        <v>6.0142497521159782E-3</v>
      </c>
      <c r="D87" s="2">
        <f t="shared" si="4"/>
        <v>6.0142497521159782E-3</v>
      </c>
    </row>
    <row r="88" spans="1:4" x14ac:dyDescent="0.3">
      <c r="A88" s="1">
        <v>44327</v>
      </c>
      <c r="B88">
        <v>49161.81</v>
      </c>
      <c r="C88">
        <f t="shared" si="3"/>
        <v>-6.8804730921182581E-3</v>
      </c>
      <c r="D88" s="2">
        <f t="shared" si="4"/>
        <v>-6.8804730921182581E-3</v>
      </c>
    </row>
    <row r="89" spans="1:4" x14ac:dyDescent="0.3">
      <c r="A89" s="1">
        <v>44328</v>
      </c>
      <c r="B89">
        <v>48690.8</v>
      </c>
      <c r="C89">
        <f t="shared" si="3"/>
        <v>-9.5808107960222537E-3</v>
      </c>
      <c r="D89" s="2">
        <f t="shared" si="4"/>
        <v>-9.5808107960222537E-3</v>
      </c>
    </row>
    <row r="90" spans="1:4" x14ac:dyDescent="0.3">
      <c r="A90" s="1">
        <v>44330</v>
      </c>
      <c r="B90">
        <v>48732.55</v>
      </c>
      <c r="C90">
        <f t="shared" si="3"/>
        <v>8.5745151034692375E-4</v>
      </c>
      <c r="D90" s="2">
        <f t="shared" si="4"/>
        <v>8.5745151034692375E-4</v>
      </c>
    </row>
    <row r="91" spans="1:4" x14ac:dyDescent="0.3">
      <c r="A91" s="1">
        <v>44333</v>
      </c>
      <c r="B91">
        <v>49580.73</v>
      </c>
      <c r="C91">
        <f t="shared" si="3"/>
        <v>1.7404794126307781E-2</v>
      </c>
      <c r="D91" s="2">
        <f t="shared" si="4"/>
        <v>1.7404794126307781E-2</v>
      </c>
    </row>
    <row r="92" spans="1:4" x14ac:dyDescent="0.3">
      <c r="A92" s="1">
        <v>44334</v>
      </c>
      <c r="B92">
        <v>50193.33</v>
      </c>
      <c r="C92">
        <f t="shared" si="3"/>
        <v>1.2355606704459544E-2</v>
      </c>
      <c r="D92" s="2">
        <f t="shared" si="4"/>
        <v>1.2355606704459544E-2</v>
      </c>
    </row>
    <row r="93" spans="1:4" x14ac:dyDescent="0.3">
      <c r="A93" s="1">
        <v>44335</v>
      </c>
      <c r="B93">
        <v>49902.64</v>
      </c>
      <c r="C93">
        <f t="shared" si="3"/>
        <v>-5.791406945903018E-3</v>
      </c>
      <c r="D93" s="2">
        <f t="shared" si="4"/>
        <v>-5.791406945903018E-3</v>
      </c>
    </row>
    <row r="94" spans="1:4" x14ac:dyDescent="0.3">
      <c r="A94" s="1">
        <v>44336</v>
      </c>
      <c r="B94">
        <v>49564.86</v>
      </c>
      <c r="C94">
        <f t="shared" si="3"/>
        <v>-6.7687801687445559E-3</v>
      </c>
      <c r="D94" s="2">
        <f t="shared" si="4"/>
        <v>-6.7687801687445559E-3</v>
      </c>
    </row>
    <row r="95" spans="1:4" x14ac:dyDescent="0.3">
      <c r="A95" s="1">
        <v>44337</v>
      </c>
      <c r="B95">
        <v>50540.480000000003</v>
      </c>
      <c r="C95">
        <f t="shared" si="3"/>
        <v>1.9683703333369704E-2</v>
      </c>
      <c r="D95" s="2">
        <f t="shared" si="4"/>
        <v>1.9683703333369704E-2</v>
      </c>
    </row>
    <row r="96" spans="1:4" x14ac:dyDescent="0.3">
      <c r="A96" s="1">
        <v>44340</v>
      </c>
      <c r="B96">
        <v>50651.9</v>
      </c>
      <c r="C96">
        <f t="shared" si="3"/>
        <v>2.2045694856874776E-3</v>
      </c>
      <c r="D96" s="2">
        <f t="shared" si="4"/>
        <v>2.2045694856874776E-3</v>
      </c>
    </row>
    <row r="97" spans="1:4" x14ac:dyDescent="0.3">
      <c r="A97" s="1">
        <v>44341</v>
      </c>
      <c r="B97">
        <v>50637.53</v>
      </c>
      <c r="C97">
        <f t="shared" si="3"/>
        <v>-2.8370110499315168E-4</v>
      </c>
      <c r="D97" s="2">
        <f t="shared" si="4"/>
        <v>-2.8370110499315168E-4</v>
      </c>
    </row>
    <row r="98" spans="1:4" x14ac:dyDescent="0.3">
      <c r="A98" s="1">
        <v>44342</v>
      </c>
      <c r="B98">
        <v>51017.52</v>
      </c>
      <c r="C98">
        <f t="shared" si="3"/>
        <v>7.5041179931169232E-3</v>
      </c>
      <c r="D98" s="2">
        <f t="shared" si="4"/>
        <v>7.5041179931169232E-3</v>
      </c>
    </row>
    <row r="99" spans="1:4" x14ac:dyDescent="0.3">
      <c r="A99" s="1">
        <v>44343</v>
      </c>
      <c r="B99">
        <v>51115.22</v>
      </c>
      <c r="C99">
        <f t="shared" si="3"/>
        <v>1.9150284059280885E-3</v>
      </c>
      <c r="D99" s="2">
        <f t="shared" si="4"/>
        <v>1.9150284059280885E-3</v>
      </c>
    </row>
    <row r="100" spans="1:4" x14ac:dyDescent="0.3">
      <c r="A100" s="1">
        <v>44344</v>
      </c>
      <c r="B100">
        <v>51422.879999999997</v>
      </c>
      <c r="C100">
        <f t="shared" si="3"/>
        <v>6.0189509112940571E-3</v>
      </c>
      <c r="D100" s="2">
        <f t="shared" si="4"/>
        <v>6.0189509112940571E-3</v>
      </c>
    </row>
    <row r="101" spans="1:4" x14ac:dyDescent="0.3">
      <c r="A101" s="1">
        <v>44347</v>
      </c>
      <c r="B101">
        <v>51937.440000000002</v>
      </c>
      <c r="C101">
        <f t="shared" si="3"/>
        <v>1.000644071277231E-2</v>
      </c>
      <c r="D101" s="2">
        <f t="shared" si="4"/>
        <v>1.000644071277231E-2</v>
      </c>
    </row>
    <row r="102" spans="1:4" x14ac:dyDescent="0.3">
      <c r="A102" s="1">
        <v>44348</v>
      </c>
      <c r="B102">
        <v>51934.879999999997</v>
      </c>
      <c r="C102">
        <f t="shared" si="3"/>
        <v>-4.9290068975385534E-5</v>
      </c>
      <c r="D102" s="2">
        <f t="shared" si="4"/>
        <v>-4.9290068975385534E-5</v>
      </c>
    </row>
    <row r="103" spans="1:4" x14ac:dyDescent="0.3">
      <c r="A103" s="1">
        <v>44349</v>
      </c>
      <c r="B103">
        <v>51849.48</v>
      </c>
      <c r="C103">
        <f t="shared" si="3"/>
        <v>-1.6443669456826353E-3</v>
      </c>
      <c r="D103" s="2">
        <f t="shared" si="4"/>
        <v>-1.6443669456826353E-3</v>
      </c>
    </row>
    <row r="104" spans="1:4" x14ac:dyDescent="0.3">
      <c r="A104" s="1">
        <v>44350</v>
      </c>
      <c r="B104">
        <v>52232.43</v>
      </c>
      <c r="C104">
        <f t="shared" si="3"/>
        <v>7.3858021334061033E-3</v>
      </c>
      <c r="D104" s="2">
        <f t="shared" si="4"/>
        <v>7.3858021334061033E-3</v>
      </c>
    </row>
    <row r="105" spans="1:4" x14ac:dyDescent="0.3">
      <c r="A105" s="1">
        <v>44351</v>
      </c>
      <c r="B105">
        <v>52100.05</v>
      </c>
      <c r="C105">
        <f t="shared" si="3"/>
        <v>-2.5344407679289932E-3</v>
      </c>
      <c r="D105" s="2">
        <f t="shared" si="4"/>
        <v>-2.5344407679289932E-3</v>
      </c>
    </row>
    <row r="106" spans="1:4" x14ac:dyDescent="0.3">
      <c r="A106" s="1">
        <v>44354</v>
      </c>
      <c r="B106">
        <v>52328.51</v>
      </c>
      <c r="C106">
        <f t="shared" si="3"/>
        <v>4.3850245825099807E-3</v>
      </c>
      <c r="D106" s="2">
        <f t="shared" si="4"/>
        <v>4.3850245825099807E-3</v>
      </c>
    </row>
    <row r="107" spans="1:4" x14ac:dyDescent="0.3">
      <c r="A107" s="1">
        <v>44355</v>
      </c>
      <c r="B107">
        <v>52275.57</v>
      </c>
      <c r="C107">
        <f t="shared" si="3"/>
        <v>-1.0116855993033689E-3</v>
      </c>
      <c r="D107" s="2">
        <f t="shared" si="4"/>
        <v>-1.0116855993033689E-3</v>
      </c>
    </row>
    <row r="108" spans="1:4" x14ac:dyDescent="0.3">
      <c r="A108" s="1">
        <v>44356</v>
      </c>
      <c r="B108">
        <v>51941.64</v>
      </c>
      <c r="C108">
        <f t="shared" si="3"/>
        <v>-6.387878697448929E-3</v>
      </c>
      <c r="D108" s="2">
        <f t="shared" si="4"/>
        <v>-6.387878697448929E-3</v>
      </c>
    </row>
    <row r="109" spans="1:4" x14ac:dyDescent="0.3">
      <c r="A109" s="1">
        <v>44357</v>
      </c>
      <c r="B109">
        <v>52300.47</v>
      </c>
      <c r="C109">
        <f t="shared" si="3"/>
        <v>6.9083301951960267E-3</v>
      </c>
      <c r="D109" s="2">
        <f t="shared" si="4"/>
        <v>6.9083301951960267E-3</v>
      </c>
    </row>
    <row r="110" spans="1:4" x14ac:dyDescent="0.3">
      <c r="A110" s="1">
        <v>44358</v>
      </c>
      <c r="B110">
        <v>52474.76</v>
      </c>
      <c r="C110">
        <f t="shared" si="3"/>
        <v>3.3324748324441611E-3</v>
      </c>
      <c r="D110" s="2">
        <f t="shared" si="4"/>
        <v>3.3324748324441611E-3</v>
      </c>
    </row>
    <row r="111" spans="1:4" x14ac:dyDescent="0.3">
      <c r="A111" s="1">
        <v>44361</v>
      </c>
      <c r="B111">
        <v>52551.53</v>
      </c>
      <c r="C111">
        <f t="shared" si="3"/>
        <v>1.462989063694561E-3</v>
      </c>
      <c r="D111" s="2">
        <f t="shared" si="4"/>
        <v>1.462989063694561E-3</v>
      </c>
    </row>
    <row r="112" spans="1:4" x14ac:dyDescent="0.3">
      <c r="A112" s="1">
        <v>44362</v>
      </c>
      <c r="B112">
        <v>52773.05</v>
      </c>
      <c r="C112">
        <f t="shared" si="3"/>
        <v>4.2152911627882971E-3</v>
      </c>
      <c r="D112" s="2">
        <f t="shared" si="4"/>
        <v>4.2152911627882971E-3</v>
      </c>
    </row>
    <row r="113" spans="1:4" x14ac:dyDescent="0.3">
      <c r="A113" s="1">
        <v>44363</v>
      </c>
      <c r="B113">
        <v>52501.98</v>
      </c>
      <c r="C113">
        <f t="shared" si="3"/>
        <v>-5.1365232822434877E-3</v>
      </c>
      <c r="D113" s="2">
        <f t="shared" si="4"/>
        <v>-5.1365232822434877E-3</v>
      </c>
    </row>
    <row r="114" spans="1:4" x14ac:dyDescent="0.3">
      <c r="A114" s="1">
        <v>44364</v>
      </c>
      <c r="B114">
        <v>52323.33</v>
      </c>
      <c r="C114">
        <f t="shared" si="3"/>
        <v>-3.40272881137057E-3</v>
      </c>
      <c r="D114" s="2">
        <f t="shared" si="4"/>
        <v>-3.40272881137057E-3</v>
      </c>
    </row>
    <row r="115" spans="1:4" x14ac:dyDescent="0.3">
      <c r="A115" s="1">
        <v>44365</v>
      </c>
      <c r="B115">
        <v>52344.45</v>
      </c>
      <c r="C115">
        <f t="shared" si="3"/>
        <v>4.0364403412388589E-4</v>
      </c>
      <c r="D115" s="2">
        <f t="shared" si="4"/>
        <v>4.0364403412388589E-4</v>
      </c>
    </row>
    <row r="116" spans="1:4" x14ac:dyDescent="0.3">
      <c r="A116" s="1">
        <v>44368</v>
      </c>
      <c r="B116">
        <v>52574.46</v>
      </c>
      <c r="C116">
        <f t="shared" si="3"/>
        <v>4.3941621318019783E-3</v>
      </c>
      <c r="D116" s="2">
        <f t="shared" si="4"/>
        <v>4.3941621318019783E-3</v>
      </c>
    </row>
    <row r="117" spans="1:4" x14ac:dyDescent="0.3">
      <c r="A117" s="1">
        <v>44369</v>
      </c>
      <c r="B117">
        <v>52588.71</v>
      </c>
      <c r="C117">
        <f t="shared" si="3"/>
        <v>2.7104415337789487E-4</v>
      </c>
      <c r="D117" s="2">
        <f t="shared" si="4"/>
        <v>2.7104415337789487E-4</v>
      </c>
    </row>
    <row r="118" spans="1:4" x14ac:dyDescent="0.3">
      <c r="A118" s="1">
        <v>44370</v>
      </c>
      <c r="B118">
        <v>52306.080000000002</v>
      </c>
      <c r="C118">
        <f t="shared" si="3"/>
        <v>-5.3743474597493911E-3</v>
      </c>
      <c r="D118" s="2">
        <f t="shared" si="4"/>
        <v>-5.3743474597493911E-3</v>
      </c>
    </row>
    <row r="119" spans="1:4" x14ac:dyDescent="0.3">
      <c r="A119" s="1">
        <v>44371</v>
      </c>
      <c r="B119">
        <v>52699</v>
      </c>
      <c r="C119">
        <f t="shared" si="3"/>
        <v>7.5119374267771212E-3</v>
      </c>
      <c r="D119" s="2">
        <f t="shared" si="4"/>
        <v>7.5119374267771212E-3</v>
      </c>
    </row>
    <row r="120" spans="1:4" x14ac:dyDescent="0.3">
      <c r="A120" s="1">
        <v>44372</v>
      </c>
      <c r="B120">
        <v>52925.04</v>
      </c>
      <c r="C120">
        <f t="shared" si="3"/>
        <v>4.2892654509573405E-3</v>
      </c>
      <c r="D120" s="2">
        <f t="shared" si="4"/>
        <v>4.2892654509573405E-3</v>
      </c>
    </row>
    <row r="121" spans="1:4" x14ac:dyDescent="0.3">
      <c r="A121" s="1">
        <v>44375</v>
      </c>
      <c r="B121">
        <v>52735.59</v>
      </c>
      <c r="C121">
        <f t="shared" si="3"/>
        <v>-3.5795910593549736E-3</v>
      </c>
      <c r="D121" s="2">
        <f t="shared" si="4"/>
        <v>-3.5795910593549736E-3</v>
      </c>
    </row>
    <row r="122" spans="1:4" x14ac:dyDescent="0.3">
      <c r="A122" s="1">
        <v>44376</v>
      </c>
      <c r="B122">
        <v>52549.66</v>
      </c>
      <c r="C122">
        <f t="shared" si="3"/>
        <v>-3.5257024715186279E-3</v>
      </c>
      <c r="D122" s="2">
        <f t="shared" si="4"/>
        <v>-3.5257024715186279E-3</v>
      </c>
    </row>
    <row r="123" spans="1:4" x14ac:dyDescent="0.3">
      <c r="A123" s="1">
        <v>44377</v>
      </c>
      <c r="B123">
        <v>52482.71</v>
      </c>
      <c r="C123">
        <f t="shared" si="3"/>
        <v>-1.2740329813742727E-3</v>
      </c>
      <c r="D123" s="2">
        <f t="shared" si="4"/>
        <v>-1.2740329813742727E-3</v>
      </c>
    </row>
    <row r="124" spans="1:4" x14ac:dyDescent="0.3">
      <c r="A124" s="1">
        <v>44378</v>
      </c>
      <c r="B124">
        <v>52318.6</v>
      </c>
      <c r="C124">
        <f t="shared" si="3"/>
        <v>-3.1269345656884063E-3</v>
      </c>
      <c r="D124" s="2">
        <f t="shared" si="4"/>
        <v>-3.1269345656884063E-3</v>
      </c>
    </row>
    <row r="125" spans="1:4" x14ac:dyDescent="0.3">
      <c r="A125" s="1">
        <v>44379</v>
      </c>
      <c r="B125">
        <v>52484.67</v>
      </c>
      <c r="C125">
        <f t="shared" si="3"/>
        <v>3.1742057318047447E-3</v>
      </c>
      <c r="D125" s="2">
        <f t="shared" si="4"/>
        <v>3.1742057318047447E-3</v>
      </c>
    </row>
    <row r="126" spans="1:4" x14ac:dyDescent="0.3">
      <c r="A126" s="1">
        <v>44382</v>
      </c>
      <c r="B126">
        <v>52880</v>
      </c>
      <c r="C126">
        <f t="shared" si="3"/>
        <v>7.5322946681383677E-3</v>
      </c>
      <c r="D126" s="2">
        <f t="shared" si="4"/>
        <v>7.5322946681383677E-3</v>
      </c>
    </row>
    <row r="127" spans="1:4" x14ac:dyDescent="0.3">
      <c r="A127" s="1">
        <v>44383</v>
      </c>
      <c r="B127">
        <v>52861.18</v>
      </c>
      <c r="C127">
        <f t="shared" si="3"/>
        <v>-3.559001512859249E-4</v>
      </c>
      <c r="D127" s="2">
        <f t="shared" si="4"/>
        <v>-3.559001512859249E-4</v>
      </c>
    </row>
    <row r="128" spans="1:4" x14ac:dyDescent="0.3">
      <c r="A128" s="1">
        <v>44384</v>
      </c>
      <c r="B128">
        <v>53054.76</v>
      </c>
      <c r="C128">
        <f t="shared" si="3"/>
        <v>3.6620446232944808E-3</v>
      </c>
      <c r="D128" s="2">
        <f t="shared" si="4"/>
        <v>3.6620446232944808E-3</v>
      </c>
    </row>
    <row r="129" spans="1:4" x14ac:dyDescent="0.3">
      <c r="A129" s="1">
        <v>44385</v>
      </c>
      <c r="B129">
        <v>52568.94</v>
      </c>
      <c r="C129">
        <f t="shared" si="3"/>
        <v>-9.156954060295432E-3</v>
      </c>
      <c r="D129" s="2">
        <f t="shared" si="4"/>
        <v>-9.156954060295432E-3</v>
      </c>
    </row>
    <row r="130" spans="1:4" x14ac:dyDescent="0.3">
      <c r="A130" s="1">
        <v>44386</v>
      </c>
      <c r="B130">
        <v>52386.19</v>
      </c>
      <c r="C130">
        <f t="shared" si="3"/>
        <v>-3.4763873876855799E-3</v>
      </c>
      <c r="D130" s="2">
        <f t="shared" si="4"/>
        <v>-3.4763873876855799E-3</v>
      </c>
    </row>
    <row r="131" spans="1:4" x14ac:dyDescent="0.3">
      <c r="A131" s="1">
        <v>44389</v>
      </c>
      <c r="B131">
        <v>52372.69</v>
      </c>
      <c r="C131">
        <f t="shared" si="3"/>
        <v>-2.5770150491952171E-4</v>
      </c>
      <c r="D131" s="2">
        <f t="shared" si="4"/>
        <v>-2.5770150491952171E-4</v>
      </c>
    </row>
    <row r="132" spans="1:4" x14ac:dyDescent="0.3">
      <c r="A132" s="1">
        <v>44390</v>
      </c>
      <c r="B132">
        <v>52769.73</v>
      </c>
      <c r="C132">
        <f t="shared" ref="C132:C195" si="5">(B132-B131)/B131</f>
        <v>7.5810503527697515E-3</v>
      </c>
      <c r="D132" s="2">
        <f t="shared" ref="D132:D195" si="6">(B132-B131)/B131</f>
        <v>7.5810503527697515E-3</v>
      </c>
    </row>
    <row r="133" spans="1:4" x14ac:dyDescent="0.3">
      <c r="A133" s="1">
        <v>44391</v>
      </c>
      <c r="B133">
        <v>52904.05</v>
      </c>
      <c r="C133">
        <f t="shared" si="5"/>
        <v>2.5453986594208403E-3</v>
      </c>
      <c r="D133" s="2">
        <f t="shared" si="6"/>
        <v>2.5453986594208403E-3</v>
      </c>
    </row>
    <row r="134" spans="1:4" x14ac:dyDescent="0.3">
      <c r="A134" s="1">
        <v>44392</v>
      </c>
      <c r="B134">
        <v>53158.85</v>
      </c>
      <c r="C134">
        <f t="shared" si="5"/>
        <v>4.8162664295076773E-3</v>
      </c>
      <c r="D134" s="2">
        <f t="shared" si="6"/>
        <v>4.8162664295076773E-3</v>
      </c>
    </row>
    <row r="135" spans="1:4" x14ac:dyDescent="0.3">
      <c r="A135" s="1">
        <v>44393</v>
      </c>
      <c r="B135">
        <v>53140.06</v>
      </c>
      <c r="C135">
        <f t="shared" si="5"/>
        <v>-3.5346889558372449E-4</v>
      </c>
      <c r="D135" s="2">
        <f t="shared" si="6"/>
        <v>-3.5346889558372449E-4</v>
      </c>
    </row>
    <row r="136" spans="1:4" x14ac:dyDescent="0.3">
      <c r="A136" s="1">
        <v>44396</v>
      </c>
      <c r="B136">
        <v>52553.4</v>
      </c>
      <c r="C136">
        <f t="shared" si="5"/>
        <v>-1.1039882152936904E-2</v>
      </c>
      <c r="D136" s="2">
        <f t="shared" si="6"/>
        <v>-1.1039882152936904E-2</v>
      </c>
    </row>
    <row r="137" spans="1:4" x14ac:dyDescent="0.3">
      <c r="A137" s="1">
        <v>44397</v>
      </c>
      <c r="B137">
        <v>52198.51</v>
      </c>
      <c r="C137">
        <f t="shared" si="5"/>
        <v>-6.7529408182914787E-3</v>
      </c>
      <c r="D137" s="2">
        <f t="shared" si="6"/>
        <v>-6.7529408182914787E-3</v>
      </c>
    </row>
    <row r="138" spans="1:4" x14ac:dyDescent="0.3">
      <c r="A138" s="1">
        <v>44399</v>
      </c>
      <c r="B138">
        <v>52837.21</v>
      </c>
      <c r="C138">
        <f t="shared" si="5"/>
        <v>1.2235981448512555E-2</v>
      </c>
      <c r="D138" s="2">
        <f t="shared" si="6"/>
        <v>1.2235981448512555E-2</v>
      </c>
    </row>
    <row r="139" spans="1:4" x14ac:dyDescent="0.3">
      <c r="A139" s="1">
        <v>44400</v>
      </c>
      <c r="B139">
        <v>52975.8</v>
      </c>
      <c r="C139">
        <f t="shared" si="5"/>
        <v>2.6229621132532127E-3</v>
      </c>
      <c r="D139" s="2">
        <f t="shared" si="6"/>
        <v>2.6229621132532127E-3</v>
      </c>
    </row>
    <row r="140" spans="1:4" x14ac:dyDescent="0.3">
      <c r="A140" s="1">
        <v>44403</v>
      </c>
      <c r="B140">
        <v>52852.27</v>
      </c>
      <c r="C140">
        <f t="shared" si="5"/>
        <v>-2.3318194345343744E-3</v>
      </c>
      <c r="D140" s="2">
        <f t="shared" si="6"/>
        <v>-2.3318194345343744E-3</v>
      </c>
    </row>
    <row r="141" spans="1:4" x14ac:dyDescent="0.3">
      <c r="A141" s="1">
        <v>44404</v>
      </c>
      <c r="B141">
        <v>52578.76</v>
      </c>
      <c r="C141">
        <f t="shared" si="5"/>
        <v>-5.1749905917001255E-3</v>
      </c>
      <c r="D141" s="2">
        <f t="shared" si="6"/>
        <v>-5.1749905917001255E-3</v>
      </c>
    </row>
    <row r="142" spans="1:4" x14ac:dyDescent="0.3">
      <c r="A142" s="1">
        <v>44405</v>
      </c>
      <c r="B142">
        <v>52443.71</v>
      </c>
      <c r="C142">
        <f t="shared" si="5"/>
        <v>-2.5685276716301965E-3</v>
      </c>
      <c r="D142" s="2">
        <f t="shared" si="6"/>
        <v>-2.5685276716301965E-3</v>
      </c>
    </row>
    <row r="143" spans="1:4" x14ac:dyDescent="0.3">
      <c r="A143" s="1">
        <v>44406</v>
      </c>
      <c r="B143">
        <v>52653.07</v>
      </c>
      <c r="C143">
        <f t="shared" si="5"/>
        <v>3.9920898044779937E-3</v>
      </c>
      <c r="D143" s="2">
        <f t="shared" si="6"/>
        <v>3.9920898044779937E-3</v>
      </c>
    </row>
    <row r="144" spans="1:4" x14ac:dyDescent="0.3">
      <c r="A144" s="1">
        <v>44407</v>
      </c>
      <c r="B144">
        <v>52586.84</v>
      </c>
      <c r="C144">
        <f t="shared" si="5"/>
        <v>-1.2578563795046177E-3</v>
      </c>
      <c r="D144" s="2">
        <f t="shared" si="6"/>
        <v>-1.2578563795046177E-3</v>
      </c>
    </row>
    <row r="145" spans="1:4" x14ac:dyDescent="0.3">
      <c r="A145" s="1">
        <v>44410</v>
      </c>
      <c r="B145">
        <v>52950.63</v>
      </c>
      <c r="C145">
        <f t="shared" si="5"/>
        <v>6.9178904836267189E-3</v>
      </c>
      <c r="D145" s="2">
        <f t="shared" si="6"/>
        <v>6.9178904836267189E-3</v>
      </c>
    </row>
    <row r="146" spans="1:4" x14ac:dyDescent="0.3">
      <c r="A146" s="1">
        <v>44411</v>
      </c>
      <c r="B146">
        <v>53823.360000000001</v>
      </c>
      <c r="C146">
        <f t="shared" si="5"/>
        <v>1.6481956871901304E-2</v>
      </c>
      <c r="D146" s="2">
        <f t="shared" si="6"/>
        <v>1.6481956871901304E-2</v>
      </c>
    </row>
    <row r="147" spans="1:4" x14ac:dyDescent="0.3">
      <c r="A147" s="1">
        <v>44412</v>
      </c>
      <c r="B147">
        <v>54369.77</v>
      </c>
      <c r="C147">
        <f t="shared" si="5"/>
        <v>1.0151911734978942E-2</v>
      </c>
      <c r="D147" s="2">
        <f t="shared" si="6"/>
        <v>1.0151911734978942E-2</v>
      </c>
    </row>
    <row r="148" spans="1:4" x14ac:dyDescent="0.3">
      <c r="A148" s="1">
        <v>44413</v>
      </c>
      <c r="B148">
        <v>54492.84</v>
      </c>
      <c r="C148">
        <f t="shared" si="5"/>
        <v>2.2635740412365129E-3</v>
      </c>
      <c r="D148" s="2">
        <f t="shared" si="6"/>
        <v>2.2635740412365129E-3</v>
      </c>
    </row>
    <row r="149" spans="1:4" x14ac:dyDescent="0.3">
      <c r="A149" s="1">
        <v>44414</v>
      </c>
      <c r="B149">
        <v>54277.72</v>
      </c>
      <c r="C149">
        <f t="shared" si="5"/>
        <v>-3.9476745935795483E-3</v>
      </c>
      <c r="D149" s="2">
        <f t="shared" si="6"/>
        <v>-3.9476745935795483E-3</v>
      </c>
    </row>
    <row r="150" spans="1:4" x14ac:dyDescent="0.3">
      <c r="A150" s="1">
        <v>44417</v>
      </c>
      <c r="B150">
        <v>54402.85</v>
      </c>
      <c r="C150">
        <f t="shared" si="5"/>
        <v>2.3053658112388909E-3</v>
      </c>
      <c r="D150" s="2">
        <f t="shared" si="6"/>
        <v>2.3053658112388909E-3</v>
      </c>
    </row>
    <row r="151" spans="1:4" x14ac:dyDescent="0.3">
      <c r="A151" s="1">
        <v>44418</v>
      </c>
      <c r="B151">
        <v>54554.66</v>
      </c>
      <c r="C151">
        <f t="shared" si="5"/>
        <v>2.7904788076360881E-3</v>
      </c>
      <c r="D151" s="2">
        <f t="shared" si="6"/>
        <v>2.7904788076360881E-3</v>
      </c>
    </row>
    <row r="152" spans="1:4" x14ac:dyDescent="0.3">
      <c r="A152" s="1">
        <v>44419</v>
      </c>
      <c r="B152">
        <v>54525.93</v>
      </c>
      <c r="C152">
        <f t="shared" si="5"/>
        <v>-5.2662778945012582E-4</v>
      </c>
      <c r="D152" s="2">
        <f t="shared" si="6"/>
        <v>-5.2662778945012582E-4</v>
      </c>
    </row>
    <row r="153" spans="1:4" x14ac:dyDescent="0.3">
      <c r="A153" s="1">
        <v>44420</v>
      </c>
      <c r="B153">
        <v>54843.98</v>
      </c>
      <c r="C153">
        <f t="shared" si="5"/>
        <v>5.8330045906599464E-3</v>
      </c>
      <c r="D153" s="2">
        <f t="shared" si="6"/>
        <v>5.8330045906599464E-3</v>
      </c>
    </row>
    <row r="154" spans="1:4" x14ac:dyDescent="0.3">
      <c r="A154" s="1">
        <v>44421</v>
      </c>
      <c r="B154">
        <v>55437.29</v>
      </c>
      <c r="C154">
        <f t="shared" si="5"/>
        <v>1.0818142665794818E-2</v>
      </c>
      <c r="D154" s="2">
        <f t="shared" si="6"/>
        <v>1.0818142665794818E-2</v>
      </c>
    </row>
    <row r="155" spans="1:4" x14ac:dyDescent="0.3">
      <c r="A155" s="1">
        <v>44424</v>
      </c>
      <c r="B155">
        <v>55582.58</v>
      </c>
      <c r="C155">
        <f t="shared" si="5"/>
        <v>2.6207991047181578E-3</v>
      </c>
      <c r="D155" s="2">
        <f t="shared" si="6"/>
        <v>2.6207991047181578E-3</v>
      </c>
    </row>
    <row r="156" spans="1:4" x14ac:dyDescent="0.3">
      <c r="A156" s="1">
        <v>44425</v>
      </c>
      <c r="B156">
        <v>55792.27</v>
      </c>
      <c r="C156">
        <f t="shared" si="5"/>
        <v>3.7725848638187546E-3</v>
      </c>
      <c r="D156" s="2">
        <f t="shared" si="6"/>
        <v>3.7725848638187546E-3</v>
      </c>
    </row>
    <row r="157" spans="1:4" x14ac:dyDescent="0.3">
      <c r="A157" s="1">
        <v>44426</v>
      </c>
      <c r="B157">
        <v>55629.49</v>
      </c>
      <c r="C157">
        <f t="shared" si="5"/>
        <v>-2.9176084787372668E-3</v>
      </c>
      <c r="D157" s="2">
        <f t="shared" si="6"/>
        <v>-2.9176084787372668E-3</v>
      </c>
    </row>
    <row r="158" spans="1:4" x14ac:dyDescent="0.3">
      <c r="A158" s="1">
        <v>44428</v>
      </c>
      <c r="B158">
        <v>55329.32</v>
      </c>
      <c r="C158">
        <f t="shared" si="5"/>
        <v>-5.3958790562343506E-3</v>
      </c>
      <c r="D158" s="2">
        <f t="shared" si="6"/>
        <v>-5.3958790562343506E-3</v>
      </c>
    </row>
    <row r="159" spans="1:4" x14ac:dyDescent="0.3">
      <c r="A159" s="1">
        <v>44431</v>
      </c>
      <c r="B159">
        <v>55555.79</v>
      </c>
      <c r="C159">
        <f t="shared" si="5"/>
        <v>4.0931282003827474E-3</v>
      </c>
      <c r="D159" s="2">
        <f t="shared" si="6"/>
        <v>4.0931282003827474E-3</v>
      </c>
    </row>
    <row r="160" spans="1:4" x14ac:dyDescent="0.3">
      <c r="A160" s="1">
        <v>44432</v>
      </c>
      <c r="B160">
        <v>55958.98</v>
      </c>
      <c r="C160">
        <f t="shared" si="5"/>
        <v>7.2573893738168841E-3</v>
      </c>
      <c r="D160" s="2">
        <f t="shared" si="6"/>
        <v>7.2573893738168841E-3</v>
      </c>
    </row>
    <row r="161" spans="1:4" x14ac:dyDescent="0.3">
      <c r="A161" s="1">
        <v>44433</v>
      </c>
      <c r="B161">
        <v>55944.21</v>
      </c>
      <c r="C161">
        <f t="shared" si="5"/>
        <v>-2.6394333849552072E-4</v>
      </c>
      <c r="D161" s="2">
        <f t="shared" si="6"/>
        <v>-2.6394333849552072E-4</v>
      </c>
    </row>
    <row r="162" spans="1:4" x14ac:dyDescent="0.3">
      <c r="A162" s="1">
        <v>44434</v>
      </c>
      <c r="B162">
        <v>55949.1</v>
      </c>
      <c r="C162">
        <f t="shared" si="5"/>
        <v>8.7408509298807121E-5</v>
      </c>
      <c r="D162" s="2">
        <f t="shared" si="6"/>
        <v>8.7408509298807121E-5</v>
      </c>
    </row>
    <row r="163" spans="1:4" x14ac:dyDescent="0.3">
      <c r="A163" s="1">
        <v>44435</v>
      </c>
      <c r="B163">
        <v>56124.72</v>
      </c>
      <c r="C163">
        <f t="shared" si="5"/>
        <v>3.1389244867210129E-3</v>
      </c>
      <c r="D163" s="2">
        <f t="shared" si="6"/>
        <v>3.1389244867210129E-3</v>
      </c>
    </row>
    <row r="164" spans="1:4" x14ac:dyDescent="0.3">
      <c r="A164" s="1">
        <v>44438</v>
      </c>
      <c r="B164">
        <v>56889.760000000002</v>
      </c>
      <c r="C164">
        <f t="shared" si="5"/>
        <v>1.3631070230729006E-2</v>
      </c>
      <c r="D164" s="2">
        <f t="shared" si="6"/>
        <v>1.3631070230729006E-2</v>
      </c>
    </row>
    <row r="165" spans="1:4" x14ac:dyDescent="0.3">
      <c r="A165" s="1">
        <v>44439</v>
      </c>
      <c r="B165">
        <v>57552.39</v>
      </c>
      <c r="C165">
        <f t="shared" si="5"/>
        <v>1.1647614614651167E-2</v>
      </c>
      <c r="D165" s="2">
        <f t="shared" si="6"/>
        <v>1.1647614614651167E-2</v>
      </c>
    </row>
    <row r="166" spans="1:4" x14ac:dyDescent="0.3">
      <c r="A166" s="1">
        <v>44440</v>
      </c>
      <c r="B166">
        <v>57338.21</v>
      </c>
      <c r="C166">
        <f t="shared" si="5"/>
        <v>-3.7214788126088299E-3</v>
      </c>
      <c r="D166" s="2">
        <f t="shared" si="6"/>
        <v>-3.7214788126088299E-3</v>
      </c>
    </row>
    <row r="167" spans="1:4" x14ac:dyDescent="0.3">
      <c r="A167" s="1">
        <v>44441</v>
      </c>
      <c r="B167">
        <v>57852.54</v>
      </c>
      <c r="C167">
        <f t="shared" si="5"/>
        <v>8.9701091122307754E-3</v>
      </c>
      <c r="D167" s="2">
        <f t="shared" si="6"/>
        <v>8.9701091122307754E-3</v>
      </c>
    </row>
    <row r="168" spans="1:4" x14ac:dyDescent="0.3">
      <c r="A168" s="1">
        <v>44442</v>
      </c>
      <c r="B168">
        <v>58129.95</v>
      </c>
      <c r="C168">
        <f t="shared" si="5"/>
        <v>4.7951222193527926E-3</v>
      </c>
      <c r="D168" s="2">
        <f t="shared" si="6"/>
        <v>4.7951222193527926E-3</v>
      </c>
    </row>
    <row r="169" spans="1:4" x14ac:dyDescent="0.3">
      <c r="A169" s="1">
        <v>44445</v>
      </c>
      <c r="B169">
        <v>58296.91</v>
      </c>
      <c r="C169">
        <f t="shared" si="5"/>
        <v>2.8721855085030419E-3</v>
      </c>
      <c r="D169" s="2">
        <f t="shared" si="6"/>
        <v>2.8721855085030419E-3</v>
      </c>
    </row>
    <row r="170" spans="1:4" x14ac:dyDescent="0.3">
      <c r="A170" s="1">
        <v>44446</v>
      </c>
      <c r="B170">
        <v>58279.48</v>
      </c>
      <c r="C170">
        <f t="shared" si="5"/>
        <v>-2.989866872875473E-4</v>
      </c>
      <c r="D170" s="2">
        <f t="shared" si="6"/>
        <v>-2.989866872875473E-4</v>
      </c>
    </row>
    <row r="171" spans="1:4" x14ac:dyDescent="0.3">
      <c r="A171" s="1">
        <v>44447</v>
      </c>
      <c r="B171">
        <v>58250.26</v>
      </c>
      <c r="C171">
        <f t="shared" si="5"/>
        <v>-5.0137715710574563E-4</v>
      </c>
      <c r="D171" s="2">
        <f t="shared" si="6"/>
        <v>-5.0137715710574563E-4</v>
      </c>
    </row>
    <row r="172" spans="1:4" x14ac:dyDescent="0.3">
      <c r="A172" s="1">
        <v>44448</v>
      </c>
      <c r="B172">
        <v>58305.07</v>
      </c>
      <c r="C172">
        <f t="shared" si="5"/>
        <v>9.4094000610465381E-4</v>
      </c>
      <c r="D172" s="2">
        <f t="shared" si="6"/>
        <v>9.4094000610465381E-4</v>
      </c>
    </row>
    <row r="173" spans="1:4" x14ac:dyDescent="0.3">
      <c r="A173" s="1">
        <v>44452</v>
      </c>
      <c r="B173">
        <v>58177.760000000002</v>
      </c>
      <c r="C173">
        <f t="shared" si="5"/>
        <v>-2.1835150871098805E-3</v>
      </c>
      <c r="D173" s="2">
        <f t="shared" si="6"/>
        <v>-2.1835150871098805E-3</v>
      </c>
    </row>
    <row r="174" spans="1:4" x14ac:dyDescent="0.3">
      <c r="A174" s="1">
        <v>44453</v>
      </c>
      <c r="B174">
        <v>58247.09</v>
      </c>
      <c r="C174">
        <f t="shared" si="5"/>
        <v>1.1916924955514697E-3</v>
      </c>
      <c r="D174" s="2">
        <f t="shared" si="6"/>
        <v>1.1916924955514697E-3</v>
      </c>
    </row>
    <row r="175" spans="1:4" x14ac:dyDescent="0.3">
      <c r="A175" s="1">
        <v>44454</v>
      </c>
      <c r="B175">
        <v>58723.199999999997</v>
      </c>
      <c r="C175">
        <f t="shared" si="5"/>
        <v>8.1739705794744537E-3</v>
      </c>
      <c r="D175" s="2">
        <f t="shared" si="6"/>
        <v>8.1739705794744537E-3</v>
      </c>
    </row>
    <row r="176" spans="1:4" x14ac:dyDescent="0.3">
      <c r="A176" s="1">
        <v>44455</v>
      </c>
      <c r="B176">
        <v>59141.16</v>
      </c>
      <c r="C176">
        <f t="shared" si="5"/>
        <v>7.1174595389898098E-3</v>
      </c>
      <c r="D176" s="2">
        <f t="shared" si="6"/>
        <v>7.1174595389898098E-3</v>
      </c>
    </row>
    <row r="177" spans="1:4" x14ac:dyDescent="0.3">
      <c r="A177" s="1">
        <v>44456</v>
      </c>
      <c r="B177">
        <v>59015.89</v>
      </c>
      <c r="C177">
        <f t="shared" si="5"/>
        <v>-2.1181525692090595E-3</v>
      </c>
      <c r="D177" s="2">
        <f t="shared" si="6"/>
        <v>-2.1181525692090595E-3</v>
      </c>
    </row>
    <row r="178" spans="1:4" x14ac:dyDescent="0.3">
      <c r="A178" s="1">
        <v>44459</v>
      </c>
      <c r="B178">
        <v>58490.93</v>
      </c>
      <c r="C178">
        <f t="shared" si="5"/>
        <v>-8.8952314368214921E-3</v>
      </c>
      <c r="D178" s="2">
        <f t="shared" si="6"/>
        <v>-8.8952314368214921E-3</v>
      </c>
    </row>
    <row r="179" spans="1:4" x14ac:dyDescent="0.3">
      <c r="A179" s="1">
        <v>44460</v>
      </c>
      <c r="B179">
        <v>59005.27</v>
      </c>
      <c r="C179">
        <f t="shared" si="5"/>
        <v>8.7935001204459649E-3</v>
      </c>
      <c r="D179" s="2">
        <f t="shared" si="6"/>
        <v>8.7935001204459649E-3</v>
      </c>
    </row>
    <row r="180" spans="1:4" x14ac:dyDescent="0.3">
      <c r="A180" s="1">
        <v>44461</v>
      </c>
      <c r="B180">
        <v>58927.33</v>
      </c>
      <c r="C180">
        <f t="shared" si="5"/>
        <v>-1.3208989637704404E-3</v>
      </c>
      <c r="D180" s="2">
        <f t="shared" si="6"/>
        <v>-1.3208989637704404E-3</v>
      </c>
    </row>
    <row r="181" spans="1:4" x14ac:dyDescent="0.3">
      <c r="A181" s="1">
        <v>44462</v>
      </c>
      <c r="B181">
        <v>59885.36</v>
      </c>
      <c r="C181">
        <f t="shared" si="5"/>
        <v>1.6257821285980526E-2</v>
      </c>
      <c r="D181" s="2">
        <f t="shared" si="6"/>
        <v>1.6257821285980526E-2</v>
      </c>
    </row>
    <row r="182" spans="1:4" x14ac:dyDescent="0.3">
      <c r="A182" s="1">
        <v>44463</v>
      </c>
      <c r="B182">
        <v>60048.47</v>
      </c>
      <c r="C182">
        <f t="shared" si="5"/>
        <v>2.723704090615813E-3</v>
      </c>
      <c r="D182" s="2">
        <f t="shared" si="6"/>
        <v>2.723704090615813E-3</v>
      </c>
    </row>
    <row r="183" spans="1:4" x14ac:dyDescent="0.3">
      <c r="A183" s="1">
        <v>44466</v>
      </c>
      <c r="B183">
        <v>60077.88</v>
      </c>
      <c r="C183">
        <f t="shared" si="5"/>
        <v>4.8977101331634625E-4</v>
      </c>
      <c r="D183" s="2">
        <f t="shared" si="6"/>
        <v>4.8977101331634625E-4</v>
      </c>
    </row>
    <row r="184" spans="1:4" x14ac:dyDescent="0.3">
      <c r="A184" s="1">
        <v>44467</v>
      </c>
      <c r="B184">
        <v>59667.6</v>
      </c>
      <c r="C184">
        <f t="shared" si="5"/>
        <v>-6.8291357817552622E-3</v>
      </c>
      <c r="D184" s="2">
        <f t="shared" si="6"/>
        <v>-6.8291357817552622E-3</v>
      </c>
    </row>
    <row r="185" spans="1:4" x14ac:dyDescent="0.3">
      <c r="A185" s="1">
        <v>44468</v>
      </c>
      <c r="B185">
        <v>59413.27</v>
      </c>
      <c r="C185">
        <f t="shared" si="5"/>
        <v>-4.2624472913273155E-3</v>
      </c>
      <c r="D185" s="2">
        <f t="shared" si="6"/>
        <v>-4.2624472913273155E-3</v>
      </c>
    </row>
    <row r="186" spans="1:4" x14ac:dyDescent="0.3">
      <c r="A186" s="1">
        <v>44469</v>
      </c>
      <c r="B186">
        <v>59126.36</v>
      </c>
      <c r="C186">
        <f t="shared" si="5"/>
        <v>-4.8290558658023071E-3</v>
      </c>
      <c r="D186" s="2">
        <f t="shared" si="6"/>
        <v>-4.8290558658023071E-3</v>
      </c>
    </row>
    <row r="187" spans="1:4" x14ac:dyDescent="0.3">
      <c r="A187" s="1">
        <v>44470</v>
      </c>
      <c r="B187">
        <v>58765.58</v>
      </c>
      <c r="C187">
        <f t="shared" si="5"/>
        <v>-6.1018469596301689E-3</v>
      </c>
      <c r="D187" s="2">
        <f t="shared" si="6"/>
        <v>-6.1018469596301689E-3</v>
      </c>
    </row>
    <row r="188" spans="1:4" x14ac:dyDescent="0.3">
      <c r="A188" s="1">
        <v>44473</v>
      </c>
      <c r="B188">
        <v>59299.32</v>
      </c>
      <c r="C188">
        <f t="shared" si="5"/>
        <v>9.0825275612016077E-3</v>
      </c>
      <c r="D188" s="2">
        <f t="shared" si="6"/>
        <v>9.0825275612016077E-3</v>
      </c>
    </row>
    <row r="189" spans="1:4" x14ac:dyDescent="0.3">
      <c r="A189" s="1">
        <v>44474</v>
      </c>
      <c r="B189">
        <v>59744.88</v>
      </c>
      <c r="C189">
        <f t="shared" si="5"/>
        <v>7.5137455201846779E-3</v>
      </c>
      <c r="D189" s="2">
        <f t="shared" si="6"/>
        <v>7.5137455201846779E-3</v>
      </c>
    </row>
    <row r="190" spans="1:4" x14ac:dyDescent="0.3">
      <c r="A190" s="1">
        <v>44475</v>
      </c>
      <c r="B190">
        <v>59189.73</v>
      </c>
      <c r="C190">
        <f t="shared" si="5"/>
        <v>-9.2920096249250843E-3</v>
      </c>
      <c r="D190" s="2">
        <f t="shared" si="6"/>
        <v>-9.2920096249250843E-3</v>
      </c>
    </row>
    <row r="191" spans="1:4" x14ac:dyDescent="0.3">
      <c r="A191" s="1">
        <v>44476</v>
      </c>
      <c r="B191">
        <v>59677.83</v>
      </c>
      <c r="C191">
        <f t="shared" si="5"/>
        <v>8.2463630092585068E-3</v>
      </c>
      <c r="D191" s="2">
        <f t="shared" si="6"/>
        <v>8.2463630092585068E-3</v>
      </c>
    </row>
    <row r="192" spans="1:4" x14ac:dyDescent="0.3">
      <c r="A192" s="1">
        <v>44477</v>
      </c>
      <c r="B192">
        <v>60059.06</v>
      </c>
      <c r="C192">
        <f t="shared" si="5"/>
        <v>6.3881344211074017E-3</v>
      </c>
      <c r="D192" s="2">
        <f t="shared" si="6"/>
        <v>6.3881344211074017E-3</v>
      </c>
    </row>
    <row r="193" spans="1:4" x14ac:dyDescent="0.3">
      <c r="A193" s="1">
        <v>44480</v>
      </c>
      <c r="B193">
        <v>60135.78</v>
      </c>
      <c r="C193">
        <f t="shared" si="5"/>
        <v>1.2774092701417765E-3</v>
      </c>
      <c r="D193" s="2">
        <f t="shared" si="6"/>
        <v>1.2774092701417765E-3</v>
      </c>
    </row>
    <row r="194" spans="1:4" x14ac:dyDescent="0.3">
      <c r="A194" s="1">
        <v>44481</v>
      </c>
      <c r="B194">
        <v>60284.31</v>
      </c>
      <c r="C194">
        <f t="shared" si="5"/>
        <v>2.4699105923295388E-3</v>
      </c>
      <c r="D194" s="2">
        <f t="shared" si="6"/>
        <v>2.4699105923295388E-3</v>
      </c>
    </row>
    <row r="195" spans="1:4" x14ac:dyDescent="0.3">
      <c r="A195" s="1">
        <v>44482</v>
      </c>
      <c r="B195">
        <v>60737.05</v>
      </c>
      <c r="C195">
        <f t="shared" si="5"/>
        <v>7.5100801518671323E-3</v>
      </c>
      <c r="D195" s="2">
        <f t="shared" si="6"/>
        <v>7.5100801518671323E-3</v>
      </c>
    </row>
    <row r="196" spans="1:4" x14ac:dyDescent="0.3">
      <c r="A196" s="1">
        <v>44483</v>
      </c>
      <c r="B196">
        <v>61305.95</v>
      </c>
      <c r="C196">
        <f t="shared" ref="C196:C259" si="7">(B196-B195)/B195</f>
        <v>9.3666057208902E-3</v>
      </c>
      <c r="D196" s="2">
        <f t="shared" ref="D196:D259" si="8">(B196-B195)/B195</f>
        <v>9.3666057208902E-3</v>
      </c>
    </row>
    <row r="197" spans="1:4" x14ac:dyDescent="0.3">
      <c r="A197" s="1">
        <v>44487</v>
      </c>
      <c r="B197">
        <v>61765.59</v>
      </c>
      <c r="C197">
        <f t="shared" si="7"/>
        <v>7.4974778141436429E-3</v>
      </c>
      <c r="D197" s="2">
        <f t="shared" si="8"/>
        <v>7.4974778141436429E-3</v>
      </c>
    </row>
    <row r="198" spans="1:4" x14ac:dyDescent="0.3">
      <c r="A198" s="1">
        <v>44488</v>
      </c>
      <c r="B198">
        <v>61716.05</v>
      </c>
      <c r="C198">
        <f t="shared" si="7"/>
        <v>-8.0206470949267382E-4</v>
      </c>
      <c r="D198" s="2">
        <f t="shared" si="8"/>
        <v>-8.0206470949267382E-4</v>
      </c>
    </row>
    <row r="199" spans="1:4" x14ac:dyDescent="0.3">
      <c r="A199" s="1">
        <v>44489</v>
      </c>
      <c r="B199">
        <v>61259.96</v>
      </c>
      <c r="C199">
        <f t="shared" si="7"/>
        <v>-7.3901359532893597E-3</v>
      </c>
      <c r="D199" s="2">
        <f t="shared" si="8"/>
        <v>-7.3901359532893597E-3</v>
      </c>
    </row>
    <row r="200" spans="1:4" x14ac:dyDescent="0.3">
      <c r="A200" s="1">
        <v>44490</v>
      </c>
      <c r="B200">
        <v>60923.5</v>
      </c>
      <c r="C200">
        <f t="shared" si="7"/>
        <v>-5.4923313694621922E-3</v>
      </c>
      <c r="D200" s="2">
        <f t="shared" si="8"/>
        <v>-5.4923313694621922E-3</v>
      </c>
    </row>
    <row r="201" spans="1:4" x14ac:dyDescent="0.3">
      <c r="A201" s="1">
        <v>44491</v>
      </c>
      <c r="B201">
        <v>60821.62</v>
      </c>
      <c r="C201">
        <f t="shared" si="7"/>
        <v>-1.6722611143482791E-3</v>
      </c>
      <c r="D201" s="2">
        <f t="shared" si="8"/>
        <v>-1.6722611143482791E-3</v>
      </c>
    </row>
    <row r="202" spans="1:4" x14ac:dyDescent="0.3">
      <c r="A202" s="1">
        <v>44494</v>
      </c>
      <c r="B202">
        <v>60967.05</v>
      </c>
      <c r="C202">
        <f t="shared" si="7"/>
        <v>2.3910905365559201E-3</v>
      </c>
      <c r="D202" s="2">
        <f t="shared" si="8"/>
        <v>2.3910905365559201E-3</v>
      </c>
    </row>
    <row r="203" spans="1:4" x14ac:dyDescent="0.3">
      <c r="A203" s="1">
        <v>44495</v>
      </c>
      <c r="B203">
        <v>61350.26</v>
      </c>
      <c r="C203">
        <f t="shared" si="7"/>
        <v>6.2855263621907093E-3</v>
      </c>
      <c r="D203" s="2">
        <f t="shared" si="8"/>
        <v>6.2855263621907093E-3</v>
      </c>
    </row>
    <row r="204" spans="1:4" x14ac:dyDescent="0.3">
      <c r="A204" s="1">
        <v>44496</v>
      </c>
      <c r="B204">
        <v>61143.33</v>
      </c>
      <c r="C204">
        <f t="shared" si="7"/>
        <v>-3.3729278408926103E-3</v>
      </c>
      <c r="D204" s="2">
        <f t="shared" si="8"/>
        <v>-3.3729278408926103E-3</v>
      </c>
    </row>
    <row r="205" spans="1:4" x14ac:dyDescent="0.3">
      <c r="A205" s="1">
        <v>44497</v>
      </c>
      <c r="B205">
        <v>59984.7</v>
      </c>
      <c r="C205">
        <f t="shared" si="7"/>
        <v>-1.8949409526762849E-2</v>
      </c>
      <c r="D205" s="2">
        <f t="shared" si="8"/>
        <v>-1.8949409526762849E-2</v>
      </c>
    </row>
    <row r="206" spans="1:4" x14ac:dyDescent="0.3">
      <c r="A206" s="1">
        <v>44498</v>
      </c>
      <c r="B206">
        <v>59306.93</v>
      </c>
      <c r="C206">
        <f t="shared" si="7"/>
        <v>-1.1299047923887206E-2</v>
      </c>
      <c r="D206" s="2">
        <f t="shared" si="8"/>
        <v>-1.1299047923887206E-2</v>
      </c>
    </row>
    <row r="207" spans="1:4" x14ac:dyDescent="0.3">
      <c r="A207" s="1">
        <v>44501</v>
      </c>
      <c r="B207">
        <v>60138.46</v>
      </c>
      <c r="C207">
        <f t="shared" si="7"/>
        <v>1.4020789813264637E-2</v>
      </c>
      <c r="D207" s="2">
        <f t="shared" si="8"/>
        <v>1.4020789813264637E-2</v>
      </c>
    </row>
    <row r="208" spans="1:4" x14ac:dyDescent="0.3">
      <c r="A208" s="1">
        <v>44502</v>
      </c>
      <c r="B208">
        <v>60029.06</v>
      </c>
      <c r="C208">
        <f t="shared" si="7"/>
        <v>-1.8191353752657028E-3</v>
      </c>
      <c r="D208" s="2">
        <f t="shared" si="8"/>
        <v>-1.8191353752657028E-3</v>
      </c>
    </row>
    <row r="209" spans="1:4" x14ac:dyDescent="0.3">
      <c r="A209" s="1">
        <v>44503</v>
      </c>
      <c r="B209">
        <v>59771.92</v>
      </c>
      <c r="C209">
        <f t="shared" si="7"/>
        <v>-4.283591980284206E-3</v>
      </c>
      <c r="D209" s="2">
        <f t="shared" si="8"/>
        <v>-4.283591980284206E-3</v>
      </c>
    </row>
    <row r="210" spans="1:4" x14ac:dyDescent="0.3">
      <c r="A210" s="1">
        <v>44504</v>
      </c>
      <c r="B210">
        <v>60067.62</v>
      </c>
      <c r="C210">
        <f t="shared" si="7"/>
        <v>4.9471390579389849E-3</v>
      </c>
      <c r="D210" s="2">
        <f t="shared" si="8"/>
        <v>4.9471390579389849E-3</v>
      </c>
    </row>
    <row r="211" spans="1:4" x14ac:dyDescent="0.3">
      <c r="A211" s="1">
        <v>44508</v>
      </c>
      <c r="B211">
        <v>60545.61</v>
      </c>
      <c r="C211">
        <f t="shared" si="7"/>
        <v>7.9575318615919509E-3</v>
      </c>
      <c r="D211" s="2">
        <f t="shared" si="8"/>
        <v>7.9575318615919509E-3</v>
      </c>
    </row>
    <row r="212" spans="1:4" x14ac:dyDescent="0.3">
      <c r="A212" s="1">
        <v>44509</v>
      </c>
      <c r="B212">
        <v>60433.45</v>
      </c>
      <c r="C212">
        <f t="shared" si="7"/>
        <v>-1.8524877361051197E-3</v>
      </c>
      <c r="D212" s="2">
        <f t="shared" si="8"/>
        <v>-1.8524877361051197E-3</v>
      </c>
    </row>
    <row r="213" spans="1:4" x14ac:dyDescent="0.3">
      <c r="A213" s="1">
        <v>44510</v>
      </c>
      <c r="B213">
        <v>60352.82</v>
      </c>
      <c r="C213">
        <f t="shared" si="7"/>
        <v>-1.3341948871030429E-3</v>
      </c>
      <c r="D213" s="2">
        <f t="shared" si="8"/>
        <v>-1.3341948871030429E-3</v>
      </c>
    </row>
    <row r="214" spans="1:4" x14ac:dyDescent="0.3">
      <c r="A214" s="1">
        <v>44511</v>
      </c>
      <c r="B214">
        <v>59919.69</v>
      </c>
      <c r="C214">
        <f t="shared" si="7"/>
        <v>-7.1766323429459863E-3</v>
      </c>
      <c r="D214" s="2">
        <f t="shared" si="8"/>
        <v>-7.1766323429459863E-3</v>
      </c>
    </row>
    <row r="215" spans="1:4" x14ac:dyDescent="0.3">
      <c r="A215" s="1">
        <v>44512</v>
      </c>
      <c r="B215">
        <v>60686.69</v>
      </c>
      <c r="C215">
        <f t="shared" si="7"/>
        <v>1.2800466758089034E-2</v>
      </c>
      <c r="D215" s="2">
        <f t="shared" si="8"/>
        <v>1.2800466758089034E-2</v>
      </c>
    </row>
    <row r="216" spans="1:4" x14ac:dyDescent="0.3">
      <c r="A216" s="1">
        <v>44515</v>
      </c>
      <c r="B216">
        <v>60718.71</v>
      </c>
      <c r="C216">
        <f t="shared" si="7"/>
        <v>5.2762805155457976E-4</v>
      </c>
      <c r="D216" s="2">
        <f t="shared" si="8"/>
        <v>5.2762805155457976E-4</v>
      </c>
    </row>
    <row r="217" spans="1:4" x14ac:dyDescent="0.3">
      <c r="A217" s="1">
        <v>44516</v>
      </c>
      <c r="B217">
        <v>60322.37</v>
      </c>
      <c r="C217">
        <f t="shared" si="7"/>
        <v>-6.527477280067322E-3</v>
      </c>
      <c r="D217" s="2">
        <f t="shared" si="8"/>
        <v>-6.527477280067322E-3</v>
      </c>
    </row>
    <row r="218" spans="1:4" x14ac:dyDescent="0.3">
      <c r="A218" s="1">
        <v>44517</v>
      </c>
      <c r="B218">
        <v>60008.33</v>
      </c>
      <c r="C218">
        <f t="shared" si="7"/>
        <v>-5.2060288745286506E-3</v>
      </c>
      <c r="D218" s="2">
        <f t="shared" si="8"/>
        <v>-5.2060288745286506E-3</v>
      </c>
    </row>
    <row r="219" spans="1:4" x14ac:dyDescent="0.3">
      <c r="A219" s="1">
        <v>44518</v>
      </c>
      <c r="B219">
        <v>59636.01</v>
      </c>
      <c r="C219">
        <f t="shared" si="7"/>
        <v>-6.2044719458115181E-3</v>
      </c>
      <c r="D219" s="2">
        <f t="shared" si="8"/>
        <v>-6.2044719458115181E-3</v>
      </c>
    </row>
    <row r="220" spans="1:4" x14ac:dyDescent="0.3">
      <c r="A220" s="1">
        <v>44522</v>
      </c>
      <c r="B220">
        <v>58465.89</v>
      </c>
      <c r="C220">
        <f t="shared" si="7"/>
        <v>-1.9621030984467314E-2</v>
      </c>
      <c r="D220" s="2">
        <f t="shared" si="8"/>
        <v>-1.9621030984467314E-2</v>
      </c>
    </row>
    <row r="221" spans="1:4" x14ac:dyDescent="0.3">
      <c r="A221" s="1">
        <v>44523</v>
      </c>
      <c r="B221">
        <v>58664.33</v>
      </c>
      <c r="C221">
        <f t="shared" si="7"/>
        <v>3.3941157827239495E-3</v>
      </c>
      <c r="D221" s="2">
        <f t="shared" si="8"/>
        <v>3.3941157827239495E-3</v>
      </c>
    </row>
    <row r="222" spans="1:4" x14ac:dyDescent="0.3">
      <c r="A222" s="1">
        <v>44524</v>
      </c>
      <c r="B222">
        <v>58340.99</v>
      </c>
      <c r="C222">
        <f t="shared" si="7"/>
        <v>-5.511696801105608E-3</v>
      </c>
      <c r="D222" s="2">
        <f t="shared" si="8"/>
        <v>-5.511696801105608E-3</v>
      </c>
    </row>
    <row r="223" spans="1:4" x14ac:dyDescent="0.3">
      <c r="A223" s="1">
        <v>44525</v>
      </c>
      <c r="B223">
        <v>58795.09</v>
      </c>
      <c r="C223">
        <f t="shared" si="7"/>
        <v>7.7835497820657237E-3</v>
      </c>
      <c r="D223" s="2">
        <f t="shared" si="8"/>
        <v>7.7835497820657237E-3</v>
      </c>
    </row>
    <row r="224" spans="1:4" x14ac:dyDescent="0.3">
      <c r="A224" s="1">
        <v>44526</v>
      </c>
      <c r="B224">
        <v>57107.15</v>
      </c>
      <c r="C224">
        <f t="shared" si="7"/>
        <v>-2.8708859872482468E-2</v>
      </c>
      <c r="D224" s="2">
        <f t="shared" si="8"/>
        <v>-2.8708859872482468E-2</v>
      </c>
    </row>
    <row r="225" spans="1:4" x14ac:dyDescent="0.3">
      <c r="A225" s="1">
        <v>44529</v>
      </c>
      <c r="B225">
        <v>57260.58</v>
      </c>
      <c r="C225">
        <f t="shared" si="7"/>
        <v>2.6867038540708175E-3</v>
      </c>
      <c r="D225" s="2">
        <f t="shared" si="8"/>
        <v>2.6867038540708175E-3</v>
      </c>
    </row>
    <row r="226" spans="1:4" x14ac:dyDescent="0.3">
      <c r="A226" s="1">
        <v>44530</v>
      </c>
      <c r="B226">
        <v>57064.87</v>
      </c>
      <c r="C226">
        <f t="shared" si="7"/>
        <v>-3.4178836470046079E-3</v>
      </c>
      <c r="D226" s="2">
        <f t="shared" si="8"/>
        <v>-3.4178836470046079E-3</v>
      </c>
    </row>
    <row r="227" spans="1:4" x14ac:dyDescent="0.3">
      <c r="A227" s="1">
        <v>44531</v>
      </c>
      <c r="B227">
        <v>57684.79</v>
      </c>
      <c r="C227">
        <f t="shared" si="7"/>
        <v>1.0863426132399816E-2</v>
      </c>
      <c r="D227" s="2">
        <f t="shared" si="8"/>
        <v>1.0863426132399816E-2</v>
      </c>
    </row>
    <row r="228" spans="1:4" x14ac:dyDescent="0.3">
      <c r="A228" s="1">
        <v>44532</v>
      </c>
      <c r="B228">
        <v>58461.29</v>
      </c>
      <c r="C228">
        <f t="shared" si="7"/>
        <v>1.3461087402762495E-2</v>
      </c>
      <c r="D228" s="2">
        <f t="shared" si="8"/>
        <v>1.3461087402762495E-2</v>
      </c>
    </row>
    <row r="229" spans="1:4" x14ac:dyDescent="0.3">
      <c r="A229" s="1">
        <v>44533</v>
      </c>
      <c r="B229">
        <v>57696.46</v>
      </c>
      <c r="C229">
        <f t="shared" si="7"/>
        <v>-1.3082674022417256E-2</v>
      </c>
      <c r="D229" s="2">
        <f t="shared" si="8"/>
        <v>-1.3082674022417256E-2</v>
      </c>
    </row>
    <row r="230" spans="1:4" x14ac:dyDescent="0.3">
      <c r="A230" s="1">
        <v>44536</v>
      </c>
      <c r="B230">
        <v>56747.14</v>
      </c>
      <c r="C230">
        <f t="shared" si="7"/>
        <v>-1.6453695772669582E-2</v>
      </c>
      <c r="D230" s="2">
        <f t="shared" si="8"/>
        <v>-1.6453695772669582E-2</v>
      </c>
    </row>
    <row r="231" spans="1:4" x14ac:dyDescent="0.3">
      <c r="A231" s="1">
        <v>44537</v>
      </c>
      <c r="B231">
        <v>57633.65</v>
      </c>
      <c r="C231">
        <f t="shared" si="7"/>
        <v>1.5622108885135041E-2</v>
      </c>
      <c r="D231" s="2">
        <f t="shared" si="8"/>
        <v>1.5622108885135041E-2</v>
      </c>
    </row>
    <row r="232" spans="1:4" x14ac:dyDescent="0.3">
      <c r="A232" s="1">
        <v>44538</v>
      </c>
      <c r="B232">
        <v>58649.68</v>
      </c>
      <c r="C232">
        <f t="shared" si="7"/>
        <v>1.7629110771224775E-2</v>
      </c>
      <c r="D232" s="2">
        <f t="shared" si="8"/>
        <v>1.7629110771224775E-2</v>
      </c>
    </row>
    <row r="233" spans="1:4" x14ac:dyDescent="0.3">
      <c r="A233" s="1">
        <v>44539</v>
      </c>
      <c r="B233">
        <v>58807.13</v>
      </c>
      <c r="C233">
        <f t="shared" si="7"/>
        <v>2.6845841273131768E-3</v>
      </c>
      <c r="D233" s="2">
        <f t="shared" si="8"/>
        <v>2.6845841273131768E-3</v>
      </c>
    </row>
    <row r="234" spans="1:4" x14ac:dyDescent="0.3">
      <c r="A234" s="1">
        <v>44540</v>
      </c>
      <c r="B234">
        <v>58786.67</v>
      </c>
      <c r="C234">
        <f t="shared" si="7"/>
        <v>-3.4791699577923845E-4</v>
      </c>
      <c r="D234" s="2">
        <f t="shared" si="8"/>
        <v>-3.4791699577923845E-4</v>
      </c>
    </row>
    <row r="235" spans="1:4" x14ac:dyDescent="0.3">
      <c r="A235" s="1">
        <v>44543</v>
      </c>
      <c r="B235">
        <v>58283.42</v>
      </c>
      <c r="C235">
        <f t="shared" si="7"/>
        <v>-8.5606141664428346E-3</v>
      </c>
      <c r="D235" s="2">
        <f t="shared" si="8"/>
        <v>-8.5606141664428346E-3</v>
      </c>
    </row>
    <row r="236" spans="1:4" x14ac:dyDescent="0.3">
      <c r="A236" s="1">
        <v>44544</v>
      </c>
      <c r="B236">
        <v>58117.09</v>
      </c>
      <c r="C236">
        <f t="shared" si="7"/>
        <v>-2.8538133143182357E-3</v>
      </c>
      <c r="D236" s="2">
        <f t="shared" si="8"/>
        <v>-2.8538133143182357E-3</v>
      </c>
    </row>
    <row r="237" spans="1:4" x14ac:dyDescent="0.3">
      <c r="A237" s="1">
        <v>44545</v>
      </c>
      <c r="B237">
        <v>57788.03</v>
      </c>
      <c r="C237">
        <f t="shared" si="7"/>
        <v>-5.6620178333085447E-3</v>
      </c>
      <c r="D237" s="2">
        <f t="shared" si="8"/>
        <v>-5.6620178333085447E-3</v>
      </c>
    </row>
    <row r="238" spans="1:4" x14ac:dyDescent="0.3">
      <c r="A238" s="1">
        <v>44546</v>
      </c>
      <c r="B238">
        <v>57901.14</v>
      </c>
      <c r="C238">
        <f t="shared" si="7"/>
        <v>1.9573257645225245E-3</v>
      </c>
      <c r="D238" s="2">
        <f t="shared" si="8"/>
        <v>1.9573257645225245E-3</v>
      </c>
    </row>
    <row r="239" spans="1:4" x14ac:dyDescent="0.3">
      <c r="A239" s="1">
        <v>44547</v>
      </c>
      <c r="B239">
        <v>57011.74</v>
      </c>
      <c r="C239">
        <f t="shared" si="7"/>
        <v>-1.536066474684266E-2</v>
      </c>
      <c r="D239" s="2">
        <f t="shared" si="8"/>
        <v>-1.536066474684266E-2</v>
      </c>
    </row>
    <row r="240" spans="1:4" x14ac:dyDescent="0.3">
      <c r="A240" s="1">
        <v>44550</v>
      </c>
      <c r="B240">
        <v>55822.01</v>
      </c>
      <c r="C240">
        <f t="shared" si="7"/>
        <v>-2.0868158032012283E-2</v>
      </c>
      <c r="D240" s="2">
        <f t="shared" si="8"/>
        <v>-2.0868158032012283E-2</v>
      </c>
    </row>
    <row r="241" spans="1:4" x14ac:dyDescent="0.3">
      <c r="A241" s="1">
        <v>44551</v>
      </c>
      <c r="B241">
        <v>56319.01</v>
      </c>
      <c r="C241">
        <f t="shared" si="7"/>
        <v>8.9032981793382218E-3</v>
      </c>
      <c r="D241" s="2">
        <f t="shared" si="8"/>
        <v>8.9032981793382218E-3</v>
      </c>
    </row>
    <row r="242" spans="1:4" x14ac:dyDescent="0.3">
      <c r="A242" s="1">
        <v>44552</v>
      </c>
      <c r="B242">
        <v>56930.559999999998</v>
      </c>
      <c r="C242">
        <f t="shared" si="7"/>
        <v>1.0858678091109833E-2</v>
      </c>
      <c r="D242" s="2">
        <f t="shared" si="8"/>
        <v>1.0858678091109833E-2</v>
      </c>
    </row>
    <row r="243" spans="1:4" x14ac:dyDescent="0.3">
      <c r="A243" s="1">
        <v>44553</v>
      </c>
      <c r="B243">
        <v>57315.28</v>
      </c>
      <c r="C243">
        <f t="shared" si="7"/>
        <v>6.7577062301864095E-3</v>
      </c>
      <c r="D243" s="2">
        <f t="shared" si="8"/>
        <v>6.7577062301864095E-3</v>
      </c>
    </row>
    <row r="244" spans="1:4" x14ac:dyDescent="0.3">
      <c r="A244" s="1">
        <v>44554</v>
      </c>
      <c r="B244">
        <v>57124.31</v>
      </c>
      <c r="C244">
        <f t="shared" si="7"/>
        <v>-3.3319212607877194E-3</v>
      </c>
      <c r="D244" s="2">
        <f t="shared" si="8"/>
        <v>-3.3319212607877194E-3</v>
      </c>
    </row>
    <row r="245" spans="1:4" x14ac:dyDescent="0.3">
      <c r="A245" s="1">
        <v>44557</v>
      </c>
      <c r="B245">
        <v>57420.24</v>
      </c>
      <c r="C245">
        <f t="shared" si="7"/>
        <v>5.1804564466511769E-3</v>
      </c>
      <c r="D245" s="2">
        <f t="shared" si="8"/>
        <v>5.1804564466511769E-3</v>
      </c>
    </row>
    <row r="246" spans="1:4" x14ac:dyDescent="0.3">
      <c r="A246" s="1">
        <v>44558</v>
      </c>
      <c r="B246">
        <v>57897.48</v>
      </c>
      <c r="C246">
        <f t="shared" si="7"/>
        <v>8.3113550204597757E-3</v>
      </c>
      <c r="D246" s="2">
        <f t="shared" si="8"/>
        <v>8.3113550204597757E-3</v>
      </c>
    </row>
    <row r="247" spans="1:4" x14ac:dyDescent="0.3">
      <c r="A247" s="1">
        <v>44559</v>
      </c>
      <c r="B247">
        <v>57806.49</v>
      </c>
      <c r="C247">
        <f t="shared" si="7"/>
        <v>-1.5715709906546059E-3</v>
      </c>
      <c r="D247" s="2">
        <f t="shared" si="8"/>
        <v>-1.5715709906546059E-3</v>
      </c>
    </row>
    <row r="248" spans="1:4" x14ac:dyDescent="0.3">
      <c r="A248" s="1">
        <v>44560</v>
      </c>
      <c r="B248">
        <v>57794.32</v>
      </c>
      <c r="C248">
        <f t="shared" si="7"/>
        <v>-2.1052999412346699E-4</v>
      </c>
      <c r="D248" s="2">
        <f t="shared" si="8"/>
        <v>-2.1052999412346699E-4</v>
      </c>
    </row>
    <row r="249" spans="1:4" x14ac:dyDescent="0.3">
      <c r="A249" s="1">
        <v>44561</v>
      </c>
      <c r="B249">
        <v>58253.82</v>
      </c>
      <c r="C249">
        <f t="shared" si="7"/>
        <v>7.9506082950712119E-3</v>
      </c>
      <c r="D249" s="2">
        <f t="shared" si="8"/>
        <v>7.9506082950712119E-3</v>
      </c>
    </row>
    <row r="250" spans="1:4" x14ac:dyDescent="0.3">
      <c r="A250" s="1">
        <v>44564</v>
      </c>
      <c r="B250">
        <v>59183.22</v>
      </c>
      <c r="C250">
        <f t="shared" si="7"/>
        <v>1.5954318532243918E-2</v>
      </c>
      <c r="D250" s="2">
        <f t="shared" si="8"/>
        <v>1.5954318532243918E-2</v>
      </c>
    </row>
    <row r="251" spans="1:4" x14ac:dyDescent="0.3">
      <c r="A251" s="1">
        <v>44565</v>
      </c>
      <c r="B251">
        <v>59855.93</v>
      </c>
      <c r="C251">
        <f t="shared" si="7"/>
        <v>1.1366566401760484E-2</v>
      </c>
      <c r="D251" s="2">
        <f t="shared" si="8"/>
        <v>1.1366566401760484E-2</v>
      </c>
    </row>
    <row r="252" spans="1:4" x14ac:dyDescent="0.3">
      <c r="A252" s="1">
        <v>44566</v>
      </c>
      <c r="B252">
        <v>60223.15</v>
      </c>
      <c r="C252">
        <f t="shared" si="7"/>
        <v>6.1350646460593154E-3</v>
      </c>
      <c r="D252" s="2">
        <f t="shared" si="8"/>
        <v>6.1350646460593154E-3</v>
      </c>
    </row>
    <row r="253" spans="1:4" x14ac:dyDescent="0.3">
      <c r="A253" s="1">
        <v>44567</v>
      </c>
      <c r="B253">
        <v>59601.84</v>
      </c>
      <c r="C253">
        <f t="shared" si="7"/>
        <v>-1.0316796779975889E-2</v>
      </c>
      <c r="D253" s="2">
        <f t="shared" si="8"/>
        <v>-1.0316796779975889E-2</v>
      </c>
    </row>
    <row r="254" spans="1:4" x14ac:dyDescent="0.3">
      <c r="A254" s="1">
        <v>44568</v>
      </c>
      <c r="B254">
        <v>59744.65</v>
      </c>
      <c r="C254">
        <f t="shared" si="7"/>
        <v>2.3960669670601603E-3</v>
      </c>
      <c r="D254" s="2">
        <f t="shared" si="8"/>
        <v>2.3960669670601603E-3</v>
      </c>
    </row>
    <row r="255" spans="1:4" x14ac:dyDescent="0.3">
      <c r="A255" s="1">
        <v>44571</v>
      </c>
      <c r="B255">
        <v>60395.63</v>
      </c>
      <c r="C255">
        <f t="shared" si="7"/>
        <v>1.0896038390048246E-2</v>
      </c>
      <c r="D255" s="2">
        <f t="shared" si="8"/>
        <v>1.0896038390048246E-2</v>
      </c>
    </row>
    <row r="256" spans="1:4" x14ac:dyDescent="0.3">
      <c r="A256" s="1">
        <v>44572</v>
      </c>
      <c r="B256">
        <v>60616.89</v>
      </c>
      <c r="C256">
        <f t="shared" si="7"/>
        <v>3.6635100917070001E-3</v>
      </c>
      <c r="D256" s="2">
        <f t="shared" si="8"/>
        <v>3.6635100917070001E-3</v>
      </c>
    </row>
    <row r="257" spans="1:4" x14ac:dyDescent="0.3">
      <c r="A257" s="1">
        <v>44573</v>
      </c>
      <c r="B257">
        <v>61150.04</v>
      </c>
      <c r="C257">
        <f t="shared" si="7"/>
        <v>8.7954033933446835E-3</v>
      </c>
      <c r="D257" s="2">
        <f t="shared" si="8"/>
        <v>8.7954033933446835E-3</v>
      </c>
    </row>
    <row r="258" spans="1:4" x14ac:dyDescent="0.3">
      <c r="A258" s="1">
        <v>44574</v>
      </c>
      <c r="B258">
        <v>61235.3</v>
      </c>
      <c r="C258">
        <f t="shared" si="7"/>
        <v>1.3942754575467496E-3</v>
      </c>
      <c r="D258" s="2">
        <f t="shared" si="8"/>
        <v>1.3942754575467496E-3</v>
      </c>
    </row>
    <row r="259" spans="1:4" x14ac:dyDescent="0.3">
      <c r="A259" s="1">
        <v>44575</v>
      </c>
      <c r="B259">
        <v>61223.03</v>
      </c>
      <c r="C259">
        <f t="shared" si="7"/>
        <v>-2.0037462052123652E-4</v>
      </c>
      <c r="D259" s="2">
        <f t="shared" si="8"/>
        <v>-2.0037462052123652E-4</v>
      </c>
    </row>
    <row r="260" spans="1:4" x14ac:dyDescent="0.3">
      <c r="A260" s="1">
        <v>44578</v>
      </c>
      <c r="B260">
        <v>61308.91</v>
      </c>
      <c r="C260">
        <f t="shared" ref="C260:C323" si="9">(B260-B259)/B259</f>
        <v>1.4027401126668292E-3</v>
      </c>
      <c r="D260" s="2">
        <f t="shared" ref="D260:D323" si="10">(B260-B259)/B259</f>
        <v>1.4027401126668292E-3</v>
      </c>
    </row>
    <row r="261" spans="1:4" x14ac:dyDescent="0.3">
      <c r="A261" s="1">
        <v>44579</v>
      </c>
      <c r="B261">
        <v>60754.86</v>
      </c>
      <c r="C261">
        <f t="shared" si="9"/>
        <v>-9.0370225143458407E-3</v>
      </c>
      <c r="D261" s="2">
        <f t="shared" si="10"/>
        <v>-9.0370225143458407E-3</v>
      </c>
    </row>
    <row r="262" spans="1:4" x14ac:dyDescent="0.3">
      <c r="A262" s="1">
        <v>44580</v>
      </c>
      <c r="B262">
        <v>60098.82</v>
      </c>
      <c r="C262">
        <f t="shared" si="9"/>
        <v>-1.0798148493799523E-2</v>
      </c>
      <c r="D262" s="2">
        <f t="shared" si="10"/>
        <v>-1.0798148493799523E-2</v>
      </c>
    </row>
    <row r="263" spans="1:4" x14ac:dyDescent="0.3">
      <c r="A263" s="1">
        <v>44581</v>
      </c>
      <c r="B263">
        <v>59464.62</v>
      </c>
      <c r="C263">
        <f t="shared" si="9"/>
        <v>-1.0552619835131489E-2</v>
      </c>
      <c r="D263" s="2">
        <f t="shared" si="10"/>
        <v>-1.0552619835131489E-2</v>
      </c>
    </row>
    <row r="264" spans="1:4" x14ac:dyDescent="0.3">
      <c r="A264" s="1">
        <v>44582</v>
      </c>
      <c r="B264">
        <v>59037.18</v>
      </c>
      <c r="C264">
        <f t="shared" si="9"/>
        <v>-7.1881397711782624E-3</v>
      </c>
      <c r="D264" s="2">
        <f t="shared" si="10"/>
        <v>-7.1881397711782624E-3</v>
      </c>
    </row>
    <row r="265" spans="1:4" x14ac:dyDescent="0.3">
      <c r="A265" s="1">
        <v>44585</v>
      </c>
      <c r="B265">
        <v>57491.51</v>
      </c>
      <c r="C265">
        <f t="shared" si="9"/>
        <v>-2.6181297954949716E-2</v>
      </c>
      <c r="D265" s="2">
        <f t="shared" si="10"/>
        <v>-2.6181297954949716E-2</v>
      </c>
    </row>
    <row r="266" spans="1:4" x14ac:dyDescent="0.3">
      <c r="A266" s="1">
        <v>44586</v>
      </c>
      <c r="B266">
        <v>57858.15</v>
      </c>
      <c r="C266">
        <f t="shared" si="9"/>
        <v>6.3772894467374296E-3</v>
      </c>
      <c r="D266" s="2">
        <f t="shared" si="10"/>
        <v>6.3772894467374296E-3</v>
      </c>
    </row>
    <row r="267" spans="1:4" x14ac:dyDescent="0.3">
      <c r="A267" s="1">
        <v>44588</v>
      </c>
      <c r="B267">
        <v>57276.94</v>
      </c>
      <c r="C267">
        <f t="shared" si="9"/>
        <v>-1.004543007337772E-2</v>
      </c>
      <c r="D267" s="2">
        <f t="shared" si="10"/>
        <v>-1.004543007337772E-2</v>
      </c>
    </row>
    <row r="268" spans="1:4" x14ac:dyDescent="0.3">
      <c r="A268" s="1">
        <v>44589</v>
      </c>
      <c r="B268">
        <v>57200.23</v>
      </c>
      <c r="C268">
        <f t="shared" si="9"/>
        <v>-1.3392824407169642E-3</v>
      </c>
      <c r="D268" s="2">
        <f t="shared" si="10"/>
        <v>-1.3392824407169642E-3</v>
      </c>
    </row>
    <row r="269" spans="1:4" x14ac:dyDescent="0.3">
      <c r="A269" s="1">
        <v>44592</v>
      </c>
      <c r="B269">
        <v>58014.17</v>
      </c>
      <c r="C269">
        <f t="shared" si="9"/>
        <v>1.4229663062543542E-2</v>
      </c>
      <c r="D269" s="2">
        <f t="shared" si="10"/>
        <v>1.4229663062543542E-2</v>
      </c>
    </row>
    <row r="270" spans="1:4" x14ac:dyDescent="0.3">
      <c r="A270" s="1">
        <v>44593</v>
      </c>
      <c r="B270">
        <v>58862.57</v>
      </c>
      <c r="C270">
        <f t="shared" si="9"/>
        <v>1.4624013409137828E-2</v>
      </c>
      <c r="D270" s="2">
        <f t="shared" si="10"/>
        <v>1.4624013409137828E-2</v>
      </c>
    </row>
    <row r="271" spans="1:4" x14ac:dyDescent="0.3">
      <c r="A271" s="1">
        <v>44594</v>
      </c>
      <c r="B271">
        <v>59558.33</v>
      </c>
      <c r="C271">
        <f t="shared" si="9"/>
        <v>1.1820075134334128E-2</v>
      </c>
      <c r="D271" s="2">
        <f t="shared" si="10"/>
        <v>1.1820075134334128E-2</v>
      </c>
    </row>
    <row r="272" spans="1:4" x14ac:dyDescent="0.3">
      <c r="A272" s="1">
        <v>44595</v>
      </c>
      <c r="B272">
        <v>58788.02</v>
      </c>
      <c r="C272">
        <f t="shared" si="9"/>
        <v>-1.2933707174126691E-2</v>
      </c>
      <c r="D272" s="2">
        <f t="shared" si="10"/>
        <v>-1.2933707174126691E-2</v>
      </c>
    </row>
    <row r="273" spans="1:4" x14ac:dyDescent="0.3">
      <c r="A273" s="1">
        <v>44596</v>
      </c>
      <c r="B273">
        <v>58644.82</v>
      </c>
      <c r="C273">
        <f t="shared" si="9"/>
        <v>-2.4358704375482812E-3</v>
      </c>
      <c r="D273" s="2">
        <f t="shared" si="10"/>
        <v>-2.4358704375482812E-3</v>
      </c>
    </row>
    <row r="274" spans="1:4" x14ac:dyDescent="0.3">
      <c r="A274" s="1">
        <v>44599</v>
      </c>
      <c r="B274">
        <v>57621.19</v>
      </c>
      <c r="C274">
        <f t="shared" si="9"/>
        <v>-1.7454738542977834E-2</v>
      </c>
      <c r="D274" s="2">
        <f t="shared" si="10"/>
        <v>-1.7454738542977834E-2</v>
      </c>
    </row>
    <row r="275" spans="1:4" x14ac:dyDescent="0.3">
      <c r="A275" s="1">
        <v>44600</v>
      </c>
      <c r="B275">
        <v>57808.58</v>
      </c>
      <c r="C275">
        <f t="shared" si="9"/>
        <v>3.252102221422352E-3</v>
      </c>
      <c r="D275" s="2">
        <f t="shared" si="10"/>
        <v>3.252102221422352E-3</v>
      </c>
    </row>
    <row r="276" spans="1:4" x14ac:dyDescent="0.3">
      <c r="A276" s="1">
        <v>44601</v>
      </c>
      <c r="B276">
        <v>58465.97</v>
      </c>
      <c r="C276">
        <f t="shared" si="9"/>
        <v>1.1371841342582699E-2</v>
      </c>
      <c r="D276" s="2">
        <f t="shared" si="10"/>
        <v>1.1371841342582699E-2</v>
      </c>
    </row>
    <row r="277" spans="1:4" x14ac:dyDescent="0.3">
      <c r="A277" s="1">
        <v>44602</v>
      </c>
      <c r="B277">
        <v>58926.03</v>
      </c>
      <c r="C277">
        <f t="shared" si="9"/>
        <v>7.8688508888161389E-3</v>
      </c>
      <c r="D277" s="2">
        <f t="shared" si="10"/>
        <v>7.8688508888161389E-3</v>
      </c>
    </row>
    <row r="278" spans="1:4" x14ac:dyDescent="0.3">
      <c r="A278" s="1">
        <v>44603</v>
      </c>
      <c r="B278">
        <v>58152.92</v>
      </c>
      <c r="C278">
        <f t="shared" si="9"/>
        <v>-1.3120008254416607E-2</v>
      </c>
      <c r="D278" s="2">
        <f t="shared" si="10"/>
        <v>-1.3120008254416607E-2</v>
      </c>
    </row>
    <row r="279" spans="1:4" x14ac:dyDescent="0.3">
      <c r="A279" s="1">
        <v>44606</v>
      </c>
      <c r="B279">
        <v>56405.84</v>
      </c>
      <c r="C279">
        <f t="shared" si="9"/>
        <v>-3.0042859412734595E-2</v>
      </c>
      <c r="D279" s="2">
        <f t="shared" si="10"/>
        <v>-3.0042859412734595E-2</v>
      </c>
    </row>
    <row r="280" spans="1:4" x14ac:dyDescent="0.3">
      <c r="A280" s="1">
        <v>44607</v>
      </c>
      <c r="B280">
        <v>58142.05</v>
      </c>
      <c r="C280">
        <f t="shared" si="9"/>
        <v>3.078067802908363E-2</v>
      </c>
      <c r="D280" s="2">
        <f t="shared" si="10"/>
        <v>3.078067802908363E-2</v>
      </c>
    </row>
    <row r="281" spans="1:4" x14ac:dyDescent="0.3">
      <c r="A281" s="1">
        <v>44608</v>
      </c>
      <c r="B281">
        <v>57996.68</v>
      </c>
      <c r="C281">
        <f t="shared" si="9"/>
        <v>-2.5002558389324529E-3</v>
      </c>
      <c r="D281" s="2">
        <f t="shared" si="10"/>
        <v>-2.5002558389324529E-3</v>
      </c>
    </row>
    <row r="282" spans="1:4" x14ac:dyDescent="0.3">
      <c r="A282" s="1">
        <v>44609</v>
      </c>
      <c r="B282">
        <v>57892.01</v>
      </c>
      <c r="C282">
        <f t="shared" si="9"/>
        <v>-1.8047584792784388E-3</v>
      </c>
      <c r="D282" s="2">
        <f t="shared" si="10"/>
        <v>-1.8047584792784388E-3</v>
      </c>
    </row>
    <row r="283" spans="1:4" x14ac:dyDescent="0.3">
      <c r="A283" s="1">
        <v>44610</v>
      </c>
      <c r="B283">
        <v>57832.97</v>
      </c>
      <c r="C283">
        <f t="shared" si="9"/>
        <v>-1.0198298521678704E-3</v>
      </c>
      <c r="D283" s="2">
        <f t="shared" si="10"/>
        <v>-1.0198298521678704E-3</v>
      </c>
    </row>
    <row r="284" spans="1:4" x14ac:dyDescent="0.3">
      <c r="A284" s="1">
        <v>44613</v>
      </c>
      <c r="B284">
        <v>57683.59</v>
      </c>
      <c r="C284">
        <f t="shared" si="9"/>
        <v>-2.5829557084826294E-3</v>
      </c>
      <c r="D284" s="2">
        <f t="shared" si="10"/>
        <v>-2.5829557084826294E-3</v>
      </c>
    </row>
    <row r="285" spans="1:4" x14ac:dyDescent="0.3">
      <c r="A285" s="1">
        <v>44614</v>
      </c>
      <c r="B285">
        <v>57300.68</v>
      </c>
      <c r="C285">
        <f t="shared" si="9"/>
        <v>-6.6381097293007636E-3</v>
      </c>
      <c r="D285" s="2">
        <f t="shared" si="10"/>
        <v>-6.6381097293007636E-3</v>
      </c>
    </row>
    <row r="286" spans="1:4" x14ac:dyDescent="0.3">
      <c r="A286" s="1">
        <v>44615</v>
      </c>
      <c r="B286">
        <v>57232.06</v>
      </c>
      <c r="C286">
        <f t="shared" si="9"/>
        <v>-1.1975425073489985E-3</v>
      </c>
      <c r="D286" s="2">
        <f t="shared" si="10"/>
        <v>-1.1975425073489985E-3</v>
      </c>
    </row>
    <row r="287" spans="1:4" x14ac:dyDescent="0.3">
      <c r="A287" s="1">
        <v>44616</v>
      </c>
      <c r="B287">
        <v>54529.91</v>
      </c>
      <c r="C287">
        <f t="shared" si="9"/>
        <v>-4.7213921707518376E-2</v>
      </c>
      <c r="D287" s="2">
        <f t="shared" si="10"/>
        <v>-4.7213921707518376E-2</v>
      </c>
    </row>
    <row r="288" spans="1:4" x14ac:dyDescent="0.3">
      <c r="A288" s="1">
        <v>44617</v>
      </c>
      <c r="B288">
        <v>55858.52</v>
      </c>
      <c r="C288">
        <f t="shared" si="9"/>
        <v>2.4364793560084606E-2</v>
      </c>
      <c r="D288" s="2">
        <f t="shared" si="10"/>
        <v>2.4364793560084606E-2</v>
      </c>
    </row>
    <row r="289" spans="1:4" x14ac:dyDescent="0.3">
      <c r="A289" s="1">
        <v>44620</v>
      </c>
      <c r="B289">
        <v>56247.28</v>
      </c>
      <c r="C289">
        <f t="shared" si="9"/>
        <v>6.9597261080315423E-3</v>
      </c>
      <c r="D289" s="2">
        <f t="shared" si="10"/>
        <v>6.9597261080315423E-3</v>
      </c>
    </row>
    <row r="290" spans="1:4" x14ac:dyDescent="0.3">
      <c r="A290" s="1">
        <v>44622</v>
      </c>
      <c r="B290">
        <v>55468.9</v>
      </c>
      <c r="C290">
        <f t="shared" si="9"/>
        <v>-1.3838535836755083E-2</v>
      </c>
      <c r="D290" s="2">
        <f t="shared" si="10"/>
        <v>-1.3838535836755083E-2</v>
      </c>
    </row>
    <row r="291" spans="1:4" x14ac:dyDescent="0.3">
      <c r="A291" s="1">
        <v>44623</v>
      </c>
      <c r="B291">
        <v>55102.68</v>
      </c>
      <c r="C291">
        <f t="shared" si="9"/>
        <v>-6.6022582023440371E-3</v>
      </c>
      <c r="D291" s="2">
        <f t="shared" si="10"/>
        <v>-6.6022582023440371E-3</v>
      </c>
    </row>
    <row r="292" spans="1:4" x14ac:dyDescent="0.3">
      <c r="A292" s="1">
        <v>44624</v>
      </c>
      <c r="B292">
        <v>54333.81</v>
      </c>
      <c r="C292">
        <f t="shared" si="9"/>
        <v>-1.3953404807170951E-2</v>
      </c>
      <c r="D292" s="2">
        <f t="shared" si="10"/>
        <v>-1.3953404807170951E-2</v>
      </c>
    </row>
    <row r="293" spans="1:4" x14ac:dyDescent="0.3">
      <c r="A293" s="1">
        <v>44627</v>
      </c>
      <c r="B293">
        <v>52842.75</v>
      </c>
      <c r="C293">
        <f t="shared" si="9"/>
        <v>-2.7442581331955145E-2</v>
      </c>
      <c r="D293" s="2">
        <f t="shared" si="10"/>
        <v>-2.7442581331955145E-2</v>
      </c>
    </row>
    <row r="294" spans="1:4" x14ac:dyDescent="0.3">
      <c r="A294" s="1">
        <v>44628</v>
      </c>
      <c r="B294">
        <v>53424.09</v>
      </c>
      <c r="C294">
        <f t="shared" si="9"/>
        <v>1.1001319954014439E-2</v>
      </c>
      <c r="D294" s="2">
        <f t="shared" si="10"/>
        <v>1.1001319954014439E-2</v>
      </c>
    </row>
    <row r="295" spans="1:4" x14ac:dyDescent="0.3">
      <c r="A295" s="1">
        <v>44629</v>
      </c>
      <c r="B295">
        <v>54647.33</v>
      </c>
      <c r="C295">
        <f t="shared" si="9"/>
        <v>2.2896786824071414E-2</v>
      </c>
      <c r="D295" s="2">
        <f t="shared" si="10"/>
        <v>2.2896786824071414E-2</v>
      </c>
    </row>
    <row r="296" spans="1:4" x14ac:dyDescent="0.3">
      <c r="A296" s="1">
        <v>44630</v>
      </c>
      <c r="B296">
        <v>55464.39</v>
      </c>
      <c r="C296">
        <f t="shared" si="9"/>
        <v>1.4951508152365315E-2</v>
      </c>
      <c r="D296" s="2">
        <f t="shared" si="10"/>
        <v>1.4951508152365315E-2</v>
      </c>
    </row>
    <row r="297" spans="1:4" x14ac:dyDescent="0.3">
      <c r="A297" s="1">
        <v>44631</v>
      </c>
      <c r="B297">
        <v>55550.3</v>
      </c>
      <c r="C297">
        <f t="shared" si="9"/>
        <v>1.5489217496127423E-3</v>
      </c>
      <c r="D297" s="2">
        <f t="shared" si="10"/>
        <v>1.5489217496127423E-3</v>
      </c>
    </row>
    <row r="298" spans="1:4" x14ac:dyDescent="0.3">
      <c r="A298" s="1">
        <v>44634</v>
      </c>
      <c r="B298">
        <v>56486.02</v>
      </c>
      <c r="C298">
        <f t="shared" si="9"/>
        <v>1.6844553494760495E-2</v>
      </c>
      <c r="D298" s="2">
        <f t="shared" si="10"/>
        <v>1.6844553494760495E-2</v>
      </c>
    </row>
    <row r="299" spans="1:4" x14ac:dyDescent="0.3">
      <c r="A299" s="1">
        <v>44635</v>
      </c>
      <c r="B299">
        <v>55776.85</v>
      </c>
      <c r="C299">
        <f t="shared" si="9"/>
        <v>-1.2554787892650222E-2</v>
      </c>
      <c r="D299" s="2">
        <f t="shared" si="10"/>
        <v>-1.2554787892650222E-2</v>
      </c>
    </row>
    <row r="300" spans="1:4" x14ac:dyDescent="0.3">
      <c r="A300" s="1">
        <v>44636</v>
      </c>
      <c r="B300">
        <v>56816.65</v>
      </c>
      <c r="C300">
        <f t="shared" si="9"/>
        <v>1.8642142752772931E-2</v>
      </c>
      <c r="D300" s="2">
        <f t="shared" si="10"/>
        <v>1.8642142752772931E-2</v>
      </c>
    </row>
    <row r="301" spans="1:4" x14ac:dyDescent="0.3">
      <c r="A301" s="1">
        <v>44637</v>
      </c>
      <c r="B301">
        <v>57863.93</v>
      </c>
      <c r="C301">
        <f t="shared" si="9"/>
        <v>1.8432624943568458E-2</v>
      </c>
      <c r="D301" s="2">
        <f t="shared" si="10"/>
        <v>1.8432624943568458E-2</v>
      </c>
    </row>
    <row r="302" spans="1:4" x14ac:dyDescent="0.3">
      <c r="A302" s="1">
        <v>44641</v>
      </c>
      <c r="B302">
        <v>57292.49</v>
      </c>
      <c r="C302">
        <f t="shared" si="9"/>
        <v>-9.8755822495983654E-3</v>
      </c>
      <c r="D302" s="2">
        <f t="shared" si="10"/>
        <v>-9.8755822495983654E-3</v>
      </c>
    </row>
    <row r="303" spans="1:4" x14ac:dyDescent="0.3">
      <c r="A303" s="1">
        <v>44642</v>
      </c>
      <c r="B303">
        <v>57989.3</v>
      </c>
      <c r="C303">
        <f t="shared" si="9"/>
        <v>1.2162327034485759E-2</v>
      </c>
      <c r="D303" s="2">
        <f t="shared" si="10"/>
        <v>1.2162327034485759E-2</v>
      </c>
    </row>
    <row r="304" spans="1:4" x14ac:dyDescent="0.3">
      <c r="A304" s="1">
        <v>44643</v>
      </c>
      <c r="B304">
        <v>57684.82</v>
      </c>
      <c r="C304">
        <f t="shared" si="9"/>
        <v>-5.250623821981007E-3</v>
      </c>
      <c r="D304" s="2">
        <f t="shared" si="10"/>
        <v>-5.250623821981007E-3</v>
      </c>
    </row>
    <row r="305" spans="1:4" x14ac:dyDescent="0.3">
      <c r="A305" s="1">
        <v>44644</v>
      </c>
      <c r="B305">
        <v>57595.68</v>
      </c>
      <c r="C305">
        <f t="shared" si="9"/>
        <v>-1.5452938918765703E-3</v>
      </c>
      <c r="D305" s="2">
        <f t="shared" si="10"/>
        <v>-1.5452938918765703E-3</v>
      </c>
    </row>
    <row r="306" spans="1:4" x14ac:dyDescent="0.3">
      <c r="A306" s="1">
        <v>44645</v>
      </c>
      <c r="B306">
        <v>57362.2</v>
      </c>
      <c r="C306">
        <f t="shared" si="9"/>
        <v>-4.0537762554414356E-3</v>
      </c>
      <c r="D306" s="2">
        <f t="shared" si="10"/>
        <v>-4.0537762554414356E-3</v>
      </c>
    </row>
    <row r="307" spans="1:4" x14ac:dyDescent="0.3">
      <c r="A307" s="1">
        <v>44648</v>
      </c>
      <c r="B307">
        <v>57593.49</v>
      </c>
      <c r="C307">
        <f t="shared" si="9"/>
        <v>4.0320977926230316E-3</v>
      </c>
      <c r="D307" s="2">
        <f t="shared" si="10"/>
        <v>4.0320977926230316E-3</v>
      </c>
    </row>
    <row r="308" spans="1:4" x14ac:dyDescent="0.3">
      <c r="A308" s="1">
        <v>44649</v>
      </c>
      <c r="B308">
        <v>57943.65</v>
      </c>
      <c r="C308">
        <f t="shared" si="9"/>
        <v>6.0798538168116483E-3</v>
      </c>
      <c r="D308" s="2">
        <f t="shared" si="10"/>
        <v>6.0798538168116483E-3</v>
      </c>
    </row>
    <row r="309" spans="1:4" x14ac:dyDescent="0.3">
      <c r="A309" s="1">
        <v>44650</v>
      </c>
      <c r="B309">
        <v>58683.99</v>
      </c>
      <c r="C309">
        <f t="shared" si="9"/>
        <v>1.2776896174127734E-2</v>
      </c>
      <c r="D309" s="2">
        <f t="shared" si="10"/>
        <v>1.2776896174127734E-2</v>
      </c>
    </row>
    <row r="310" spans="1:4" x14ac:dyDescent="0.3">
      <c r="A310" s="1">
        <v>44651</v>
      </c>
      <c r="B310">
        <v>58568.51</v>
      </c>
      <c r="C310">
        <f t="shared" si="9"/>
        <v>-1.9678280226003027E-3</v>
      </c>
      <c r="D310" s="2">
        <f t="shared" si="10"/>
        <v>-1.9678280226003027E-3</v>
      </c>
    </row>
    <row r="311" spans="1:4" x14ac:dyDescent="0.3">
      <c r="A311" s="1">
        <v>44652</v>
      </c>
      <c r="B311">
        <v>59276.69</v>
      </c>
      <c r="C311">
        <f t="shared" si="9"/>
        <v>1.2091480558409293E-2</v>
      </c>
      <c r="D311" s="2">
        <f t="shared" si="10"/>
        <v>1.2091480558409293E-2</v>
      </c>
    </row>
    <row r="312" spans="1:4" x14ac:dyDescent="0.3">
      <c r="A312" s="1">
        <v>44655</v>
      </c>
      <c r="B312">
        <v>60611.74</v>
      </c>
      <c r="C312">
        <f t="shared" si="9"/>
        <v>2.2522343943293655E-2</v>
      </c>
      <c r="D312" s="2">
        <f t="shared" si="10"/>
        <v>2.2522343943293655E-2</v>
      </c>
    </row>
    <row r="313" spans="1:4" x14ac:dyDescent="0.3">
      <c r="A313" s="1">
        <v>44656</v>
      </c>
      <c r="B313">
        <v>60176.5</v>
      </c>
      <c r="C313">
        <f t="shared" si="9"/>
        <v>-7.1807870884419084E-3</v>
      </c>
      <c r="D313" s="2">
        <f t="shared" si="10"/>
        <v>-7.1807870884419084E-3</v>
      </c>
    </row>
    <row r="314" spans="1:4" x14ac:dyDescent="0.3">
      <c r="A314" s="1">
        <v>44657</v>
      </c>
      <c r="B314">
        <v>59610.41</v>
      </c>
      <c r="C314">
        <f t="shared" si="9"/>
        <v>-9.4071606025607421E-3</v>
      </c>
      <c r="D314" s="2">
        <f t="shared" si="10"/>
        <v>-9.4071606025607421E-3</v>
      </c>
    </row>
    <row r="315" spans="1:4" x14ac:dyDescent="0.3">
      <c r="A315" s="1">
        <v>44658</v>
      </c>
      <c r="B315">
        <v>59034.95</v>
      </c>
      <c r="C315">
        <f t="shared" si="9"/>
        <v>-9.6536829724876306E-3</v>
      </c>
      <c r="D315" s="2">
        <f t="shared" si="10"/>
        <v>-9.6536829724876306E-3</v>
      </c>
    </row>
    <row r="316" spans="1:4" x14ac:dyDescent="0.3">
      <c r="A316" s="1">
        <v>44659</v>
      </c>
      <c r="B316">
        <v>59447.18</v>
      </c>
      <c r="C316">
        <f t="shared" si="9"/>
        <v>6.9828127236493502E-3</v>
      </c>
      <c r="D316" s="2">
        <f t="shared" si="10"/>
        <v>6.9828127236493502E-3</v>
      </c>
    </row>
    <row r="317" spans="1:4" x14ac:dyDescent="0.3">
      <c r="A317" s="1">
        <v>44662</v>
      </c>
      <c r="B317">
        <v>58964.57</v>
      </c>
      <c r="C317">
        <f t="shared" si="9"/>
        <v>-8.1182993036843891E-3</v>
      </c>
      <c r="D317" s="2">
        <f t="shared" si="10"/>
        <v>-8.1182993036843891E-3</v>
      </c>
    </row>
    <row r="318" spans="1:4" x14ac:dyDescent="0.3">
      <c r="A318" s="1">
        <v>44663</v>
      </c>
      <c r="B318">
        <v>58576.37</v>
      </c>
      <c r="C318">
        <f t="shared" si="9"/>
        <v>-6.5836145332696756E-3</v>
      </c>
      <c r="D318" s="2">
        <f t="shared" si="10"/>
        <v>-6.5836145332696756E-3</v>
      </c>
    </row>
    <row r="319" spans="1:4" x14ac:dyDescent="0.3">
      <c r="A319" s="1">
        <v>44664</v>
      </c>
      <c r="B319">
        <v>58338.93</v>
      </c>
      <c r="C319">
        <f t="shared" si="9"/>
        <v>-4.0535116805633792E-3</v>
      </c>
      <c r="D319" s="2">
        <f t="shared" si="10"/>
        <v>-4.0535116805633792E-3</v>
      </c>
    </row>
    <row r="320" spans="1:4" x14ac:dyDescent="0.3">
      <c r="A320" s="1">
        <v>44669</v>
      </c>
      <c r="B320">
        <v>57166.74</v>
      </c>
      <c r="C320">
        <f t="shared" si="9"/>
        <v>-2.0092757957679414E-2</v>
      </c>
      <c r="D320" s="2">
        <f t="shared" si="10"/>
        <v>-2.0092757957679414E-2</v>
      </c>
    </row>
    <row r="321" spans="1:4" x14ac:dyDescent="0.3">
      <c r="A321" s="1">
        <v>44670</v>
      </c>
      <c r="B321">
        <v>56463.15</v>
      </c>
      <c r="C321">
        <f t="shared" si="9"/>
        <v>-1.2307681004724015E-2</v>
      </c>
      <c r="D321" s="2">
        <f t="shared" si="10"/>
        <v>-1.2307681004724015E-2</v>
      </c>
    </row>
    <row r="322" spans="1:4" x14ac:dyDescent="0.3">
      <c r="A322" s="1">
        <v>44671</v>
      </c>
      <c r="B322">
        <v>57037.5</v>
      </c>
      <c r="C322">
        <f t="shared" si="9"/>
        <v>1.0172121109077311E-2</v>
      </c>
      <c r="D322" s="2">
        <f t="shared" si="10"/>
        <v>1.0172121109077311E-2</v>
      </c>
    </row>
    <row r="323" spans="1:4" x14ac:dyDescent="0.3">
      <c r="A323" s="1">
        <v>44672</v>
      </c>
      <c r="B323">
        <v>57911.68</v>
      </c>
      <c r="C323">
        <f t="shared" si="9"/>
        <v>1.5326408064869608E-2</v>
      </c>
      <c r="D323" s="2">
        <f t="shared" si="10"/>
        <v>1.5326408064869608E-2</v>
      </c>
    </row>
    <row r="324" spans="1:4" x14ac:dyDescent="0.3">
      <c r="A324" s="1">
        <v>44673</v>
      </c>
      <c r="B324">
        <v>57197.15</v>
      </c>
      <c r="C324">
        <f t="shared" ref="C324:C387" si="11">(B324-B323)/B323</f>
        <v>-1.2338270967100226E-2</v>
      </c>
      <c r="D324" s="2">
        <f t="shared" ref="D324:D387" si="12">(B324-B323)/B323</f>
        <v>-1.2338270967100226E-2</v>
      </c>
    </row>
    <row r="325" spans="1:4" x14ac:dyDescent="0.3">
      <c r="A325" s="1">
        <v>44676</v>
      </c>
      <c r="B325">
        <v>56579.89</v>
      </c>
      <c r="C325">
        <f t="shared" si="11"/>
        <v>-1.0791796444403296E-2</v>
      </c>
      <c r="D325" s="2">
        <f t="shared" si="12"/>
        <v>-1.0791796444403296E-2</v>
      </c>
    </row>
    <row r="326" spans="1:4" x14ac:dyDescent="0.3">
      <c r="A326" s="1">
        <v>44677</v>
      </c>
      <c r="B326">
        <v>57356.61</v>
      </c>
      <c r="C326">
        <f t="shared" si="11"/>
        <v>1.372784570631016E-2</v>
      </c>
      <c r="D326" s="2">
        <f t="shared" si="12"/>
        <v>1.372784570631016E-2</v>
      </c>
    </row>
    <row r="327" spans="1:4" x14ac:dyDescent="0.3">
      <c r="A327" s="1">
        <v>44678</v>
      </c>
      <c r="B327">
        <v>56819.39</v>
      </c>
      <c r="C327">
        <f t="shared" si="11"/>
        <v>-9.3663136646325706E-3</v>
      </c>
      <c r="D327" s="2">
        <f t="shared" si="12"/>
        <v>-9.3663136646325706E-3</v>
      </c>
    </row>
    <row r="328" spans="1:4" x14ac:dyDescent="0.3">
      <c r="A328" s="1">
        <v>44679</v>
      </c>
      <c r="B328">
        <v>57521.06</v>
      </c>
      <c r="C328">
        <f t="shared" si="11"/>
        <v>1.2349129408112235E-2</v>
      </c>
      <c r="D328" s="2">
        <f t="shared" si="12"/>
        <v>1.2349129408112235E-2</v>
      </c>
    </row>
    <row r="329" spans="1:4" x14ac:dyDescent="0.3">
      <c r="A329" s="1">
        <v>44680</v>
      </c>
      <c r="B329">
        <v>57060.87</v>
      </c>
      <c r="C329">
        <f t="shared" si="11"/>
        <v>-8.0003741238425553E-3</v>
      </c>
      <c r="D329" s="2">
        <f t="shared" si="12"/>
        <v>-8.0003741238425553E-3</v>
      </c>
    </row>
    <row r="330" spans="1:4" x14ac:dyDescent="0.3">
      <c r="A330" s="1">
        <v>44683</v>
      </c>
      <c r="B330">
        <v>56975.99</v>
      </c>
      <c r="C330">
        <f t="shared" si="11"/>
        <v>-1.4875342769923531E-3</v>
      </c>
      <c r="D330" s="2">
        <f t="shared" si="12"/>
        <v>-1.4875342769923531E-3</v>
      </c>
    </row>
    <row r="331" spans="1:4" x14ac:dyDescent="0.3">
      <c r="A331" s="1">
        <v>44685</v>
      </c>
      <c r="B331">
        <v>55669.03</v>
      </c>
      <c r="C331">
        <f t="shared" si="11"/>
        <v>-2.2938785267267829E-2</v>
      </c>
      <c r="D331" s="2">
        <f t="shared" si="12"/>
        <v>-2.2938785267267829E-2</v>
      </c>
    </row>
    <row r="332" spans="1:4" x14ac:dyDescent="0.3">
      <c r="A332" s="1">
        <v>44686</v>
      </c>
      <c r="B332">
        <v>55702.23</v>
      </c>
      <c r="C332">
        <f t="shared" si="11"/>
        <v>5.9638186618312489E-4</v>
      </c>
      <c r="D332" s="2">
        <f t="shared" si="12"/>
        <v>5.9638186618312489E-4</v>
      </c>
    </row>
    <row r="333" spans="1:4" x14ac:dyDescent="0.3">
      <c r="A333" s="1">
        <v>44687</v>
      </c>
      <c r="B333">
        <v>54835.58</v>
      </c>
      <c r="C333">
        <f t="shared" si="11"/>
        <v>-1.5558623056922521E-2</v>
      </c>
      <c r="D333" s="2">
        <f t="shared" si="12"/>
        <v>-1.5558623056922521E-2</v>
      </c>
    </row>
    <row r="334" spans="1:4" x14ac:dyDescent="0.3">
      <c r="A334" s="1">
        <v>44690</v>
      </c>
      <c r="B334">
        <v>54470.67</v>
      </c>
      <c r="C334">
        <f t="shared" si="11"/>
        <v>-6.6546209596032996E-3</v>
      </c>
      <c r="D334" s="2">
        <f t="shared" si="12"/>
        <v>-6.6546209596032996E-3</v>
      </c>
    </row>
    <row r="335" spans="1:4" x14ac:dyDescent="0.3">
      <c r="A335" s="1">
        <v>44691</v>
      </c>
      <c r="B335">
        <v>54364.85</v>
      </c>
      <c r="C335">
        <f t="shared" si="11"/>
        <v>-1.9426968678740268E-3</v>
      </c>
      <c r="D335" s="2">
        <f t="shared" si="12"/>
        <v>-1.9426968678740268E-3</v>
      </c>
    </row>
    <row r="336" spans="1:4" x14ac:dyDescent="0.3">
      <c r="A336" s="1">
        <v>44692</v>
      </c>
      <c r="B336">
        <v>54088.39</v>
      </c>
      <c r="C336">
        <f t="shared" si="11"/>
        <v>-5.0852710896838512E-3</v>
      </c>
      <c r="D336" s="2">
        <f t="shared" si="12"/>
        <v>-5.0852710896838512E-3</v>
      </c>
    </row>
    <row r="337" spans="1:4" x14ac:dyDescent="0.3">
      <c r="A337" s="1">
        <v>44693</v>
      </c>
      <c r="B337">
        <v>52930.31</v>
      </c>
      <c r="C337">
        <f t="shared" si="11"/>
        <v>-2.1410879488185944E-2</v>
      </c>
      <c r="D337" s="2">
        <f t="shared" si="12"/>
        <v>-2.1410879488185944E-2</v>
      </c>
    </row>
    <row r="338" spans="1:4" x14ac:dyDescent="0.3">
      <c r="A338" s="1">
        <v>44694</v>
      </c>
      <c r="B338">
        <v>52793.62</v>
      </c>
      <c r="C338">
        <f t="shared" si="11"/>
        <v>-2.5824522849005617E-3</v>
      </c>
      <c r="D338" s="2">
        <f t="shared" si="12"/>
        <v>-2.5824522849005617E-3</v>
      </c>
    </row>
    <row r="339" spans="1:4" x14ac:dyDescent="0.3">
      <c r="A339" s="1">
        <v>44697</v>
      </c>
      <c r="B339">
        <v>52973.84</v>
      </c>
      <c r="C339">
        <f t="shared" si="11"/>
        <v>3.4136700608898172E-3</v>
      </c>
      <c r="D339" s="2">
        <f t="shared" si="12"/>
        <v>3.4136700608898172E-3</v>
      </c>
    </row>
    <row r="340" spans="1:4" x14ac:dyDescent="0.3">
      <c r="A340" s="1">
        <v>44698</v>
      </c>
      <c r="B340">
        <v>54318.47</v>
      </c>
      <c r="C340">
        <f t="shared" si="11"/>
        <v>2.5382905977743068E-2</v>
      </c>
      <c r="D340" s="2">
        <f t="shared" si="12"/>
        <v>2.5382905977743068E-2</v>
      </c>
    </row>
    <row r="341" spans="1:4" x14ac:dyDescent="0.3">
      <c r="A341" s="1">
        <v>44699</v>
      </c>
      <c r="B341">
        <v>54208.53</v>
      </c>
      <c r="C341">
        <f t="shared" si="11"/>
        <v>-2.0239892618478085E-3</v>
      </c>
      <c r="D341" s="2">
        <f t="shared" si="12"/>
        <v>-2.0239892618478085E-3</v>
      </c>
    </row>
    <row r="342" spans="1:4" x14ac:dyDescent="0.3">
      <c r="A342" s="1">
        <v>44700</v>
      </c>
      <c r="B342">
        <v>52792.23</v>
      </c>
      <c r="C342">
        <f t="shared" si="11"/>
        <v>-2.6126884458958687E-2</v>
      </c>
      <c r="D342" s="2">
        <f t="shared" si="12"/>
        <v>-2.6126884458958687E-2</v>
      </c>
    </row>
    <row r="343" spans="1:4" x14ac:dyDescent="0.3">
      <c r="A343" s="1">
        <v>44701</v>
      </c>
      <c r="B343">
        <v>54326.39</v>
      </c>
      <c r="C343">
        <f t="shared" si="11"/>
        <v>2.906033709884951E-2</v>
      </c>
      <c r="D343" s="2">
        <f t="shared" si="12"/>
        <v>2.906033709884951E-2</v>
      </c>
    </row>
    <row r="344" spans="1:4" x14ac:dyDescent="0.3">
      <c r="A344" s="1">
        <v>44704</v>
      </c>
      <c r="B344">
        <v>54288.61</v>
      </c>
      <c r="C344">
        <f t="shared" si="11"/>
        <v>-6.9542629282009789E-4</v>
      </c>
      <c r="D344" s="2">
        <f t="shared" si="12"/>
        <v>-6.9542629282009789E-4</v>
      </c>
    </row>
    <row r="345" spans="1:4" x14ac:dyDescent="0.3">
      <c r="A345" s="1">
        <v>44705</v>
      </c>
      <c r="B345">
        <v>54052.61</v>
      </c>
      <c r="C345">
        <f t="shared" si="11"/>
        <v>-4.3471365356379538E-3</v>
      </c>
      <c r="D345" s="2">
        <f t="shared" si="12"/>
        <v>-4.3471365356379538E-3</v>
      </c>
    </row>
    <row r="346" spans="1:4" x14ac:dyDescent="0.3">
      <c r="A346" s="1">
        <v>44706</v>
      </c>
      <c r="B346">
        <v>53749.26</v>
      </c>
      <c r="C346">
        <f t="shared" si="11"/>
        <v>-5.6121249279174222E-3</v>
      </c>
      <c r="D346" s="2">
        <f t="shared" si="12"/>
        <v>-5.6121249279174222E-3</v>
      </c>
    </row>
    <row r="347" spans="1:4" x14ac:dyDescent="0.3">
      <c r="A347" s="1">
        <v>44707</v>
      </c>
      <c r="B347">
        <v>54252.53</v>
      </c>
      <c r="C347">
        <f t="shared" si="11"/>
        <v>9.3632916992717075E-3</v>
      </c>
      <c r="D347" s="2">
        <f t="shared" si="12"/>
        <v>9.3632916992717075E-3</v>
      </c>
    </row>
    <row r="348" spans="1:4" x14ac:dyDescent="0.3">
      <c r="A348" s="1">
        <v>44708</v>
      </c>
      <c r="B348">
        <v>54884.66</v>
      </c>
      <c r="C348">
        <f t="shared" si="11"/>
        <v>1.1651622514194354E-2</v>
      </c>
      <c r="D348" s="2">
        <f t="shared" si="12"/>
        <v>1.1651622514194354E-2</v>
      </c>
    </row>
    <row r="349" spans="1:4" x14ac:dyDescent="0.3">
      <c r="A349" s="1">
        <v>44711</v>
      </c>
      <c r="B349">
        <v>55925.74</v>
      </c>
      <c r="C349">
        <f t="shared" si="11"/>
        <v>1.8968505954122597E-2</v>
      </c>
      <c r="D349" s="2">
        <f t="shared" si="12"/>
        <v>1.8968505954122597E-2</v>
      </c>
    </row>
    <row r="350" spans="1:4" x14ac:dyDescent="0.3">
      <c r="A350" s="1">
        <v>44712</v>
      </c>
      <c r="B350">
        <v>55566.41</v>
      </c>
      <c r="C350">
        <f t="shared" si="11"/>
        <v>-6.4251273206218547E-3</v>
      </c>
      <c r="D350" s="2">
        <f t="shared" si="12"/>
        <v>-6.4251273206218547E-3</v>
      </c>
    </row>
    <row r="351" spans="1:4" x14ac:dyDescent="0.3">
      <c r="A351" s="1">
        <v>44713</v>
      </c>
      <c r="B351">
        <v>55381.17</v>
      </c>
      <c r="C351">
        <f t="shared" si="11"/>
        <v>-3.3336686678157763E-3</v>
      </c>
      <c r="D351" s="2">
        <f t="shared" si="12"/>
        <v>-3.3336686678157763E-3</v>
      </c>
    </row>
    <row r="352" spans="1:4" x14ac:dyDescent="0.3">
      <c r="A352" s="1">
        <v>44714</v>
      </c>
      <c r="B352">
        <v>55818.11</v>
      </c>
      <c r="C352">
        <f t="shared" si="11"/>
        <v>7.8896852486143275E-3</v>
      </c>
      <c r="D352" s="2">
        <f t="shared" si="12"/>
        <v>7.8896852486143275E-3</v>
      </c>
    </row>
    <row r="353" spans="1:4" x14ac:dyDescent="0.3">
      <c r="A353" s="1">
        <v>44715</v>
      </c>
      <c r="B353">
        <v>55769.23</v>
      </c>
      <c r="C353">
        <f t="shared" si="11"/>
        <v>-8.7570145244970454E-4</v>
      </c>
      <c r="D353" s="2">
        <f t="shared" si="12"/>
        <v>-8.7570145244970454E-4</v>
      </c>
    </row>
    <row r="354" spans="1:4" x14ac:dyDescent="0.3">
      <c r="A354" s="1">
        <v>44718</v>
      </c>
      <c r="B354">
        <v>55675.32</v>
      </c>
      <c r="C354">
        <f t="shared" si="11"/>
        <v>-1.6839034715021794E-3</v>
      </c>
      <c r="D354" s="2">
        <f t="shared" si="12"/>
        <v>-1.6839034715021794E-3</v>
      </c>
    </row>
    <row r="355" spans="1:4" x14ac:dyDescent="0.3">
      <c r="A355" s="1">
        <v>44719</v>
      </c>
      <c r="B355">
        <v>55107.34</v>
      </c>
      <c r="C355">
        <f t="shared" si="11"/>
        <v>-1.0201647695963009E-2</v>
      </c>
      <c r="D355" s="2">
        <f t="shared" si="12"/>
        <v>-1.0201647695963009E-2</v>
      </c>
    </row>
    <row r="356" spans="1:4" x14ac:dyDescent="0.3">
      <c r="A356" s="1">
        <v>44720</v>
      </c>
      <c r="B356">
        <v>54892.49</v>
      </c>
      <c r="C356">
        <f t="shared" si="11"/>
        <v>-3.8987546849475687E-3</v>
      </c>
      <c r="D356" s="2">
        <f t="shared" si="12"/>
        <v>-3.8987546849475687E-3</v>
      </c>
    </row>
    <row r="357" spans="1:4" x14ac:dyDescent="0.3">
      <c r="A357" s="1">
        <v>44721</v>
      </c>
      <c r="B357">
        <v>55320.28</v>
      </c>
      <c r="C357">
        <f t="shared" si="11"/>
        <v>7.7932336463512747E-3</v>
      </c>
      <c r="D357" s="2">
        <f t="shared" si="12"/>
        <v>7.7932336463512747E-3</v>
      </c>
    </row>
    <row r="358" spans="1:4" x14ac:dyDescent="0.3">
      <c r="A358" s="1">
        <v>44722</v>
      </c>
      <c r="B358">
        <v>54303.44</v>
      </c>
      <c r="C358">
        <f t="shared" si="11"/>
        <v>-1.8380962641548388E-2</v>
      </c>
      <c r="D358" s="2">
        <f t="shared" si="12"/>
        <v>-1.8380962641548388E-2</v>
      </c>
    </row>
    <row r="359" spans="1:4" x14ac:dyDescent="0.3">
      <c r="A359" s="1">
        <v>44725</v>
      </c>
      <c r="B359">
        <v>52846.7</v>
      </c>
      <c r="C359">
        <f t="shared" si="11"/>
        <v>-2.6825924840120721E-2</v>
      </c>
      <c r="D359" s="2">
        <f t="shared" si="12"/>
        <v>-2.6825924840120721E-2</v>
      </c>
    </row>
    <row r="360" spans="1:4" x14ac:dyDescent="0.3">
      <c r="A360" s="1">
        <v>44726</v>
      </c>
      <c r="B360">
        <v>52693.57</v>
      </c>
      <c r="C360">
        <f t="shared" si="11"/>
        <v>-2.8976265310794694E-3</v>
      </c>
      <c r="D360" s="2">
        <f t="shared" si="12"/>
        <v>-2.8976265310794694E-3</v>
      </c>
    </row>
    <row r="361" spans="1:4" x14ac:dyDescent="0.3">
      <c r="A361" s="1">
        <v>44727</v>
      </c>
      <c r="B361">
        <v>52541.39</v>
      </c>
      <c r="C361">
        <f t="shared" si="11"/>
        <v>-2.8880184052817127E-3</v>
      </c>
      <c r="D361" s="2">
        <f t="shared" si="12"/>
        <v>-2.8880184052817127E-3</v>
      </c>
    </row>
    <row r="362" spans="1:4" x14ac:dyDescent="0.3">
      <c r="A362" s="1">
        <v>44728</v>
      </c>
      <c r="B362">
        <v>51495.79</v>
      </c>
      <c r="C362">
        <f t="shared" si="11"/>
        <v>-1.9900501300022678E-2</v>
      </c>
      <c r="D362" s="2">
        <f t="shared" si="12"/>
        <v>-1.9900501300022678E-2</v>
      </c>
    </row>
    <row r="363" spans="1:4" x14ac:dyDescent="0.3">
      <c r="A363" s="1">
        <v>44729</v>
      </c>
      <c r="B363">
        <v>51360.42</v>
      </c>
      <c r="C363">
        <f t="shared" si="11"/>
        <v>-2.6287585839541955E-3</v>
      </c>
      <c r="D363" s="2">
        <f t="shared" si="12"/>
        <v>-2.6287585839541955E-3</v>
      </c>
    </row>
    <row r="364" spans="1:4" x14ac:dyDescent="0.3">
      <c r="A364" s="1">
        <v>44732</v>
      </c>
      <c r="B364">
        <v>51597.84</v>
      </c>
      <c r="C364">
        <f t="shared" si="11"/>
        <v>4.6226257495557525E-3</v>
      </c>
      <c r="D364" s="2">
        <f t="shared" si="12"/>
        <v>4.6226257495557525E-3</v>
      </c>
    </row>
    <row r="365" spans="1:4" x14ac:dyDescent="0.3">
      <c r="A365" s="1">
        <v>44733</v>
      </c>
      <c r="B365">
        <v>52532.07</v>
      </c>
      <c r="C365">
        <f t="shared" si="11"/>
        <v>1.810599048332262E-2</v>
      </c>
      <c r="D365" s="2">
        <f t="shared" si="12"/>
        <v>1.810599048332262E-2</v>
      </c>
    </row>
    <row r="366" spans="1:4" x14ac:dyDescent="0.3">
      <c r="A366" s="1">
        <v>44734</v>
      </c>
      <c r="B366">
        <v>51822.53</v>
      </c>
      <c r="C366">
        <f t="shared" si="11"/>
        <v>-1.3506796895686785E-2</v>
      </c>
      <c r="D366" s="2">
        <f t="shared" si="12"/>
        <v>-1.3506796895686785E-2</v>
      </c>
    </row>
    <row r="367" spans="1:4" x14ac:dyDescent="0.3">
      <c r="A367" s="1">
        <v>44735</v>
      </c>
      <c r="B367">
        <v>52265.72</v>
      </c>
      <c r="C367">
        <f t="shared" si="11"/>
        <v>8.5520718498306118E-3</v>
      </c>
      <c r="D367" s="2">
        <f t="shared" si="12"/>
        <v>8.5520718498306118E-3</v>
      </c>
    </row>
    <row r="368" spans="1:4" x14ac:dyDescent="0.3">
      <c r="A368" s="1">
        <v>44736</v>
      </c>
      <c r="B368">
        <v>52727.98</v>
      </c>
      <c r="C368">
        <f t="shared" si="11"/>
        <v>8.844420396389871E-3</v>
      </c>
      <c r="D368" s="2">
        <f t="shared" si="12"/>
        <v>8.844420396389871E-3</v>
      </c>
    </row>
    <row r="369" spans="1:4" x14ac:dyDescent="0.3">
      <c r="A369" s="1">
        <v>44739</v>
      </c>
      <c r="B369">
        <v>53161.279999999999</v>
      </c>
      <c r="C369">
        <f t="shared" si="11"/>
        <v>8.2176483908542597E-3</v>
      </c>
      <c r="D369" s="2">
        <f t="shared" si="12"/>
        <v>8.2176483908542597E-3</v>
      </c>
    </row>
    <row r="370" spans="1:4" x14ac:dyDescent="0.3">
      <c r="A370" s="1">
        <v>44740</v>
      </c>
      <c r="B370">
        <v>53177.45</v>
      </c>
      <c r="C370">
        <f t="shared" si="11"/>
        <v>3.0416874838224838E-4</v>
      </c>
      <c r="D370" s="2">
        <f t="shared" si="12"/>
        <v>3.0416874838224838E-4</v>
      </c>
    </row>
    <row r="371" spans="1:4" x14ac:dyDescent="0.3">
      <c r="A371" s="1">
        <v>44741</v>
      </c>
      <c r="B371">
        <v>53026.97</v>
      </c>
      <c r="C371">
        <f t="shared" si="11"/>
        <v>-2.8297708897285583E-3</v>
      </c>
      <c r="D371" s="2">
        <f t="shared" si="12"/>
        <v>-2.8297708897285583E-3</v>
      </c>
    </row>
    <row r="372" spans="1:4" x14ac:dyDescent="0.3">
      <c r="A372" s="1">
        <v>44742</v>
      </c>
      <c r="B372">
        <v>53018.94</v>
      </c>
      <c r="C372">
        <f t="shared" si="11"/>
        <v>-1.514323748839286E-4</v>
      </c>
      <c r="D372" s="2">
        <f t="shared" si="12"/>
        <v>-1.514323748839286E-4</v>
      </c>
    </row>
    <row r="373" spans="1:4" x14ac:dyDescent="0.3">
      <c r="A373" s="1">
        <v>44743</v>
      </c>
      <c r="B373">
        <v>52907.93</v>
      </c>
      <c r="C373">
        <f t="shared" si="11"/>
        <v>-2.0937800718007949E-3</v>
      </c>
      <c r="D373" s="2">
        <f t="shared" si="12"/>
        <v>-2.0937800718007949E-3</v>
      </c>
    </row>
    <row r="374" spans="1:4" x14ac:dyDescent="0.3">
      <c r="A374" s="1">
        <v>44746</v>
      </c>
      <c r="B374">
        <v>53234.77</v>
      </c>
      <c r="C374">
        <f t="shared" si="11"/>
        <v>6.1775238607898004E-3</v>
      </c>
      <c r="D374" s="2">
        <f t="shared" si="12"/>
        <v>6.1775238607898004E-3</v>
      </c>
    </row>
    <row r="375" spans="1:4" x14ac:dyDescent="0.3">
      <c r="A375" s="1">
        <v>44747</v>
      </c>
      <c r="B375">
        <v>53134.35</v>
      </c>
      <c r="C375">
        <f t="shared" si="11"/>
        <v>-1.8863611132347948E-3</v>
      </c>
      <c r="D375" s="2">
        <f t="shared" si="12"/>
        <v>-1.8863611132347948E-3</v>
      </c>
    </row>
    <row r="376" spans="1:4" x14ac:dyDescent="0.3">
      <c r="A376" s="1">
        <v>44748</v>
      </c>
      <c r="B376">
        <v>53750.97</v>
      </c>
      <c r="C376">
        <f t="shared" si="11"/>
        <v>1.1604922239568239E-2</v>
      </c>
      <c r="D376" s="2">
        <f t="shared" si="12"/>
        <v>1.1604922239568239E-2</v>
      </c>
    </row>
    <row r="377" spans="1:4" x14ac:dyDescent="0.3">
      <c r="A377" s="1">
        <v>44749</v>
      </c>
      <c r="B377">
        <v>54178.46</v>
      </c>
      <c r="C377">
        <f t="shared" si="11"/>
        <v>7.9531587988086166E-3</v>
      </c>
      <c r="D377" s="2">
        <f t="shared" si="12"/>
        <v>7.9531587988086166E-3</v>
      </c>
    </row>
    <row r="378" spans="1:4" x14ac:dyDescent="0.3">
      <c r="A378" s="1">
        <v>44750</v>
      </c>
      <c r="B378">
        <v>54481.84</v>
      </c>
      <c r="C378">
        <f t="shared" si="11"/>
        <v>5.599642367095657E-3</v>
      </c>
      <c r="D378" s="2">
        <f t="shared" si="12"/>
        <v>5.599642367095657E-3</v>
      </c>
    </row>
    <row r="379" spans="1:4" x14ac:dyDescent="0.3">
      <c r="A379" s="1">
        <v>44753</v>
      </c>
      <c r="B379">
        <v>54395.23</v>
      </c>
      <c r="C379">
        <f t="shared" si="11"/>
        <v>-1.5897040188068779E-3</v>
      </c>
      <c r="D379" s="2">
        <f t="shared" si="12"/>
        <v>-1.5897040188068779E-3</v>
      </c>
    </row>
    <row r="380" spans="1:4" x14ac:dyDescent="0.3">
      <c r="A380" s="1">
        <v>44754</v>
      </c>
      <c r="B380">
        <v>53886.61</v>
      </c>
      <c r="C380">
        <f t="shared" si="11"/>
        <v>-9.350452236345036E-3</v>
      </c>
      <c r="D380" s="2">
        <f t="shared" si="12"/>
        <v>-9.350452236345036E-3</v>
      </c>
    </row>
    <row r="381" spans="1:4" x14ac:dyDescent="0.3">
      <c r="A381" s="1">
        <v>44755</v>
      </c>
      <c r="B381">
        <v>53514.15</v>
      </c>
      <c r="C381">
        <f t="shared" si="11"/>
        <v>-6.9119211618619012E-3</v>
      </c>
      <c r="D381" s="2">
        <f t="shared" si="12"/>
        <v>-6.9119211618619012E-3</v>
      </c>
    </row>
    <row r="382" spans="1:4" x14ac:dyDescent="0.3">
      <c r="A382" s="1">
        <v>44756</v>
      </c>
      <c r="B382">
        <v>53416.15</v>
      </c>
      <c r="C382">
        <f t="shared" si="11"/>
        <v>-1.8312913500448012E-3</v>
      </c>
      <c r="D382" s="2">
        <f t="shared" si="12"/>
        <v>-1.8312913500448012E-3</v>
      </c>
    </row>
    <row r="383" spans="1:4" x14ac:dyDescent="0.3">
      <c r="A383" s="1">
        <v>44757</v>
      </c>
      <c r="B383">
        <v>53760.78</v>
      </c>
      <c r="C383">
        <f t="shared" si="11"/>
        <v>6.4517940735151708E-3</v>
      </c>
      <c r="D383" s="2">
        <f t="shared" si="12"/>
        <v>6.4517940735151708E-3</v>
      </c>
    </row>
    <row r="384" spans="1:4" x14ac:dyDescent="0.3">
      <c r="A384" s="1">
        <v>44760</v>
      </c>
      <c r="B384">
        <v>54521.15</v>
      </c>
      <c r="C384">
        <f t="shared" si="11"/>
        <v>1.4143581994160104E-2</v>
      </c>
      <c r="D384" s="2">
        <f t="shared" si="12"/>
        <v>1.4143581994160104E-2</v>
      </c>
    </row>
    <row r="385" spans="1:4" x14ac:dyDescent="0.3">
      <c r="A385" s="1">
        <v>44761</v>
      </c>
      <c r="B385">
        <v>54767.62</v>
      </c>
      <c r="C385">
        <f t="shared" si="11"/>
        <v>4.5206309844895267E-3</v>
      </c>
      <c r="D385" s="2">
        <f t="shared" si="12"/>
        <v>4.5206309844895267E-3</v>
      </c>
    </row>
    <row r="386" spans="1:4" x14ac:dyDescent="0.3">
      <c r="A386" s="1">
        <v>44762</v>
      </c>
      <c r="B386">
        <v>55397.53</v>
      </c>
      <c r="C386">
        <f t="shared" si="11"/>
        <v>1.1501503990861684E-2</v>
      </c>
      <c r="D386" s="2">
        <f t="shared" si="12"/>
        <v>1.1501503990861684E-2</v>
      </c>
    </row>
    <row r="387" spans="1:4" x14ac:dyDescent="0.3">
      <c r="A387" s="1">
        <v>44763</v>
      </c>
      <c r="B387">
        <v>55681.95</v>
      </c>
      <c r="C387">
        <f t="shared" si="11"/>
        <v>5.1341639239149877E-3</v>
      </c>
      <c r="D387" s="2">
        <f t="shared" si="12"/>
        <v>5.1341639239149877E-3</v>
      </c>
    </row>
    <row r="388" spans="1:4" x14ac:dyDescent="0.3">
      <c r="A388" s="1">
        <v>44764</v>
      </c>
      <c r="B388">
        <v>56072.23</v>
      </c>
      <c r="C388">
        <f t="shared" ref="C388:C451" si="13">(B388-B387)/B387</f>
        <v>7.0090936111254385E-3</v>
      </c>
      <c r="D388" s="2">
        <f t="shared" ref="D388:D451" si="14">(B388-B387)/B387</f>
        <v>7.0090936111254385E-3</v>
      </c>
    </row>
    <row r="389" spans="1:4" x14ac:dyDescent="0.3">
      <c r="A389" s="1">
        <v>44767</v>
      </c>
      <c r="B389">
        <v>55766.22</v>
      </c>
      <c r="C389">
        <f t="shared" si="13"/>
        <v>-5.4574251817700497E-3</v>
      </c>
      <c r="D389" s="2">
        <f t="shared" si="14"/>
        <v>-5.4574251817700497E-3</v>
      </c>
    </row>
    <row r="390" spans="1:4" x14ac:dyDescent="0.3">
      <c r="A390" s="1">
        <v>44768</v>
      </c>
      <c r="B390">
        <v>55268.49</v>
      </c>
      <c r="C390">
        <f t="shared" si="13"/>
        <v>-8.9252956359603206E-3</v>
      </c>
      <c r="D390" s="2">
        <f t="shared" si="14"/>
        <v>-8.9252956359603206E-3</v>
      </c>
    </row>
    <row r="391" spans="1:4" x14ac:dyDescent="0.3">
      <c r="A391" s="1">
        <v>44769</v>
      </c>
      <c r="B391">
        <v>55816.32</v>
      </c>
      <c r="C391">
        <f t="shared" si="13"/>
        <v>9.9121579040788305E-3</v>
      </c>
      <c r="D391" s="2">
        <f t="shared" si="14"/>
        <v>9.9121579040788305E-3</v>
      </c>
    </row>
    <row r="392" spans="1:4" x14ac:dyDescent="0.3">
      <c r="A392" s="1">
        <v>44770</v>
      </c>
      <c r="B392">
        <v>56857.79</v>
      </c>
      <c r="C392">
        <f t="shared" si="13"/>
        <v>1.8658879696834208E-2</v>
      </c>
      <c r="D392" s="2">
        <f t="shared" si="14"/>
        <v>1.8658879696834208E-2</v>
      </c>
    </row>
    <row r="393" spans="1:4" x14ac:dyDescent="0.3">
      <c r="A393" s="1">
        <v>44771</v>
      </c>
      <c r="B393">
        <v>57570.25</v>
      </c>
      <c r="C393">
        <f t="shared" si="13"/>
        <v>1.2530560895877224E-2</v>
      </c>
      <c r="D393" s="2">
        <f t="shared" si="14"/>
        <v>1.2530560895877224E-2</v>
      </c>
    </row>
    <row r="394" spans="1:4" x14ac:dyDescent="0.3">
      <c r="A394" s="1">
        <v>44774</v>
      </c>
      <c r="B394">
        <v>58115.5</v>
      </c>
      <c r="C394">
        <f t="shared" si="13"/>
        <v>9.4710375584611851E-3</v>
      </c>
      <c r="D394" s="2">
        <f t="shared" si="14"/>
        <v>9.4710375584611851E-3</v>
      </c>
    </row>
    <row r="395" spans="1:4" x14ac:dyDescent="0.3">
      <c r="A395" s="1">
        <v>44775</v>
      </c>
      <c r="B395">
        <v>58136.36</v>
      </c>
      <c r="C395">
        <f t="shared" si="13"/>
        <v>3.5894038595556403E-4</v>
      </c>
      <c r="D395" s="2">
        <f t="shared" si="14"/>
        <v>3.5894038595556403E-4</v>
      </c>
    </row>
    <row r="396" spans="1:4" x14ac:dyDescent="0.3">
      <c r="A396" s="1">
        <v>44776</v>
      </c>
      <c r="B396">
        <v>58350.53</v>
      </c>
      <c r="C396">
        <f t="shared" si="13"/>
        <v>3.6839251717857508E-3</v>
      </c>
      <c r="D396" s="2">
        <f t="shared" si="14"/>
        <v>3.6839251717857508E-3</v>
      </c>
    </row>
    <row r="397" spans="1:4" x14ac:dyDescent="0.3">
      <c r="A397" s="1">
        <v>44777</v>
      </c>
      <c r="B397">
        <v>58298.8</v>
      </c>
      <c r="C397">
        <f t="shared" si="13"/>
        <v>-8.8653864840638E-4</v>
      </c>
      <c r="D397" s="2">
        <f t="shared" si="14"/>
        <v>-8.8653864840638E-4</v>
      </c>
    </row>
    <row r="398" spans="1:4" x14ac:dyDescent="0.3">
      <c r="A398" s="1">
        <v>44778</v>
      </c>
      <c r="B398">
        <v>58387.93</v>
      </c>
      <c r="C398">
        <f t="shared" si="13"/>
        <v>1.5288479351204035E-3</v>
      </c>
      <c r="D398" s="2">
        <f t="shared" si="14"/>
        <v>1.5288479351204035E-3</v>
      </c>
    </row>
    <row r="399" spans="1:4" x14ac:dyDescent="0.3">
      <c r="A399" s="1">
        <v>44781</v>
      </c>
      <c r="B399">
        <v>58853.07</v>
      </c>
      <c r="C399">
        <f t="shared" si="13"/>
        <v>7.966372501987987E-3</v>
      </c>
      <c r="D399" s="2">
        <f t="shared" si="14"/>
        <v>7.966372501987987E-3</v>
      </c>
    </row>
    <row r="400" spans="1:4" x14ac:dyDescent="0.3">
      <c r="A400" s="1">
        <v>44783</v>
      </c>
      <c r="B400">
        <v>58817.29</v>
      </c>
      <c r="C400">
        <f t="shared" si="13"/>
        <v>-6.0795469123358964E-4</v>
      </c>
      <c r="D400" s="2">
        <f t="shared" si="14"/>
        <v>-6.0795469123358964E-4</v>
      </c>
    </row>
    <row r="401" spans="1:4" x14ac:dyDescent="0.3">
      <c r="A401" s="1">
        <v>44784</v>
      </c>
      <c r="B401">
        <v>59332.6</v>
      </c>
      <c r="C401">
        <f t="shared" si="13"/>
        <v>8.7611993004097551E-3</v>
      </c>
      <c r="D401" s="2">
        <f t="shared" si="14"/>
        <v>8.7611993004097551E-3</v>
      </c>
    </row>
    <row r="402" spans="1:4" x14ac:dyDescent="0.3">
      <c r="A402" s="1">
        <v>44785</v>
      </c>
      <c r="B402">
        <v>59462.78</v>
      </c>
      <c r="C402">
        <f t="shared" si="13"/>
        <v>2.194072061564811E-3</v>
      </c>
      <c r="D402" s="2">
        <f t="shared" si="14"/>
        <v>2.194072061564811E-3</v>
      </c>
    </row>
    <row r="403" spans="1:4" x14ac:dyDescent="0.3">
      <c r="A403" s="1">
        <v>44789</v>
      </c>
      <c r="B403">
        <v>59842.21</v>
      </c>
      <c r="C403">
        <f t="shared" si="13"/>
        <v>6.3809663793048411E-3</v>
      </c>
      <c r="D403" s="2">
        <f t="shared" si="14"/>
        <v>6.3809663793048411E-3</v>
      </c>
    </row>
    <row r="404" spans="1:4" x14ac:dyDescent="0.3">
      <c r="A404" s="1">
        <v>44790</v>
      </c>
      <c r="B404">
        <v>60260.13</v>
      </c>
      <c r="C404">
        <f t="shared" si="13"/>
        <v>6.9836992985385779E-3</v>
      </c>
      <c r="D404" s="2">
        <f t="shared" si="14"/>
        <v>6.9836992985385779E-3</v>
      </c>
    </row>
    <row r="405" spans="1:4" x14ac:dyDescent="0.3">
      <c r="A405" s="1">
        <v>44791</v>
      </c>
      <c r="B405">
        <v>60298</v>
      </c>
      <c r="C405">
        <f t="shared" si="13"/>
        <v>6.2844205613234855E-4</v>
      </c>
      <c r="D405" s="2">
        <f t="shared" si="14"/>
        <v>6.2844205613234855E-4</v>
      </c>
    </row>
    <row r="406" spans="1:4" x14ac:dyDescent="0.3">
      <c r="A406" s="1">
        <v>44792</v>
      </c>
      <c r="B406">
        <v>59646.15</v>
      </c>
      <c r="C406">
        <f t="shared" si="13"/>
        <v>-1.0810474642608354E-2</v>
      </c>
      <c r="D406" s="2">
        <f t="shared" si="14"/>
        <v>-1.0810474642608354E-2</v>
      </c>
    </row>
    <row r="407" spans="1:4" x14ac:dyDescent="0.3">
      <c r="A407" s="1">
        <v>44795</v>
      </c>
      <c r="B407">
        <v>58773.87</v>
      </c>
      <c r="C407">
        <f t="shared" si="13"/>
        <v>-1.4624246493696556E-2</v>
      </c>
      <c r="D407" s="2">
        <f t="shared" si="14"/>
        <v>-1.4624246493696556E-2</v>
      </c>
    </row>
    <row r="408" spans="1:4" x14ac:dyDescent="0.3">
      <c r="A408" s="1">
        <v>44796</v>
      </c>
      <c r="B408">
        <v>59031.3</v>
      </c>
      <c r="C408">
        <f t="shared" si="13"/>
        <v>4.3800076462550495E-3</v>
      </c>
      <c r="D408" s="2">
        <f t="shared" si="14"/>
        <v>4.3800076462550495E-3</v>
      </c>
    </row>
    <row r="409" spans="1:4" x14ac:dyDescent="0.3">
      <c r="A409" s="1">
        <v>44797</v>
      </c>
      <c r="B409">
        <v>59085.43</v>
      </c>
      <c r="C409">
        <f t="shared" si="13"/>
        <v>9.1697116614401818E-4</v>
      </c>
      <c r="D409" s="2">
        <f t="shared" si="14"/>
        <v>9.1697116614401818E-4</v>
      </c>
    </row>
    <row r="410" spans="1:4" x14ac:dyDescent="0.3">
      <c r="A410" s="1">
        <v>44798</v>
      </c>
      <c r="B410">
        <v>58774.720000000001</v>
      </c>
      <c r="C410">
        <f t="shared" si="13"/>
        <v>-5.2586568296109403E-3</v>
      </c>
      <c r="D410" s="2">
        <f t="shared" si="14"/>
        <v>-5.2586568296109403E-3</v>
      </c>
    </row>
    <row r="411" spans="1:4" x14ac:dyDescent="0.3">
      <c r="A411" s="1">
        <v>44799</v>
      </c>
      <c r="B411">
        <v>58833.87</v>
      </c>
      <c r="C411">
        <f t="shared" si="13"/>
        <v>1.0063850580658055E-3</v>
      </c>
      <c r="D411" s="2">
        <f t="shared" si="14"/>
        <v>1.0063850580658055E-3</v>
      </c>
    </row>
    <row r="412" spans="1:4" x14ac:dyDescent="0.3">
      <c r="A412" s="1">
        <v>44802</v>
      </c>
      <c r="B412">
        <v>57972.62</v>
      </c>
      <c r="C412">
        <f t="shared" si="13"/>
        <v>-1.4638676667028703E-2</v>
      </c>
      <c r="D412" s="2">
        <f t="shared" si="14"/>
        <v>-1.4638676667028703E-2</v>
      </c>
    </row>
    <row r="413" spans="1:4" x14ac:dyDescent="0.3">
      <c r="A413" s="1">
        <v>44803</v>
      </c>
      <c r="B413">
        <v>59537.07</v>
      </c>
      <c r="C413">
        <f t="shared" si="13"/>
        <v>2.6986015122311136E-2</v>
      </c>
      <c r="D413" s="2">
        <f t="shared" si="14"/>
        <v>2.6986015122311136E-2</v>
      </c>
    </row>
    <row r="414" spans="1:4" x14ac:dyDescent="0.3">
      <c r="A414" s="1">
        <v>44805</v>
      </c>
      <c r="B414">
        <v>58766.59</v>
      </c>
      <c r="C414">
        <f t="shared" si="13"/>
        <v>-1.2941181015458153E-2</v>
      </c>
      <c r="D414" s="2">
        <f t="shared" si="14"/>
        <v>-1.2941181015458153E-2</v>
      </c>
    </row>
    <row r="415" spans="1:4" x14ac:dyDescent="0.3">
      <c r="A415" s="1">
        <v>44806</v>
      </c>
      <c r="B415">
        <v>58803.33</v>
      </c>
      <c r="C415">
        <f t="shared" si="13"/>
        <v>6.2518516047987884E-4</v>
      </c>
      <c r="D415" s="2">
        <f t="shared" si="14"/>
        <v>6.2518516047987884E-4</v>
      </c>
    </row>
    <row r="416" spans="1:4" x14ac:dyDescent="0.3">
      <c r="A416" s="1">
        <v>44809</v>
      </c>
      <c r="B416">
        <v>59245.98</v>
      </c>
      <c r="C416">
        <f t="shared" si="13"/>
        <v>7.5276349145533333E-3</v>
      </c>
      <c r="D416" s="2">
        <f t="shared" si="14"/>
        <v>7.5276349145533333E-3</v>
      </c>
    </row>
    <row r="417" spans="1:4" x14ac:dyDescent="0.3">
      <c r="A417" s="1">
        <v>44810</v>
      </c>
      <c r="B417">
        <v>59196.99</v>
      </c>
      <c r="C417">
        <f t="shared" si="13"/>
        <v>-8.2689154605941595E-4</v>
      </c>
      <c r="D417" s="2">
        <f t="shared" si="14"/>
        <v>-8.2689154605941595E-4</v>
      </c>
    </row>
    <row r="418" spans="1:4" x14ac:dyDescent="0.3">
      <c r="A418" s="1">
        <v>44811</v>
      </c>
      <c r="B418">
        <v>59028.91</v>
      </c>
      <c r="C418">
        <f t="shared" si="13"/>
        <v>-2.8393335539525656E-3</v>
      </c>
      <c r="D418" s="2">
        <f t="shared" si="14"/>
        <v>-2.8393335539525656E-3</v>
      </c>
    </row>
    <row r="419" spans="1:4" x14ac:dyDescent="0.3">
      <c r="A419" s="1">
        <v>44812</v>
      </c>
      <c r="B419">
        <v>59688.22</v>
      </c>
      <c r="C419">
        <f t="shared" si="13"/>
        <v>1.1169272819030499E-2</v>
      </c>
      <c r="D419" s="2">
        <f t="shared" si="14"/>
        <v>1.1169272819030499E-2</v>
      </c>
    </row>
    <row r="420" spans="1:4" x14ac:dyDescent="0.3">
      <c r="A420" s="1">
        <v>44813</v>
      </c>
      <c r="B420">
        <v>59793.14</v>
      </c>
      <c r="C420">
        <f t="shared" si="13"/>
        <v>1.757800785481595E-3</v>
      </c>
      <c r="D420" s="2">
        <f t="shared" si="14"/>
        <v>1.757800785481595E-3</v>
      </c>
    </row>
    <row r="421" spans="1:4" x14ac:dyDescent="0.3">
      <c r="A421" s="1">
        <v>44816</v>
      </c>
      <c r="B421">
        <v>60115.13</v>
      </c>
      <c r="C421">
        <f t="shared" si="13"/>
        <v>5.3850659122434107E-3</v>
      </c>
      <c r="D421" s="2">
        <f t="shared" si="14"/>
        <v>5.3850659122434107E-3</v>
      </c>
    </row>
    <row r="422" spans="1:4" x14ac:dyDescent="0.3">
      <c r="A422" s="1">
        <v>44817</v>
      </c>
      <c r="B422">
        <v>60571.08</v>
      </c>
      <c r="C422">
        <f t="shared" si="13"/>
        <v>7.5846130583100196E-3</v>
      </c>
      <c r="D422" s="2">
        <f t="shared" si="14"/>
        <v>7.5846130583100196E-3</v>
      </c>
    </row>
    <row r="423" spans="1:4" x14ac:dyDescent="0.3">
      <c r="A423" s="1">
        <v>44818</v>
      </c>
      <c r="B423">
        <v>60346.97</v>
      </c>
      <c r="C423">
        <f t="shared" si="13"/>
        <v>-3.6999505374512155E-3</v>
      </c>
      <c r="D423" s="2">
        <f t="shared" si="14"/>
        <v>-3.6999505374512155E-3</v>
      </c>
    </row>
    <row r="424" spans="1:4" x14ac:dyDescent="0.3">
      <c r="A424" s="1">
        <v>44819</v>
      </c>
      <c r="B424">
        <v>59934.01</v>
      </c>
      <c r="C424">
        <f t="shared" si="13"/>
        <v>-6.8430941934615628E-3</v>
      </c>
      <c r="D424" s="2">
        <f t="shared" si="14"/>
        <v>-6.8430941934615628E-3</v>
      </c>
    </row>
    <row r="425" spans="1:4" x14ac:dyDescent="0.3">
      <c r="A425" s="1">
        <v>44820</v>
      </c>
      <c r="B425">
        <v>58840.79</v>
      </c>
      <c r="C425">
        <f t="shared" si="13"/>
        <v>-1.8240394727467777E-2</v>
      </c>
      <c r="D425" s="2">
        <f t="shared" si="14"/>
        <v>-1.8240394727467777E-2</v>
      </c>
    </row>
    <row r="426" spans="1:4" x14ac:dyDescent="0.3">
      <c r="A426" s="1">
        <v>44823</v>
      </c>
      <c r="B426">
        <v>59141.23</v>
      </c>
      <c r="C426">
        <f t="shared" si="13"/>
        <v>5.1059817517746164E-3</v>
      </c>
      <c r="D426" s="2">
        <f t="shared" si="14"/>
        <v>5.1059817517746164E-3</v>
      </c>
    </row>
    <row r="427" spans="1:4" x14ac:dyDescent="0.3">
      <c r="A427" s="1">
        <v>44824</v>
      </c>
      <c r="B427">
        <v>59719.74</v>
      </c>
      <c r="C427">
        <f t="shared" si="13"/>
        <v>9.7818391670243376E-3</v>
      </c>
      <c r="D427" s="2">
        <f t="shared" si="14"/>
        <v>9.7818391670243376E-3</v>
      </c>
    </row>
    <row r="428" spans="1:4" x14ac:dyDescent="0.3">
      <c r="A428" s="1">
        <v>44825</v>
      </c>
      <c r="B428">
        <v>59456.78</v>
      </c>
      <c r="C428">
        <f t="shared" si="13"/>
        <v>-4.4032341734910286E-3</v>
      </c>
      <c r="D428" s="2">
        <f t="shared" si="14"/>
        <v>-4.4032341734910286E-3</v>
      </c>
    </row>
    <row r="429" spans="1:4" x14ac:dyDescent="0.3">
      <c r="A429" s="1">
        <v>44826</v>
      </c>
      <c r="B429">
        <v>59119.72</v>
      </c>
      <c r="C429">
        <f t="shared" si="13"/>
        <v>-5.668991829022656E-3</v>
      </c>
      <c r="D429" s="2">
        <f t="shared" si="14"/>
        <v>-5.668991829022656E-3</v>
      </c>
    </row>
    <row r="430" spans="1:4" x14ac:dyDescent="0.3">
      <c r="A430" s="1">
        <v>44827</v>
      </c>
      <c r="B430">
        <v>58098.92</v>
      </c>
      <c r="C430">
        <f t="shared" si="13"/>
        <v>-1.7266658231804937E-2</v>
      </c>
      <c r="D430" s="2">
        <f t="shared" si="14"/>
        <v>-1.7266658231804937E-2</v>
      </c>
    </row>
    <row r="431" spans="1:4" x14ac:dyDescent="0.3">
      <c r="A431" s="1">
        <v>44830</v>
      </c>
      <c r="B431">
        <v>57145.22</v>
      </c>
      <c r="C431">
        <f t="shared" si="13"/>
        <v>-1.6415107199927247E-2</v>
      </c>
      <c r="D431" s="2">
        <f t="shared" si="14"/>
        <v>-1.6415107199927247E-2</v>
      </c>
    </row>
    <row r="432" spans="1:4" x14ac:dyDescent="0.3">
      <c r="A432" s="1">
        <v>44831</v>
      </c>
      <c r="B432">
        <v>57107.519999999997</v>
      </c>
      <c r="C432">
        <f t="shared" si="13"/>
        <v>-6.5972272046558515E-4</v>
      </c>
      <c r="D432" s="2">
        <f t="shared" si="14"/>
        <v>-6.5972272046558515E-4</v>
      </c>
    </row>
    <row r="433" spans="1:4" x14ac:dyDescent="0.3">
      <c r="A433" s="1">
        <v>44832</v>
      </c>
      <c r="B433">
        <v>56598.28</v>
      </c>
      <c r="C433">
        <f t="shared" si="13"/>
        <v>-8.9172144053882574E-3</v>
      </c>
      <c r="D433" s="2">
        <f t="shared" si="14"/>
        <v>-8.9172144053882574E-3</v>
      </c>
    </row>
    <row r="434" spans="1:4" x14ac:dyDescent="0.3">
      <c r="A434" s="1">
        <v>44833</v>
      </c>
      <c r="B434">
        <v>56409.96</v>
      </c>
      <c r="C434">
        <f t="shared" si="13"/>
        <v>-3.327309593153709E-3</v>
      </c>
      <c r="D434" s="2">
        <f t="shared" si="14"/>
        <v>-3.327309593153709E-3</v>
      </c>
    </row>
    <row r="435" spans="1:4" x14ac:dyDescent="0.3">
      <c r="A435" s="1">
        <v>44834</v>
      </c>
      <c r="B435">
        <v>57426.92</v>
      </c>
      <c r="C435">
        <f t="shared" si="13"/>
        <v>1.8028022001788321E-2</v>
      </c>
      <c r="D435" s="2">
        <f t="shared" si="14"/>
        <v>1.8028022001788321E-2</v>
      </c>
    </row>
    <row r="436" spans="1:4" x14ac:dyDescent="0.3">
      <c r="A436" s="1">
        <v>44837</v>
      </c>
      <c r="B436">
        <v>56788.81</v>
      </c>
      <c r="C436">
        <f t="shared" si="13"/>
        <v>-1.1111687689327594E-2</v>
      </c>
      <c r="D436" s="2">
        <f t="shared" si="14"/>
        <v>-1.1111687689327594E-2</v>
      </c>
    </row>
    <row r="437" spans="1:4" x14ac:dyDescent="0.3">
      <c r="A437" s="1">
        <v>44838</v>
      </c>
      <c r="B437">
        <v>58065.47</v>
      </c>
      <c r="C437">
        <f t="shared" si="13"/>
        <v>2.2480837333974837E-2</v>
      </c>
      <c r="D437" s="2">
        <f t="shared" si="14"/>
        <v>2.2480837333974837E-2</v>
      </c>
    </row>
    <row r="438" spans="1:4" x14ac:dyDescent="0.3">
      <c r="A438" s="1">
        <v>44840</v>
      </c>
      <c r="B438">
        <v>58222.1</v>
      </c>
      <c r="C438">
        <f t="shared" si="13"/>
        <v>2.6974723531902416E-3</v>
      </c>
      <c r="D438" s="2">
        <f t="shared" si="14"/>
        <v>2.6974723531902416E-3</v>
      </c>
    </row>
    <row r="439" spans="1:4" x14ac:dyDescent="0.3">
      <c r="A439" s="1">
        <v>44841</v>
      </c>
      <c r="B439">
        <v>58191.29</v>
      </c>
      <c r="C439">
        <f t="shared" si="13"/>
        <v>-5.2918050018803289E-4</v>
      </c>
      <c r="D439" s="2">
        <f t="shared" si="14"/>
        <v>-5.2918050018803289E-4</v>
      </c>
    </row>
    <row r="440" spans="1:4" x14ac:dyDescent="0.3">
      <c r="A440" s="1">
        <v>44844</v>
      </c>
      <c r="B440">
        <v>57991.11</v>
      </c>
      <c r="C440">
        <f t="shared" si="13"/>
        <v>-3.4400337232599635E-3</v>
      </c>
      <c r="D440" s="2">
        <f t="shared" si="14"/>
        <v>-3.4400337232599635E-3</v>
      </c>
    </row>
    <row r="441" spans="1:4" x14ac:dyDescent="0.3">
      <c r="A441" s="1">
        <v>44845</v>
      </c>
      <c r="B441">
        <v>57147.32</v>
      </c>
      <c r="C441">
        <f t="shared" si="13"/>
        <v>-1.4550333663211497E-2</v>
      </c>
      <c r="D441" s="2">
        <f t="shared" si="14"/>
        <v>-1.4550333663211497E-2</v>
      </c>
    </row>
    <row r="442" spans="1:4" x14ac:dyDescent="0.3">
      <c r="A442" s="1">
        <v>44846</v>
      </c>
      <c r="B442">
        <v>57625.91</v>
      </c>
      <c r="C442">
        <f t="shared" si="13"/>
        <v>8.3746709381997929E-3</v>
      </c>
      <c r="D442" s="2">
        <f t="shared" si="14"/>
        <v>8.3746709381997929E-3</v>
      </c>
    </row>
    <row r="443" spans="1:4" x14ac:dyDescent="0.3">
      <c r="A443" s="1">
        <v>44847</v>
      </c>
      <c r="B443">
        <v>57235.33</v>
      </c>
      <c r="C443">
        <f t="shared" si="13"/>
        <v>-6.7778539202244569E-3</v>
      </c>
      <c r="D443" s="2">
        <f t="shared" si="14"/>
        <v>-6.7778539202244569E-3</v>
      </c>
    </row>
    <row r="444" spans="1:4" x14ac:dyDescent="0.3">
      <c r="A444" s="1">
        <v>44848</v>
      </c>
      <c r="B444">
        <v>57919.97</v>
      </c>
      <c r="C444">
        <f t="shared" si="13"/>
        <v>1.1961842449410171E-2</v>
      </c>
      <c r="D444" s="2">
        <f t="shared" si="14"/>
        <v>1.1961842449410171E-2</v>
      </c>
    </row>
    <row r="445" spans="1:4" x14ac:dyDescent="0.3">
      <c r="A445" s="1">
        <v>44851</v>
      </c>
      <c r="B445">
        <v>58410.98</v>
      </c>
      <c r="C445">
        <f t="shared" si="13"/>
        <v>8.4773869875968862E-3</v>
      </c>
      <c r="D445" s="2">
        <f t="shared" si="14"/>
        <v>8.4773869875968862E-3</v>
      </c>
    </row>
    <row r="446" spans="1:4" x14ac:dyDescent="0.3">
      <c r="A446" s="1">
        <v>44852</v>
      </c>
      <c r="B446">
        <v>58960.6</v>
      </c>
      <c r="C446">
        <f t="shared" si="13"/>
        <v>9.4095322489024386E-3</v>
      </c>
      <c r="D446" s="2">
        <f t="shared" si="14"/>
        <v>9.4095322489024386E-3</v>
      </c>
    </row>
    <row r="447" spans="1:4" x14ac:dyDescent="0.3">
      <c r="A447" s="1">
        <v>44853</v>
      </c>
      <c r="B447">
        <v>59107.19</v>
      </c>
      <c r="C447">
        <f t="shared" si="13"/>
        <v>2.4862365715410594E-3</v>
      </c>
      <c r="D447" s="2">
        <f t="shared" si="14"/>
        <v>2.4862365715410594E-3</v>
      </c>
    </row>
    <row r="448" spans="1:4" x14ac:dyDescent="0.3">
      <c r="A448" s="1">
        <v>44854</v>
      </c>
      <c r="B448">
        <v>59202.9</v>
      </c>
      <c r="C448">
        <f t="shared" si="13"/>
        <v>1.6192615483835236E-3</v>
      </c>
      <c r="D448" s="2">
        <f t="shared" si="14"/>
        <v>1.6192615483835236E-3</v>
      </c>
    </row>
    <row r="449" spans="1:4" x14ac:dyDescent="0.3">
      <c r="A449" s="1">
        <v>44855</v>
      </c>
      <c r="B449">
        <v>59307.15</v>
      </c>
      <c r="C449">
        <f t="shared" si="13"/>
        <v>1.7608934697455698E-3</v>
      </c>
      <c r="D449" s="2">
        <f t="shared" si="14"/>
        <v>1.7608934697455698E-3</v>
      </c>
    </row>
    <row r="450" spans="1:4" x14ac:dyDescent="0.3">
      <c r="A450" s="1">
        <v>44858</v>
      </c>
      <c r="B450">
        <v>59831.66</v>
      </c>
      <c r="C450">
        <f t="shared" si="13"/>
        <v>8.8439589493004133E-3</v>
      </c>
      <c r="D450" s="2">
        <f t="shared" si="14"/>
        <v>8.8439589493004133E-3</v>
      </c>
    </row>
    <row r="451" spans="1:4" x14ac:dyDescent="0.3">
      <c r="A451" s="1">
        <v>44859</v>
      </c>
      <c r="B451">
        <v>59543.96</v>
      </c>
      <c r="C451">
        <f t="shared" si="13"/>
        <v>-4.8084910229802139E-3</v>
      </c>
      <c r="D451" s="2">
        <f t="shared" si="14"/>
        <v>-4.8084910229802139E-3</v>
      </c>
    </row>
    <row r="452" spans="1:4" x14ac:dyDescent="0.3">
      <c r="A452" s="1">
        <v>44861</v>
      </c>
      <c r="B452">
        <v>59756.84</v>
      </c>
      <c r="C452">
        <f t="shared" ref="C452:C515" si="15">(B452-B451)/B451</f>
        <v>3.5751737035964251E-3</v>
      </c>
      <c r="D452" s="2">
        <f t="shared" ref="D452:D515" si="16">(B452-B451)/B451</f>
        <v>3.5751737035964251E-3</v>
      </c>
    </row>
    <row r="453" spans="1:4" x14ac:dyDescent="0.3">
      <c r="A453" s="1">
        <v>44862</v>
      </c>
      <c r="B453">
        <v>59959.85</v>
      </c>
      <c r="C453">
        <f t="shared" si="15"/>
        <v>3.3972679947601322E-3</v>
      </c>
      <c r="D453" s="2">
        <f t="shared" si="16"/>
        <v>3.3972679947601322E-3</v>
      </c>
    </row>
    <row r="454" spans="1:4" x14ac:dyDescent="0.3">
      <c r="A454" s="1">
        <v>44865</v>
      </c>
      <c r="B454">
        <v>60746.59</v>
      </c>
      <c r="C454">
        <f t="shared" si="15"/>
        <v>1.3121113545147261E-2</v>
      </c>
      <c r="D454" s="2">
        <f t="shared" si="16"/>
        <v>1.3121113545147261E-2</v>
      </c>
    </row>
    <row r="455" spans="1:4" x14ac:dyDescent="0.3">
      <c r="A455" s="1">
        <v>44866</v>
      </c>
      <c r="B455">
        <v>61121.35</v>
      </c>
      <c r="C455">
        <f t="shared" si="15"/>
        <v>6.1692351784684877E-3</v>
      </c>
      <c r="D455" s="2">
        <f t="shared" si="16"/>
        <v>6.1692351784684877E-3</v>
      </c>
    </row>
    <row r="456" spans="1:4" x14ac:dyDescent="0.3">
      <c r="A456" s="1">
        <v>44867</v>
      </c>
      <c r="B456">
        <v>60906.09</v>
      </c>
      <c r="C456">
        <f t="shared" si="15"/>
        <v>-3.5218462942981795E-3</v>
      </c>
      <c r="D456" s="2">
        <f t="shared" si="16"/>
        <v>-3.5218462942981795E-3</v>
      </c>
    </row>
    <row r="457" spans="1:4" x14ac:dyDescent="0.3">
      <c r="A457" s="1">
        <v>44868</v>
      </c>
      <c r="B457">
        <v>60836.41</v>
      </c>
      <c r="C457">
        <f t="shared" si="15"/>
        <v>-1.144056366120252E-3</v>
      </c>
      <c r="D457" s="2">
        <f t="shared" si="16"/>
        <v>-1.144056366120252E-3</v>
      </c>
    </row>
    <row r="458" spans="1:4" x14ac:dyDescent="0.3">
      <c r="A458" s="1">
        <v>44869</v>
      </c>
      <c r="B458">
        <v>60950.36</v>
      </c>
      <c r="C458">
        <f t="shared" si="15"/>
        <v>1.8730559544851034E-3</v>
      </c>
      <c r="D458" s="2">
        <f t="shared" si="16"/>
        <v>1.8730559544851034E-3</v>
      </c>
    </row>
    <row r="459" spans="1:4" x14ac:dyDescent="0.3">
      <c r="A459" s="1">
        <v>44872</v>
      </c>
      <c r="B459">
        <v>61185.15</v>
      </c>
      <c r="C459">
        <f t="shared" si="15"/>
        <v>3.8521511603869258E-3</v>
      </c>
      <c r="D459" s="2">
        <f t="shared" si="16"/>
        <v>3.8521511603869258E-3</v>
      </c>
    </row>
    <row r="460" spans="1:4" x14ac:dyDescent="0.3">
      <c r="A460" s="1">
        <v>44874</v>
      </c>
      <c r="B460">
        <v>61033.55</v>
      </c>
      <c r="C460">
        <f t="shared" si="15"/>
        <v>-2.4777253957863721E-3</v>
      </c>
      <c r="D460" s="2">
        <f t="shared" si="16"/>
        <v>-2.4777253957863721E-3</v>
      </c>
    </row>
    <row r="461" spans="1:4" x14ac:dyDescent="0.3">
      <c r="A461" s="1">
        <v>44875</v>
      </c>
      <c r="B461">
        <v>60613.7</v>
      </c>
      <c r="C461">
        <f t="shared" si="15"/>
        <v>-6.87900343335765E-3</v>
      </c>
      <c r="D461" s="2">
        <f t="shared" si="16"/>
        <v>-6.87900343335765E-3</v>
      </c>
    </row>
    <row r="462" spans="1:4" x14ac:dyDescent="0.3">
      <c r="A462" s="1">
        <v>44876</v>
      </c>
      <c r="B462">
        <v>61795.040000000001</v>
      </c>
      <c r="C462">
        <f t="shared" si="15"/>
        <v>1.9489653329197918E-2</v>
      </c>
      <c r="D462" s="2">
        <f t="shared" si="16"/>
        <v>1.9489653329197918E-2</v>
      </c>
    </row>
    <row r="463" spans="1:4" x14ac:dyDescent="0.3">
      <c r="A463" s="1">
        <v>44879</v>
      </c>
      <c r="B463">
        <v>61624.15</v>
      </c>
      <c r="C463">
        <f t="shared" si="15"/>
        <v>-2.765432306541098E-3</v>
      </c>
      <c r="D463" s="2">
        <f t="shared" si="16"/>
        <v>-2.765432306541098E-3</v>
      </c>
    </row>
    <row r="464" spans="1:4" x14ac:dyDescent="0.3">
      <c r="A464" s="1">
        <v>44880</v>
      </c>
      <c r="B464">
        <v>61872.99</v>
      </c>
      <c r="C464">
        <f t="shared" si="15"/>
        <v>4.0380272993622872E-3</v>
      </c>
      <c r="D464" s="2">
        <f t="shared" si="16"/>
        <v>4.0380272993622872E-3</v>
      </c>
    </row>
    <row r="465" spans="1:4" x14ac:dyDescent="0.3">
      <c r="A465" s="1">
        <v>44881</v>
      </c>
      <c r="B465">
        <v>61980.72</v>
      </c>
      <c r="C465">
        <f t="shared" si="15"/>
        <v>1.7411474700027138E-3</v>
      </c>
      <c r="D465" s="2">
        <f t="shared" si="16"/>
        <v>1.7411474700027138E-3</v>
      </c>
    </row>
    <row r="466" spans="1:4" x14ac:dyDescent="0.3">
      <c r="A466" s="1">
        <v>44882</v>
      </c>
      <c r="B466">
        <v>61750.6</v>
      </c>
      <c r="C466">
        <f t="shared" si="15"/>
        <v>-3.7127674541373931E-3</v>
      </c>
      <c r="D466" s="2">
        <f t="shared" si="16"/>
        <v>-3.7127674541373931E-3</v>
      </c>
    </row>
    <row r="467" spans="1:4" x14ac:dyDescent="0.3">
      <c r="A467" s="1">
        <v>44883</v>
      </c>
      <c r="B467">
        <v>61663.48</v>
      </c>
      <c r="C467">
        <f t="shared" si="15"/>
        <v>-1.4108364938963402E-3</v>
      </c>
      <c r="D467" s="2">
        <f t="shared" si="16"/>
        <v>-1.4108364938963402E-3</v>
      </c>
    </row>
    <row r="468" spans="1:4" x14ac:dyDescent="0.3">
      <c r="A468" s="1">
        <v>44886</v>
      </c>
      <c r="B468">
        <v>61144.84</v>
      </c>
      <c r="C468">
        <f t="shared" si="15"/>
        <v>-8.4108130128239065E-3</v>
      </c>
      <c r="D468" s="2">
        <f t="shared" si="16"/>
        <v>-8.4108130128239065E-3</v>
      </c>
    </row>
    <row r="469" spans="1:4" x14ac:dyDescent="0.3">
      <c r="A469" s="1">
        <v>44887</v>
      </c>
      <c r="B469">
        <v>61418.96</v>
      </c>
      <c r="C469">
        <f t="shared" si="15"/>
        <v>4.4831256406918825E-3</v>
      </c>
      <c r="D469" s="2">
        <f t="shared" si="16"/>
        <v>4.4831256406918825E-3</v>
      </c>
    </row>
    <row r="470" spans="1:4" x14ac:dyDescent="0.3">
      <c r="A470" s="1">
        <v>44888</v>
      </c>
      <c r="B470">
        <v>61510.58</v>
      </c>
      <c r="C470">
        <f t="shared" si="15"/>
        <v>1.4917217745139713E-3</v>
      </c>
      <c r="D470" s="2">
        <f t="shared" si="16"/>
        <v>1.4917217745139713E-3</v>
      </c>
    </row>
    <row r="471" spans="1:4" x14ac:dyDescent="0.3">
      <c r="A471" s="1">
        <v>44889</v>
      </c>
      <c r="B471">
        <v>62272.68</v>
      </c>
      <c r="C471">
        <f t="shared" si="15"/>
        <v>1.2389738480762148E-2</v>
      </c>
      <c r="D471" s="2">
        <f t="shared" si="16"/>
        <v>1.2389738480762148E-2</v>
      </c>
    </row>
    <row r="472" spans="1:4" x14ac:dyDescent="0.3">
      <c r="A472" s="1">
        <v>44890</v>
      </c>
      <c r="B472">
        <v>62293.64</v>
      </c>
      <c r="C472">
        <f t="shared" si="15"/>
        <v>3.3658419711499692E-4</v>
      </c>
      <c r="D472" s="2">
        <f t="shared" si="16"/>
        <v>3.3658419711499692E-4</v>
      </c>
    </row>
    <row r="473" spans="1:4" x14ac:dyDescent="0.3">
      <c r="A473" s="1">
        <v>44893</v>
      </c>
      <c r="B473">
        <v>62504.800000000003</v>
      </c>
      <c r="C473">
        <f t="shared" si="15"/>
        <v>3.3897521480524095E-3</v>
      </c>
      <c r="D473" s="2">
        <f t="shared" si="16"/>
        <v>3.3897521480524095E-3</v>
      </c>
    </row>
    <row r="474" spans="1:4" x14ac:dyDescent="0.3">
      <c r="A474" s="1">
        <v>44894</v>
      </c>
      <c r="B474">
        <v>62681.84</v>
      </c>
      <c r="C474">
        <f t="shared" si="15"/>
        <v>2.8324224699542051E-3</v>
      </c>
      <c r="D474" s="2">
        <f t="shared" si="16"/>
        <v>2.8324224699542051E-3</v>
      </c>
    </row>
    <row r="475" spans="1:4" x14ac:dyDescent="0.3">
      <c r="A475" s="1">
        <v>44895</v>
      </c>
      <c r="B475">
        <v>63099.65</v>
      </c>
      <c r="C475">
        <f t="shared" si="15"/>
        <v>6.6655669329426992E-3</v>
      </c>
      <c r="D475" s="2">
        <f t="shared" si="16"/>
        <v>6.6655669329426992E-3</v>
      </c>
    </row>
    <row r="476" spans="1:4" x14ac:dyDescent="0.3">
      <c r="A476" s="1">
        <v>44896</v>
      </c>
      <c r="B476">
        <v>63284.19</v>
      </c>
      <c r="C476">
        <f t="shared" si="15"/>
        <v>2.9245804057550376E-3</v>
      </c>
      <c r="D476" s="2">
        <f t="shared" si="16"/>
        <v>2.9245804057550376E-3</v>
      </c>
    </row>
    <row r="477" spans="1:4" x14ac:dyDescent="0.3">
      <c r="A477" s="1">
        <v>44897</v>
      </c>
      <c r="B477">
        <v>62868.5</v>
      </c>
      <c r="C477">
        <f t="shared" si="15"/>
        <v>-6.5686232216925315E-3</v>
      </c>
      <c r="D477" s="2">
        <f t="shared" si="16"/>
        <v>-6.5686232216925315E-3</v>
      </c>
    </row>
    <row r="478" spans="1:4" x14ac:dyDescent="0.3">
      <c r="A478" s="1">
        <v>44900</v>
      </c>
      <c r="B478">
        <v>62834.6</v>
      </c>
      <c r="C478">
        <f t="shared" si="15"/>
        <v>-5.392207544318928E-4</v>
      </c>
      <c r="D478" s="2">
        <f t="shared" si="16"/>
        <v>-5.392207544318928E-4</v>
      </c>
    </row>
    <row r="479" spans="1:4" x14ac:dyDescent="0.3">
      <c r="A479" s="1">
        <v>44901</v>
      </c>
      <c r="B479">
        <v>62626.36</v>
      </c>
      <c r="C479">
        <f t="shared" si="15"/>
        <v>-3.3140976468378565E-3</v>
      </c>
      <c r="D479" s="2">
        <f t="shared" si="16"/>
        <v>-3.3140976468378565E-3</v>
      </c>
    </row>
    <row r="480" spans="1:4" x14ac:dyDescent="0.3">
      <c r="A480" s="1">
        <v>44902</v>
      </c>
      <c r="B480">
        <v>62410.68</v>
      </c>
      <c r="C480">
        <f t="shared" si="15"/>
        <v>-3.4439172259093502E-3</v>
      </c>
      <c r="D480" s="2">
        <f t="shared" si="16"/>
        <v>-3.4439172259093502E-3</v>
      </c>
    </row>
    <row r="481" spans="1:4" x14ac:dyDescent="0.3">
      <c r="A481" s="1">
        <v>44903</v>
      </c>
      <c r="B481">
        <v>62570.68</v>
      </c>
      <c r="C481">
        <f t="shared" si="15"/>
        <v>2.5636637831858264E-3</v>
      </c>
      <c r="D481" s="2">
        <f t="shared" si="16"/>
        <v>2.5636637831858264E-3</v>
      </c>
    </row>
    <row r="482" spans="1:4" x14ac:dyDescent="0.3">
      <c r="A482" s="1">
        <v>44904</v>
      </c>
      <c r="B482">
        <v>62181.67</v>
      </c>
      <c r="C482">
        <f t="shared" si="15"/>
        <v>-6.2171291729609147E-3</v>
      </c>
      <c r="D482" s="2">
        <f t="shared" si="16"/>
        <v>-6.2171291729609147E-3</v>
      </c>
    </row>
    <row r="483" spans="1:4" x14ac:dyDescent="0.3">
      <c r="A483" s="1">
        <v>44907</v>
      </c>
      <c r="B483">
        <v>62130.57</v>
      </c>
      <c r="C483">
        <f t="shared" si="15"/>
        <v>-8.2178558407965802E-4</v>
      </c>
      <c r="D483" s="2">
        <f t="shared" si="16"/>
        <v>-8.2178558407965802E-4</v>
      </c>
    </row>
    <row r="484" spans="1:4" x14ac:dyDescent="0.3">
      <c r="A484" s="1">
        <v>44908</v>
      </c>
      <c r="B484">
        <v>62533.3</v>
      </c>
      <c r="C484">
        <f t="shared" si="15"/>
        <v>6.4819942904113578E-3</v>
      </c>
      <c r="D484" s="2">
        <f t="shared" si="16"/>
        <v>6.4819942904113578E-3</v>
      </c>
    </row>
    <row r="485" spans="1:4" x14ac:dyDescent="0.3">
      <c r="A485" s="1">
        <v>44909</v>
      </c>
      <c r="B485">
        <v>62677.91</v>
      </c>
      <c r="C485">
        <f t="shared" si="15"/>
        <v>2.312527885142805E-3</v>
      </c>
      <c r="D485" s="2">
        <f t="shared" si="16"/>
        <v>2.312527885142805E-3</v>
      </c>
    </row>
    <row r="486" spans="1:4" x14ac:dyDescent="0.3">
      <c r="A486" s="1">
        <v>44910</v>
      </c>
      <c r="B486">
        <v>61799.03</v>
      </c>
      <c r="C486">
        <f t="shared" si="15"/>
        <v>-1.4022165065810341E-2</v>
      </c>
      <c r="D486" s="2">
        <f t="shared" si="16"/>
        <v>-1.4022165065810341E-2</v>
      </c>
    </row>
    <row r="487" spans="1:4" x14ac:dyDescent="0.3">
      <c r="A487" s="1">
        <v>44911</v>
      </c>
      <c r="B487">
        <v>61337.81</v>
      </c>
      <c r="C487">
        <f t="shared" si="15"/>
        <v>-7.4632239373336635E-3</v>
      </c>
      <c r="D487" s="2">
        <f t="shared" si="16"/>
        <v>-7.4632239373336635E-3</v>
      </c>
    </row>
    <row r="488" spans="1:4" x14ac:dyDescent="0.3">
      <c r="A488" s="1">
        <v>44914</v>
      </c>
      <c r="B488">
        <v>61806.19</v>
      </c>
      <c r="C488">
        <f t="shared" si="15"/>
        <v>7.6360730844483148E-3</v>
      </c>
      <c r="D488" s="2">
        <f t="shared" si="16"/>
        <v>7.6360730844483148E-3</v>
      </c>
    </row>
    <row r="489" spans="1:4" x14ac:dyDescent="0.3">
      <c r="A489" s="1">
        <v>44915</v>
      </c>
      <c r="B489">
        <v>61702.29</v>
      </c>
      <c r="C489">
        <f t="shared" si="15"/>
        <v>-1.681061395306869E-3</v>
      </c>
      <c r="D489" s="2">
        <f t="shared" si="16"/>
        <v>-1.681061395306869E-3</v>
      </c>
    </row>
    <row r="490" spans="1:4" x14ac:dyDescent="0.3">
      <c r="A490" s="1">
        <v>44916</v>
      </c>
      <c r="B490">
        <v>61067.24</v>
      </c>
      <c r="C490">
        <f t="shared" si="15"/>
        <v>-1.029216257613782E-2</v>
      </c>
      <c r="D490" s="2">
        <f t="shared" si="16"/>
        <v>-1.029216257613782E-2</v>
      </c>
    </row>
    <row r="491" spans="1:4" x14ac:dyDescent="0.3">
      <c r="A491" s="1">
        <v>44917</v>
      </c>
      <c r="B491">
        <v>60826.22</v>
      </c>
      <c r="C491">
        <f t="shared" si="15"/>
        <v>-3.9467970060542579E-3</v>
      </c>
      <c r="D491" s="2">
        <f t="shared" si="16"/>
        <v>-3.9467970060542579E-3</v>
      </c>
    </row>
    <row r="492" spans="1:4" x14ac:dyDescent="0.3">
      <c r="A492" s="1">
        <v>44918</v>
      </c>
      <c r="B492">
        <v>59845.29</v>
      </c>
      <c r="C492">
        <f t="shared" si="15"/>
        <v>-1.612676243896136E-2</v>
      </c>
      <c r="D492" s="2">
        <f t="shared" si="16"/>
        <v>-1.612676243896136E-2</v>
      </c>
    </row>
    <row r="493" spans="1:4" x14ac:dyDescent="0.3">
      <c r="A493" s="1">
        <v>44921</v>
      </c>
      <c r="B493">
        <v>60566.42</v>
      </c>
      <c r="C493">
        <f t="shared" si="15"/>
        <v>1.2049904010825202E-2</v>
      </c>
      <c r="D493" s="2">
        <f t="shared" si="16"/>
        <v>1.2049904010825202E-2</v>
      </c>
    </row>
    <row r="494" spans="1:4" x14ac:dyDescent="0.3">
      <c r="A494" s="1">
        <v>44922</v>
      </c>
      <c r="B494">
        <v>60927.43</v>
      </c>
      <c r="C494">
        <f t="shared" si="15"/>
        <v>5.9605636258507943E-3</v>
      </c>
      <c r="D494" s="2">
        <f t="shared" si="16"/>
        <v>5.9605636258507943E-3</v>
      </c>
    </row>
    <row r="495" spans="1:4" x14ac:dyDescent="0.3">
      <c r="A495" s="1">
        <v>44923</v>
      </c>
      <c r="B495">
        <v>60910.28</v>
      </c>
      <c r="C495">
        <f t="shared" si="15"/>
        <v>-2.8148241276550569E-4</v>
      </c>
      <c r="D495" s="2">
        <f t="shared" si="16"/>
        <v>-2.8148241276550569E-4</v>
      </c>
    </row>
    <row r="496" spans="1:4" x14ac:dyDescent="0.3">
      <c r="A496" s="1">
        <v>44924</v>
      </c>
      <c r="B496">
        <v>61133.88</v>
      </c>
      <c r="C496">
        <f t="shared" si="15"/>
        <v>3.67097310995777E-3</v>
      </c>
      <c r="D496" s="2">
        <f t="shared" si="16"/>
        <v>3.67097310995777E-3</v>
      </c>
    </row>
    <row r="497" spans="1:4" x14ac:dyDescent="0.3">
      <c r="A497" s="1">
        <v>44925</v>
      </c>
      <c r="B497">
        <v>60840.74</v>
      </c>
      <c r="C497">
        <f t="shared" si="15"/>
        <v>-4.7950498152579133E-3</v>
      </c>
      <c r="D497" s="2">
        <f t="shared" si="16"/>
        <v>-4.7950498152579133E-3</v>
      </c>
    </row>
    <row r="498" spans="1:4" x14ac:dyDescent="0.3">
      <c r="A498" s="1">
        <v>44928</v>
      </c>
      <c r="B498">
        <v>61167.79</v>
      </c>
      <c r="C498">
        <f t="shared" si="15"/>
        <v>5.3755098968224736E-3</v>
      </c>
      <c r="D498" s="2">
        <f t="shared" si="16"/>
        <v>5.3755098968224736E-3</v>
      </c>
    </row>
    <row r="499" spans="1:4" x14ac:dyDescent="0.3">
      <c r="A499" s="1">
        <v>44929</v>
      </c>
      <c r="B499">
        <v>61294.2</v>
      </c>
      <c r="C499">
        <f t="shared" si="15"/>
        <v>2.0666105478062266E-3</v>
      </c>
      <c r="D499" s="2">
        <f t="shared" si="16"/>
        <v>2.0666105478062266E-3</v>
      </c>
    </row>
    <row r="500" spans="1:4" x14ac:dyDescent="0.3">
      <c r="A500" s="1">
        <v>44930</v>
      </c>
      <c r="B500">
        <v>60657.45</v>
      </c>
      <c r="C500">
        <f t="shared" si="15"/>
        <v>-1.0388421743003418E-2</v>
      </c>
      <c r="D500" s="2">
        <f t="shared" si="16"/>
        <v>-1.0388421743003418E-2</v>
      </c>
    </row>
    <row r="501" spans="1:4" x14ac:dyDescent="0.3">
      <c r="A501" s="1">
        <v>44931</v>
      </c>
      <c r="B501">
        <v>60353.27</v>
      </c>
      <c r="C501">
        <f t="shared" si="15"/>
        <v>-5.0147178953286083E-3</v>
      </c>
      <c r="D501" s="2">
        <f t="shared" si="16"/>
        <v>-5.0147178953286083E-3</v>
      </c>
    </row>
    <row r="502" spans="1:4" x14ac:dyDescent="0.3">
      <c r="A502" s="1">
        <v>44932</v>
      </c>
      <c r="B502">
        <v>59900.37</v>
      </c>
      <c r="C502">
        <f t="shared" si="15"/>
        <v>-7.5041501479537762E-3</v>
      </c>
      <c r="D502" s="2">
        <f t="shared" si="16"/>
        <v>-7.5041501479537762E-3</v>
      </c>
    </row>
    <row r="503" spans="1:4" x14ac:dyDescent="0.3">
      <c r="A503" s="1">
        <v>44935</v>
      </c>
      <c r="B503">
        <v>60747.31</v>
      </c>
      <c r="C503">
        <f t="shared" si="15"/>
        <v>1.413914471646828E-2</v>
      </c>
      <c r="D503" s="2">
        <f t="shared" si="16"/>
        <v>1.413914471646828E-2</v>
      </c>
    </row>
    <row r="504" spans="1:4" x14ac:dyDescent="0.3">
      <c r="A504" s="1">
        <v>44936</v>
      </c>
      <c r="B504">
        <v>60115.48</v>
      </c>
      <c r="C504">
        <f t="shared" si="15"/>
        <v>-1.0400954379708246E-2</v>
      </c>
      <c r="D504" s="2">
        <f t="shared" si="16"/>
        <v>-1.0400954379708246E-2</v>
      </c>
    </row>
    <row r="505" spans="1:4" x14ac:dyDescent="0.3">
      <c r="A505" s="1">
        <v>44937</v>
      </c>
      <c r="B505">
        <v>60105.5</v>
      </c>
      <c r="C505">
        <f t="shared" si="15"/>
        <v>-1.6601381208306414E-4</v>
      </c>
      <c r="D505" s="2">
        <f t="shared" si="16"/>
        <v>-1.6601381208306414E-4</v>
      </c>
    </row>
    <row r="506" spans="1:4" x14ac:dyDescent="0.3">
      <c r="A506" s="1">
        <v>44938</v>
      </c>
      <c r="B506">
        <v>59958.03</v>
      </c>
      <c r="C506">
        <f t="shared" si="15"/>
        <v>-2.4535192286895737E-3</v>
      </c>
      <c r="D506" s="2">
        <f t="shared" si="16"/>
        <v>-2.4535192286895737E-3</v>
      </c>
    </row>
    <row r="507" spans="1:4" x14ac:dyDescent="0.3">
      <c r="A507" s="1">
        <v>44939</v>
      </c>
      <c r="B507">
        <v>60261.18</v>
      </c>
      <c r="C507">
        <f t="shared" si="15"/>
        <v>5.0560366976700449E-3</v>
      </c>
      <c r="D507" s="2">
        <f t="shared" si="16"/>
        <v>5.0560366976700449E-3</v>
      </c>
    </row>
    <row r="508" spans="1:4" x14ac:dyDescent="0.3">
      <c r="A508" s="1">
        <v>44942</v>
      </c>
      <c r="B508">
        <v>60092.97</v>
      </c>
      <c r="C508">
        <f t="shared" si="15"/>
        <v>-2.7913492566856331E-3</v>
      </c>
      <c r="D508" s="2">
        <f t="shared" si="16"/>
        <v>-2.7913492566856331E-3</v>
      </c>
    </row>
    <row r="509" spans="1:4" x14ac:dyDescent="0.3">
      <c r="A509" s="1">
        <v>44943</v>
      </c>
      <c r="B509">
        <v>60655.72</v>
      </c>
      <c r="C509">
        <f t="shared" si="15"/>
        <v>9.364656131990147E-3</v>
      </c>
      <c r="D509" s="2">
        <f t="shared" si="16"/>
        <v>9.364656131990147E-3</v>
      </c>
    </row>
    <row r="510" spans="1:4" x14ac:dyDescent="0.3">
      <c r="A510" s="1">
        <v>44944</v>
      </c>
      <c r="B510">
        <v>61045.74</v>
      </c>
      <c r="C510">
        <f t="shared" si="15"/>
        <v>6.4300613363421754E-3</v>
      </c>
      <c r="D510" s="2">
        <f t="shared" si="16"/>
        <v>6.4300613363421754E-3</v>
      </c>
    </row>
    <row r="511" spans="1:4" x14ac:dyDescent="0.3">
      <c r="A511" s="1">
        <v>44945</v>
      </c>
      <c r="B511">
        <v>60858.43</v>
      </c>
      <c r="C511">
        <f t="shared" si="15"/>
        <v>-3.06835497448303E-3</v>
      </c>
      <c r="D511" s="2">
        <f t="shared" si="16"/>
        <v>-3.06835497448303E-3</v>
      </c>
    </row>
    <row r="512" spans="1:4" x14ac:dyDescent="0.3">
      <c r="A512" s="1">
        <v>44946</v>
      </c>
      <c r="B512">
        <v>60621.77</v>
      </c>
      <c r="C512">
        <f t="shared" si="15"/>
        <v>-3.8886970958666449E-3</v>
      </c>
      <c r="D512" s="2">
        <f t="shared" si="16"/>
        <v>-3.8886970958666449E-3</v>
      </c>
    </row>
    <row r="513" spans="1:4" x14ac:dyDescent="0.3">
      <c r="A513" s="1">
        <v>44949</v>
      </c>
      <c r="B513">
        <v>60941.67</v>
      </c>
      <c r="C513">
        <f t="shared" si="15"/>
        <v>5.2769821798341002E-3</v>
      </c>
      <c r="D513" s="2">
        <f t="shared" si="16"/>
        <v>5.2769821798341002E-3</v>
      </c>
    </row>
    <row r="514" spans="1:4" x14ac:dyDescent="0.3">
      <c r="A514" s="1">
        <v>44950</v>
      </c>
      <c r="B514">
        <v>60978.75</v>
      </c>
      <c r="C514">
        <f t="shared" si="15"/>
        <v>6.0845067094488468E-4</v>
      </c>
      <c r="D514" s="2">
        <f t="shared" si="16"/>
        <v>6.0845067094488468E-4</v>
      </c>
    </row>
    <row r="515" spans="1:4" x14ac:dyDescent="0.3">
      <c r="A515" s="1">
        <v>44951</v>
      </c>
      <c r="B515">
        <v>60205.06</v>
      </c>
      <c r="C515">
        <f t="shared" si="15"/>
        <v>-1.2687862575077421E-2</v>
      </c>
      <c r="D515" s="2">
        <f t="shared" si="16"/>
        <v>-1.2687862575077421E-2</v>
      </c>
    </row>
    <row r="516" spans="1:4" x14ac:dyDescent="0.3">
      <c r="A516" s="1">
        <v>44953</v>
      </c>
      <c r="B516">
        <v>59330.9</v>
      </c>
      <c r="C516">
        <f t="shared" ref="C516:C579" si="17">(B516-B515)/B515</f>
        <v>-1.451970980512263E-2</v>
      </c>
      <c r="D516" s="2">
        <f t="shared" ref="D516:D579" si="18">(B516-B515)/B515</f>
        <v>-1.451970980512263E-2</v>
      </c>
    </row>
    <row r="517" spans="1:4" x14ac:dyDescent="0.3">
      <c r="A517" s="1">
        <v>44956</v>
      </c>
      <c r="B517">
        <v>59500.41</v>
      </c>
      <c r="C517">
        <f t="shared" si="17"/>
        <v>2.8570272825796006E-3</v>
      </c>
      <c r="D517" s="2">
        <f t="shared" si="18"/>
        <v>2.8570272825796006E-3</v>
      </c>
    </row>
    <row r="518" spans="1:4" x14ac:dyDescent="0.3">
      <c r="A518" s="1">
        <v>44957</v>
      </c>
      <c r="B518">
        <v>59549.9</v>
      </c>
      <c r="C518">
        <f t="shared" si="17"/>
        <v>8.3175897443392335E-4</v>
      </c>
      <c r="D518" s="2">
        <f t="shared" si="18"/>
        <v>8.3175897443392335E-4</v>
      </c>
    </row>
    <row r="519" spans="1:4" x14ac:dyDescent="0.3">
      <c r="A519" s="1">
        <v>44958</v>
      </c>
      <c r="B519">
        <v>59708.08</v>
      </c>
      <c r="C519">
        <f t="shared" si="17"/>
        <v>2.6562597082446871E-3</v>
      </c>
      <c r="D519" s="2">
        <f t="shared" si="18"/>
        <v>2.6562597082446871E-3</v>
      </c>
    </row>
    <row r="520" spans="1:4" x14ac:dyDescent="0.3">
      <c r="A520" s="1">
        <v>44959</v>
      </c>
      <c r="B520">
        <v>59932.24</v>
      </c>
      <c r="C520">
        <f t="shared" si="17"/>
        <v>3.7542657543166054E-3</v>
      </c>
      <c r="D520" s="2">
        <f t="shared" si="18"/>
        <v>3.7542657543166054E-3</v>
      </c>
    </row>
    <row r="521" spans="1:4" x14ac:dyDescent="0.3">
      <c r="A521" s="1">
        <v>44960</v>
      </c>
      <c r="B521">
        <v>60841.88</v>
      </c>
      <c r="C521">
        <f t="shared" si="17"/>
        <v>1.5177807470570088E-2</v>
      </c>
      <c r="D521" s="2">
        <f t="shared" si="18"/>
        <v>1.5177807470570088E-2</v>
      </c>
    </row>
    <row r="522" spans="1:4" x14ac:dyDescent="0.3">
      <c r="A522" s="1">
        <v>44963</v>
      </c>
      <c r="B522">
        <v>60506.9</v>
      </c>
      <c r="C522">
        <f t="shared" si="17"/>
        <v>-5.5057470281982728E-3</v>
      </c>
      <c r="D522" s="2">
        <f t="shared" si="18"/>
        <v>-5.5057470281982728E-3</v>
      </c>
    </row>
    <row r="523" spans="1:4" x14ac:dyDescent="0.3">
      <c r="A523" s="1">
        <v>44964</v>
      </c>
      <c r="B523">
        <v>60286.04</v>
      </c>
      <c r="C523">
        <f t="shared" si="17"/>
        <v>-3.6501622129046533E-3</v>
      </c>
      <c r="D523" s="2">
        <f t="shared" si="18"/>
        <v>-3.6501622129046533E-3</v>
      </c>
    </row>
    <row r="524" spans="1:4" x14ac:dyDescent="0.3">
      <c r="A524" s="1">
        <v>44965</v>
      </c>
      <c r="B524">
        <v>60663.79</v>
      </c>
      <c r="C524">
        <f t="shared" si="17"/>
        <v>6.2659614066540113E-3</v>
      </c>
      <c r="D524" s="2">
        <f t="shared" si="18"/>
        <v>6.2659614066540113E-3</v>
      </c>
    </row>
    <row r="525" spans="1:4" x14ac:dyDescent="0.3">
      <c r="A525" s="1">
        <v>44966</v>
      </c>
      <c r="B525">
        <v>60806.22</v>
      </c>
      <c r="C525">
        <f t="shared" si="17"/>
        <v>2.3478585825250993E-3</v>
      </c>
      <c r="D525" s="2">
        <f t="shared" si="18"/>
        <v>2.3478585825250993E-3</v>
      </c>
    </row>
    <row r="526" spans="1:4" x14ac:dyDescent="0.3">
      <c r="A526" s="1">
        <v>44967</v>
      </c>
      <c r="B526">
        <v>60682.7</v>
      </c>
      <c r="C526">
        <f t="shared" si="17"/>
        <v>-2.0313711327558936E-3</v>
      </c>
      <c r="D526" s="2">
        <f t="shared" si="18"/>
        <v>-2.0313711327558936E-3</v>
      </c>
    </row>
    <row r="527" spans="1:4" x14ac:dyDescent="0.3">
      <c r="A527" s="1">
        <v>44970</v>
      </c>
      <c r="B527">
        <v>60431.839999999997</v>
      </c>
      <c r="C527">
        <f t="shared" si="17"/>
        <v>-4.1339623978498092E-3</v>
      </c>
      <c r="D527" s="2">
        <f t="shared" si="18"/>
        <v>-4.1339623978498092E-3</v>
      </c>
    </row>
    <row r="528" spans="1:4" x14ac:dyDescent="0.3">
      <c r="A528" s="1">
        <v>44971</v>
      </c>
      <c r="B528">
        <v>61032.26</v>
      </c>
      <c r="C528">
        <f t="shared" si="17"/>
        <v>9.9354909597325781E-3</v>
      </c>
      <c r="D528" s="2">
        <f t="shared" si="18"/>
        <v>9.9354909597325781E-3</v>
      </c>
    </row>
    <row r="529" spans="1:4" x14ac:dyDescent="0.3">
      <c r="A529" s="1">
        <v>44972</v>
      </c>
      <c r="B529">
        <v>61275.09</v>
      </c>
      <c r="C529">
        <f t="shared" si="17"/>
        <v>3.9787155186452941E-3</v>
      </c>
      <c r="D529" s="2">
        <f t="shared" si="18"/>
        <v>3.9787155186452941E-3</v>
      </c>
    </row>
    <row r="530" spans="1:4" x14ac:dyDescent="0.3">
      <c r="A530" s="1">
        <v>44973</v>
      </c>
      <c r="B530">
        <v>61319.51</v>
      </c>
      <c r="C530">
        <f t="shared" si="17"/>
        <v>7.2492753580623921E-4</v>
      </c>
      <c r="D530" s="2">
        <f t="shared" si="18"/>
        <v>7.2492753580623921E-4</v>
      </c>
    </row>
    <row r="531" spans="1:4" x14ac:dyDescent="0.3">
      <c r="A531" s="1">
        <v>44974</v>
      </c>
      <c r="B531">
        <v>61002.57</v>
      </c>
      <c r="C531">
        <f t="shared" si="17"/>
        <v>-5.1686649159460394E-3</v>
      </c>
      <c r="D531" s="2">
        <f t="shared" si="18"/>
        <v>-5.1686649159460394E-3</v>
      </c>
    </row>
    <row r="532" spans="1:4" x14ac:dyDescent="0.3">
      <c r="A532" s="1">
        <v>44977</v>
      </c>
      <c r="B532">
        <v>60691.54</v>
      </c>
      <c r="C532">
        <f t="shared" si="17"/>
        <v>-5.0986376475613869E-3</v>
      </c>
      <c r="D532" s="2">
        <f t="shared" si="18"/>
        <v>-5.0986376475613869E-3</v>
      </c>
    </row>
    <row r="533" spans="1:4" x14ac:dyDescent="0.3">
      <c r="A533" s="1">
        <v>44978</v>
      </c>
      <c r="B533">
        <v>60672.72</v>
      </c>
      <c r="C533">
        <f t="shared" si="17"/>
        <v>-3.1009264223645844E-4</v>
      </c>
      <c r="D533" s="2">
        <f t="shared" si="18"/>
        <v>-3.1009264223645844E-4</v>
      </c>
    </row>
    <row r="534" spans="1:4" x14ac:dyDescent="0.3">
      <c r="A534" s="1">
        <v>44979</v>
      </c>
      <c r="B534">
        <v>59744.98</v>
      </c>
      <c r="C534">
        <f t="shared" si="17"/>
        <v>-1.5290891853867734E-2</v>
      </c>
      <c r="D534" s="2">
        <f t="shared" si="18"/>
        <v>-1.5290891853867734E-2</v>
      </c>
    </row>
    <row r="535" spans="1:4" x14ac:dyDescent="0.3">
      <c r="A535" s="1">
        <v>44980</v>
      </c>
      <c r="B535">
        <v>59605.8</v>
      </c>
      <c r="C535">
        <f t="shared" si="17"/>
        <v>-2.3295681076468734E-3</v>
      </c>
      <c r="D535" s="2">
        <f t="shared" si="18"/>
        <v>-2.3295681076468734E-3</v>
      </c>
    </row>
    <row r="536" spans="1:4" x14ac:dyDescent="0.3">
      <c r="A536" s="1">
        <v>44981</v>
      </c>
      <c r="B536">
        <v>59463.93</v>
      </c>
      <c r="C536">
        <f t="shared" si="17"/>
        <v>-2.3801375033973642E-3</v>
      </c>
      <c r="D536" s="2">
        <f t="shared" si="18"/>
        <v>-2.3801375033973642E-3</v>
      </c>
    </row>
    <row r="537" spans="1:4" x14ac:dyDescent="0.3">
      <c r="A537" s="1">
        <v>44984</v>
      </c>
      <c r="B537">
        <v>59288.35</v>
      </c>
      <c r="C537">
        <f t="shared" si="17"/>
        <v>-2.952714359780824E-3</v>
      </c>
      <c r="D537" s="2">
        <f t="shared" si="18"/>
        <v>-2.952714359780824E-3</v>
      </c>
    </row>
    <row r="538" spans="1:4" x14ac:dyDescent="0.3">
      <c r="A538" s="1">
        <v>44985</v>
      </c>
      <c r="B538">
        <v>58962.12</v>
      </c>
      <c r="C538">
        <f t="shared" si="17"/>
        <v>-5.5024300726870612E-3</v>
      </c>
      <c r="D538" s="2">
        <f t="shared" si="18"/>
        <v>-5.5024300726870612E-3</v>
      </c>
    </row>
    <row r="539" spans="1:4" x14ac:dyDescent="0.3">
      <c r="A539" s="1">
        <v>44986</v>
      </c>
      <c r="B539">
        <v>59411.08</v>
      </c>
      <c r="C539">
        <f t="shared" si="17"/>
        <v>7.6143802156367364E-3</v>
      </c>
      <c r="D539" s="2">
        <f t="shared" si="18"/>
        <v>7.6143802156367364E-3</v>
      </c>
    </row>
    <row r="540" spans="1:4" x14ac:dyDescent="0.3">
      <c r="A540" s="1">
        <v>44987</v>
      </c>
      <c r="B540">
        <v>58909.35</v>
      </c>
      <c r="C540">
        <f t="shared" si="17"/>
        <v>-8.4450577232395574E-3</v>
      </c>
      <c r="D540" s="2">
        <f t="shared" si="18"/>
        <v>-8.4450577232395574E-3</v>
      </c>
    </row>
    <row r="541" spans="1:4" x14ac:dyDescent="0.3">
      <c r="A541" s="1">
        <v>44988</v>
      </c>
      <c r="B541">
        <v>59808.97</v>
      </c>
      <c r="C541">
        <f t="shared" si="17"/>
        <v>1.5271259995230005E-2</v>
      </c>
      <c r="D541" s="2">
        <f t="shared" si="18"/>
        <v>1.5271259995230005E-2</v>
      </c>
    </row>
    <row r="542" spans="1:4" x14ac:dyDescent="0.3">
      <c r="A542" s="1">
        <v>44991</v>
      </c>
      <c r="B542">
        <v>60224.46</v>
      </c>
      <c r="C542">
        <f t="shared" si="17"/>
        <v>6.9469512683465028E-3</v>
      </c>
      <c r="D542" s="2">
        <f t="shared" si="18"/>
        <v>6.9469512683465028E-3</v>
      </c>
    </row>
    <row r="543" spans="1:4" x14ac:dyDescent="0.3">
      <c r="A543" s="1">
        <v>44993</v>
      </c>
      <c r="B543">
        <v>60348.09</v>
      </c>
      <c r="C543">
        <f t="shared" si="17"/>
        <v>2.0528203988877175E-3</v>
      </c>
      <c r="D543" s="2">
        <f t="shared" si="18"/>
        <v>2.0528203988877175E-3</v>
      </c>
    </row>
    <row r="544" spans="1:4" x14ac:dyDescent="0.3">
      <c r="A544" s="1">
        <v>44994</v>
      </c>
      <c r="B544">
        <v>59806.28</v>
      </c>
      <c r="C544">
        <f t="shared" si="17"/>
        <v>-8.9780803336111832E-3</v>
      </c>
      <c r="D544" s="2">
        <f t="shared" si="18"/>
        <v>-8.9780803336111832E-3</v>
      </c>
    </row>
    <row r="545" spans="1:4" x14ac:dyDescent="0.3">
      <c r="A545" s="1">
        <v>44995</v>
      </c>
      <c r="B545">
        <v>59135.13</v>
      </c>
      <c r="C545">
        <f t="shared" si="17"/>
        <v>-1.1222065642604782E-2</v>
      </c>
      <c r="D545" s="2">
        <f t="shared" si="18"/>
        <v>-1.1222065642604782E-2</v>
      </c>
    </row>
    <row r="546" spans="1:4" x14ac:dyDescent="0.3">
      <c r="A546" s="1">
        <v>44998</v>
      </c>
      <c r="B546">
        <v>58237.85</v>
      </c>
      <c r="C546">
        <f t="shared" si="17"/>
        <v>-1.5173383401710606E-2</v>
      </c>
      <c r="D546" s="2">
        <f t="shared" si="18"/>
        <v>-1.5173383401710606E-2</v>
      </c>
    </row>
    <row r="547" spans="1:4" x14ac:dyDescent="0.3">
      <c r="A547" s="1">
        <v>44999</v>
      </c>
      <c r="B547">
        <v>57900.19</v>
      </c>
      <c r="C547">
        <f t="shared" si="17"/>
        <v>-5.7979475547259426E-3</v>
      </c>
      <c r="D547" s="2">
        <f t="shared" si="18"/>
        <v>-5.7979475547259426E-3</v>
      </c>
    </row>
    <row r="548" spans="1:4" x14ac:dyDescent="0.3">
      <c r="A548" s="1">
        <v>45000</v>
      </c>
      <c r="B548">
        <v>57555.9</v>
      </c>
      <c r="C548">
        <f t="shared" si="17"/>
        <v>-5.9462671884151132E-3</v>
      </c>
      <c r="D548" s="2">
        <f t="shared" si="18"/>
        <v>-5.9462671884151132E-3</v>
      </c>
    </row>
    <row r="549" spans="1:4" x14ac:dyDescent="0.3">
      <c r="A549" s="1">
        <v>45001</v>
      </c>
      <c r="B549">
        <v>57634.84</v>
      </c>
      <c r="C549">
        <f t="shared" si="17"/>
        <v>1.3715361935091807E-3</v>
      </c>
      <c r="D549" s="2">
        <f t="shared" si="18"/>
        <v>1.3715361935091807E-3</v>
      </c>
    </row>
    <row r="550" spans="1:4" x14ac:dyDescent="0.3">
      <c r="A550" s="1">
        <v>45002</v>
      </c>
      <c r="B550">
        <v>57989.9</v>
      </c>
      <c r="C550">
        <f t="shared" si="17"/>
        <v>6.1605098582733116E-3</v>
      </c>
      <c r="D550" s="2">
        <f t="shared" si="18"/>
        <v>6.1605098582733116E-3</v>
      </c>
    </row>
    <row r="551" spans="1:4" x14ac:dyDescent="0.3">
      <c r="A551" s="1">
        <v>45005</v>
      </c>
      <c r="B551">
        <v>57628.95</v>
      </c>
      <c r="C551">
        <f t="shared" si="17"/>
        <v>-6.2243597591995223E-3</v>
      </c>
      <c r="D551" s="2">
        <f t="shared" si="18"/>
        <v>-6.2243597591995223E-3</v>
      </c>
    </row>
    <row r="552" spans="1:4" x14ac:dyDescent="0.3">
      <c r="A552" s="1">
        <v>45006</v>
      </c>
      <c r="B552">
        <v>58074.68</v>
      </c>
      <c r="C552">
        <f t="shared" si="17"/>
        <v>7.7344806733421869E-3</v>
      </c>
      <c r="D552" s="2">
        <f t="shared" si="18"/>
        <v>7.7344806733421869E-3</v>
      </c>
    </row>
    <row r="553" spans="1:4" x14ac:dyDescent="0.3">
      <c r="A553" s="1">
        <v>45007</v>
      </c>
      <c r="B553">
        <v>58214.59</v>
      </c>
      <c r="C553">
        <f t="shared" si="17"/>
        <v>2.4091394046423711E-3</v>
      </c>
      <c r="D553" s="2">
        <f t="shared" si="18"/>
        <v>2.4091394046423711E-3</v>
      </c>
    </row>
    <row r="554" spans="1:4" x14ac:dyDescent="0.3">
      <c r="A554" s="1">
        <v>45008</v>
      </c>
      <c r="B554">
        <v>57925.279999999999</v>
      </c>
      <c r="C554">
        <f t="shared" si="17"/>
        <v>-4.969716354611407E-3</v>
      </c>
      <c r="D554" s="2">
        <f t="shared" si="18"/>
        <v>-4.969716354611407E-3</v>
      </c>
    </row>
    <row r="555" spans="1:4" x14ac:dyDescent="0.3">
      <c r="A555" s="1">
        <v>45009</v>
      </c>
      <c r="B555">
        <v>57527.1</v>
      </c>
      <c r="C555">
        <f t="shared" si="17"/>
        <v>-6.8740280582156926E-3</v>
      </c>
      <c r="D555" s="2">
        <f t="shared" si="18"/>
        <v>-6.8740280582156926E-3</v>
      </c>
    </row>
    <row r="556" spans="1:4" x14ac:dyDescent="0.3">
      <c r="A556" s="1">
        <v>45012</v>
      </c>
      <c r="B556">
        <v>57653.86</v>
      </c>
      <c r="C556">
        <f t="shared" si="17"/>
        <v>2.203483227904797E-3</v>
      </c>
      <c r="D556" s="2">
        <f t="shared" si="18"/>
        <v>2.203483227904797E-3</v>
      </c>
    </row>
    <row r="557" spans="1:4" x14ac:dyDescent="0.3">
      <c r="A557" s="1">
        <v>45013</v>
      </c>
      <c r="B557">
        <v>57613.72</v>
      </c>
      <c r="C557">
        <f t="shared" si="17"/>
        <v>-6.9622398222771934E-4</v>
      </c>
      <c r="D557" s="2">
        <f t="shared" si="18"/>
        <v>-6.9622398222771934E-4</v>
      </c>
    </row>
    <row r="558" spans="1:4" x14ac:dyDescent="0.3">
      <c r="A558" s="1">
        <v>45014</v>
      </c>
      <c r="B558">
        <v>57960.09</v>
      </c>
      <c r="C558">
        <f t="shared" si="17"/>
        <v>6.0119360457890122E-3</v>
      </c>
      <c r="D558" s="2">
        <f t="shared" si="18"/>
        <v>6.0119360457890122E-3</v>
      </c>
    </row>
    <row r="559" spans="1:4" x14ac:dyDescent="0.3">
      <c r="A559" s="1">
        <v>45016</v>
      </c>
      <c r="B559">
        <v>58991.519999999997</v>
      </c>
      <c r="C559">
        <f t="shared" si="17"/>
        <v>1.7795521021447696E-2</v>
      </c>
      <c r="D559" s="2">
        <f t="shared" si="18"/>
        <v>1.7795521021447696E-2</v>
      </c>
    </row>
    <row r="560" spans="1:4" x14ac:dyDescent="0.3">
      <c r="A560" s="1">
        <v>45019</v>
      </c>
      <c r="B560">
        <v>59106.44</v>
      </c>
      <c r="C560">
        <f t="shared" si="17"/>
        <v>1.9480766049087316E-3</v>
      </c>
      <c r="D560" s="2">
        <f t="shared" si="18"/>
        <v>1.9480766049087316E-3</v>
      </c>
    </row>
    <row r="561" spans="1:4" x14ac:dyDescent="0.3">
      <c r="A561" s="1">
        <v>45021</v>
      </c>
      <c r="B561">
        <v>59689.31</v>
      </c>
      <c r="C561">
        <f t="shared" si="17"/>
        <v>9.8613619767997408E-3</v>
      </c>
      <c r="D561" s="2">
        <f t="shared" si="18"/>
        <v>9.8613619767997408E-3</v>
      </c>
    </row>
    <row r="562" spans="1:4" x14ac:dyDescent="0.3">
      <c r="A562" s="1">
        <v>45022</v>
      </c>
      <c r="B562">
        <v>59832.97</v>
      </c>
      <c r="C562">
        <f t="shared" si="17"/>
        <v>2.4067961248002952E-3</v>
      </c>
      <c r="D562" s="2">
        <f t="shared" si="18"/>
        <v>2.4067961248002952E-3</v>
      </c>
    </row>
    <row r="563" spans="1:4" x14ac:dyDescent="0.3">
      <c r="A563" s="1">
        <v>45026</v>
      </c>
      <c r="B563">
        <v>59846.51</v>
      </c>
      <c r="C563">
        <f t="shared" si="17"/>
        <v>2.262966387929744E-4</v>
      </c>
      <c r="D563" s="2">
        <f t="shared" si="18"/>
        <v>2.262966387929744E-4</v>
      </c>
    </row>
    <row r="564" spans="1:4" x14ac:dyDescent="0.3">
      <c r="A564" s="1">
        <v>45027</v>
      </c>
      <c r="B564">
        <v>60157.72</v>
      </c>
      <c r="C564">
        <f t="shared" si="17"/>
        <v>5.2001361482900028E-3</v>
      </c>
      <c r="D564" s="2">
        <f t="shared" si="18"/>
        <v>5.2001361482900028E-3</v>
      </c>
    </row>
    <row r="565" spans="1:4" x14ac:dyDescent="0.3">
      <c r="A565" s="1">
        <v>45028</v>
      </c>
      <c r="B565">
        <v>60392.77</v>
      </c>
      <c r="C565">
        <f t="shared" si="17"/>
        <v>3.9072291968511377E-3</v>
      </c>
      <c r="D565" s="2">
        <f t="shared" si="18"/>
        <v>3.9072291968511377E-3</v>
      </c>
    </row>
    <row r="566" spans="1:4" x14ac:dyDescent="0.3">
      <c r="A566" s="1">
        <v>45029</v>
      </c>
      <c r="B566">
        <v>60431</v>
      </c>
      <c r="C566">
        <f t="shared" si="17"/>
        <v>6.3302279395370011E-4</v>
      </c>
      <c r="D566" s="2">
        <f t="shared" si="18"/>
        <v>6.3302279395370011E-4</v>
      </c>
    </row>
    <row r="567" spans="1:4" x14ac:dyDescent="0.3">
      <c r="A567" s="1">
        <v>45033</v>
      </c>
      <c r="B567">
        <v>59910.75</v>
      </c>
      <c r="C567">
        <f t="shared" si="17"/>
        <v>-8.6089920736046061E-3</v>
      </c>
      <c r="D567" s="2">
        <f t="shared" si="18"/>
        <v>-8.6089920736046061E-3</v>
      </c>
    </row>
    <row r="568" spans="1:4" x14ac:dyDescent="0.3">
      <c r="A568" s="1">
        <v>45034</v>
      </c>
      <c r="B568">
        <v>59727.01</v>
      </c>
      <c r="C568">
        <f t="shared" si="17"/>
        <v>-3.0668953401517753E-3</v>
      </c>
      <c r="D568" s="2">
        <f t="shared" si="18"/>
        <v>-3.0668953401517753E-3</v>
      </c>
    </row>
    <row r="569" spans="1:4" x14ac:dyDescent="0.3">
      <c r="A569" s="1">
        <v>45035</v>
      </c>
      <c r="B569">
        <v>59567.8</v>
      </c>
      <c r="C569">
        <f t="shared" si="17"/>
        <v>-2.6656281638742525E-3</v>
      </c>
      <c r="D569" s="2">
        <f t="shared" si="18"/>
        <v>-2.6656281638742525E-3</v>
      </c>
    </row>
    <row r="570" spans="1:4" x14ac:dyDescent="0.3">
      <c r="A570" s="1">
        <v>45036</v>
      </c>
      <c r="B570">
        <v>59632.35</v>
      </c>
      <c r="C570">
        <f t="shared" si="17"/>
        <v>1.0836391473244879E-3</v>
      </c>
      <c r="D570" s="2">
        <f t="shared" si="18"/>
        <v>1.0836391473244879E-3</v>
      </c>
    </row>
    <row r="571" spans="1:4" x14ac:dyDescent="0.3">
      <c r="A571" s="1">
        <v>45037</v>
      </c>
      <c r="B571">
        <v>59655.06</v>
      </c>
      <c r="C571">
        <f t="shared" si="17"/>
        <v>3.8083355762432851E-4</v>
      </c>
      <c r="D571" s="2">
        <f t="shared" si="18"/>
        <v>3.8083355762432851E-4</v>
      </c>
    </row>
    <row r="572" spans="1:4" x14ac:dyDescent="0.3">
      <c r="A572" s="1">
        <v>45040</v>
      </c>
      <c r="B572">
        <v>60056.1</v>
      </c>
      <c r="C572">
        <f t="shared" si="17"/>
        <v>6.7226485062625184E-3</v>
      </c>
      <c r="D572" s="2">
        <f t="shared" si="18"/>
        <v>6.7226485062625184E-3</v>
      </c>
    </row>
    <row r="573" spans="1:4" x14ac:dyDescent="0.3">
      <c r="A573" s="1">
        <v>45041</v>
      </c>
      <c r="B573">
        <v>60130.71</v>
      </c>
      <c r="C573">
        <f t="shared" si="17"/>
        <v>1.2423384135833093E-3</v>
      </c>
      <c r="D573" s="2">
        <f t="shared" si="18"/>
        <v>1.2423384135833093E-3</v>
      </c>
    </row>
    <row r="574" spans="1:4" x14ac:dyDescent="0.3">
      <c r="A574" s="1">
        <v>45042</v>
      </c>
      <c r="B574">
        <v>60300.58</v>
      </c>
      <c r="C574">
        <f t="shared" si="17"/>
        <v>2.8250123772029737E-3</v>
      </c>
      <c r="D574" s="2">
        <f t="shared" si="18"/>
        <v>2.8250123772029737E-3</v>
      </c>
    </row>
    <row r="575" spans="1:4" x14ac:dyDescent="0.3">
      <c r="A575" s="1">
        <v>45043</v>
      </c>
      <c r="B575">
        <v>60649.38</v>
      </c>
      <c r="C575">
        <f t="shared" si="17"/>
        <v>5.7843556396969253E-3</v>
      </c>
      <c r="D575" s="2">
        <f t="shared" si="18"/>
        <v>5.7843556396969253E-3</v>
      </c>
    </row>
    <row r="576" spans="1:4" x14ac:dyDescent="0.3">
      <c r="A576" s="1">
        <v>45044</v>
      </c>
      <c r="B576">
        <v>61112.44</v>
      </c>
      <c r="C576">
        <f t="shared" si="17"/>
        <v>7.6350327076716192E-3</v>
      </c>
      <c r="D576" s="2">
        <f t="shared" si="18"/>
        <v>7.6350327076716192E-3</v>
      </c>
    </row>
    <row r="577" spans="1:4" x14ac:dyDescent="0.3">
      <c r="A577" s="1">
        <v>45048</v>
      </c>
      <c r="B577">
        <v>61354.71</v>
      </c>
      <c r="C577">
        <f t="shared" si="17"/>
        <v>3.9643319756173506E-3</v>
      </c>
      <c r="D577" s="2">
        <f t="shared" si="18"/>
        <v>3.9643319756173506E-3</v>
      </c>
    </row>
    <row r="578" spans="1:4" x14ac:dyDescent="0.3">
      <c r="A578" s="1">
        <v>45049</v>
      </c>
      <c r="B578">
        <v>61193.3</v>
      </c>
      <c r="C578">
        <f t="shared" si="17"/>
        <v>-2.63076787421856E-3</v>
      </c>
      <c r="D578" s="2">
        <f t="shared" si="18"/>
        <v>-2.63076787421856E-3</v>
      </c>
    </row>
    <row r="579" spans="1:4" x14ac:dyDescent="0.3">
      <c r="A579" s="1">
        <v>45050</v>
      </c>
      <c r="B579">
        <v>61749.25</v>
      </c>
      <c r="C579">
        <f t="shared" si="17"/>
        <v>9.0851449423384103E-3</v>
      </c>
      <c r="D579" s="2">
        <f t="shared" si="18"/>
        <v>9.0851449423384103E-3</v>
      </c>
    </row>
    <row r="580" spans="1:4" x14ac:dyDescent="0.3">
      <c r="A580" s="1">
        <v>45051</v>
      </c>
      <c r="B580">
        <v>61054.29</v>
      </c>
      <c r="C580">
        <f t="shared" ref="C580:C643" si="19">(B580-B579)/B579</f>
        <v>-1.1254549650400599E-2</v>
      </c>
      <c r="D580" s="2">
        <f t="shared" ref="D580:D643" si="20">(B580-B579)/B579</f>
        <v>-1.1254549650400599E-2</v>
      </c>
    </row>
    <row r="581" spans="1:4" x14ac:dyDescent="0.3">
      <c r="A581" s="1">
        <v>45054</v>
      </c>
      <c r="B581">
        <v>61764.25</v>
      </c>
      <c r="C581">
        <f t="shared" si="19"/>
        <v>1.1628339302610825E-2</v>
      </c>
      <c r="D581" s="2">
        <f t="shared" si="20"/>
        <v>1.1628339302610825E-2</v>
      </c>
    </row>
    <row r="582" spans="1:4" x14ac:dyDescent="0.3">
      <c r="A582" s="1">
        <v>45055</v>
      </c>
      <c r="B582">
        <v>61761.33</v>
      </c>
      <c r="C582">
        <f t="shared" si="19"/>
        <v>-4.7276539422048417E-5</v>
      </c>
      <c r="D582" s="2">
        <f t="shared" si="20"/>
        <v>-4.7276539422048417E-5</v>
      </c>
    </row>
    <row r="583" spans="1:4" x14ac:dyDescent="0.3">
      <c r="A583" s="1">
        <v>45056</v>
      </c>
      <c r="B583">
        <v>61940.2</v>
      </c>
      <c r="C583">
        <f t="shared" si="19"/>
        <v>2.8961487714075349E-3</v>
      </c>
      <c r="D583" s="2">
        <f t="shared" si="20"/>
        <v>2.8961487714075349E-3</v>
      </c>
    </row>
    <row r="584" spans="1:4" x14ac:dyDescent="0.3">
      <c r="A584" s="1">
        <v>45057</v>
      </c>
      <c r="B584">
        <v>61904.52</v>
      </c>
      <c r="C584">
        <f t="shared" si="19"/>
        <v>-5.7603947032783709E-4</v>
      </c>
      <c r="D584" s="2">
        <f t="shared" si="20"/>
        <v>-5.7603947032783709E-4</v>
      </c>
    </row>
    <row r="585" spans="1:4" x14ac:dyDescent="0.3">
      <c r="A585" s="1">
        <v>45058</v>
      </c>
      <c r="B585">
        <v>62027.9</v>
      </c>
      <c r="C585">
        <f t="shared" si="19"/>
        <v>1.9930693267632906E-3</v>
      </c>
      <c r="D585" s="2">
        <f t="shared" si="20"/>
        <v>1.9930693267632906E-3</v>
      </c>
    </row>
    <row r="586" spans="1:4" x14ac:dyDescent="0.3">
      <c r="A586" s="1">
        <v>45061</v>
      </c>
      <c r="B586">
        <v>62345.71</v>
      </c>
      <c r="C586">
        <f t="shared" si="19"/>
        <v>5.1236620939931494E-3</v>
      </c>
      <c r="D586" s="2">
        <f t="shared" si="20"/>
        <v>5.1236620939931494E-3</v>
      </c>
    </row>
    <row r="587" spans="1:4" x14ac:dyDescent="0.3">
      <c r="A587" s="1">
        <v>45062</v>
      </c>
      <c r="B587">
        <v>61932.47</v>
      </c>
      <c r="C587">
        <f t="shared" si="19"/>
        <v>-6.6282026461804344E-3</v>
      </c>
      <c r="D587" s="2">
        <f t="shared" si="20"/>
        <v>-6.6282026461804344E-3</v>
      </c>
    </row>
    <row r="588" spans="1:4" x14ac:dyDescent="0.3">
      <c r="A588" s="1">
        <v>45063</v>
      </c>
      <c r="B588">
        <v>61560.639999999999</v>
      </c>
      <c r="C588">
        <f t="shared" si="19"/>
        <v>-6.0037973618685282E-3</v>
      </c>
      <c r="D588" s="2">
        <f t="shared" si="20"/>
        <v>-6.0037973618685282E-3</v>
      </c>
    </row>
    <row r="589" spans="1:4" x14ac:dyDescent="0.3">
      <c r="A589" s="1">
        <v>45064</v>
      </c>
      <c r="B589">
        <v>61431.74</v>
      </c>
      <c r="C589">
        <f t="shared" si="19"/>
        <v>-2.093870369118993E-3</v>
      </c>
      <c r="D589" s="2">
        <f t="shared" si="20"/>
        <v>-2.093870369118993E-3</v>
      </c>
    </row>
    <row r="590" spans="1:4" x14ac:dyDescent="0.3">
      <c r="A590" s="1">
        <v>45065</v>
      </c>
      <c r="B590">
        <v>61729.68</v>
      </c>
      <c r="C590">
        <f t="shared" si="19"/>
        <v>4.8499358800516206E-3</v>
      </c>
      <c r="D590" s="2">
        <f t="shared" si="20"/>
        <v>4.8499358800516206E-3</v>
      </c>
    </row>
    <row r="591" spans="1:4" x14ac:dyDescent="0.3">
      <c r="A591" s="1">
        <v>45068</v>
      </c>
      <c r="B591">
        <v>61963.68</v>
      </c>
      <c r="C591">
        <f t="shared" si="19"/>
        <v>3.7907210923497415E-3</v>
      </c>
      <c r="D591" s="2">
        <f t="shared" si="20"/>
        <v>3.7907210923497415E-3</v>
      </c>
    </row>
    <row r="592" spans="1:4" x14ac:dyDescent="0.3">
      <c r="A592" s="1">
        <v>45069</v>
      </c>
      <c r="B592">
        <v>61981.79</v>
      </c>
      <c r="C592">
        <f t="shared" si="19"/>
        <v>2.9226798666574647E-4</v>
      </c>
      <c r="D592" s="2">
        <f t="shared" si="20"/>
        <v>2.9226798666574647E-4</v>
      </c>
    </row>
    <row r="593" spans="1:4" x14ac:dyDescent="0.3">
      <c r="A593" s="1">
        <v>45070</v>
      </c>
      <c r="B593">
        <v>61773.78</v>
      </c>
      <c r="C593">
        <f t="shared" si="19"/>
        <v>-3.3559856854731372E-3</v>
      </c>
      <c r="D593" s="2">
        <f t="shared" si="20"/>
        <v>-3.3559856854731372E-3</v>
      </c>
    </row>
    <row r="594" spans="1:4" x14ac:dyDescent="0.3">
      <c r="A594" s="1">
        <v>45071</v>
      </c>
      <c r="B594">
        <v>61872.62</v>
      </c>
      <c r="C594">
        <f t="shared" si="19"/>
        <v>1.6000315991672161E-3</v>
      </c>
      <c r="D594" s="2">
        <f t="shared" si="20"/>
        <v>1.6000315991672161E-3</v>
      </c>
    </row>
    <row r="595" spans="1:4" x14ac:dyDescent="0.3">
      <c r="A595" s="1">
        <v>45072</v>
      </c>
      <c r="B595">
        <v>62501.69</v>
      </c>
      <c r="C595">
        <f t="shared" si="19"/>
        <v>1.0167178955731949E-2</v>
      </c>
      <c r="D595" s="2">
        <f t="shared" si="20"/>
        <v>1.0167178955731949E-2</v>
      </c>
    </row>
    <row r="596" spans="1:4" x14ac:dyDescent="0.3">
      <c r="A596" s="1">
        <v>45075</v>
      </c>
      <c r="B596">
        <v>62846.38</v>
      </c>
      <c r="C596">
        <f t="shared" si="19"/>
        <v>5.5148908773505973E-3</v>
      </c>
      <c r="D596" s="2">
        <f t="shared" si="20"/>
        <v>5.5148908773505973E-3</v>
      </c>
    </row>
    <row r="597" spans="1:4" x14ac:dyDescent="0.3">
      <c r="A597" s="1">
        <v>45076</v>
      </c>
      <c r="B597">
        <v>62969.13</v>
      </c>
      <c r="C597">
        <f t="shared" si="19"/>
        <v>1.9531753459785593E-3</v>
      </c>
      <c r="D597" s="2">
        <f t="shared" si="20"/>
        <v>1.9531753459785593E-3</v>
      </c>
    </row>
    <row r="598" spans="1:4" x14ac:dyDescent="0.3">
      <c r="A598" s="1">
        <v>45077</v>
      </c>
      <c r="B598">
        <v>62622.239999999998</v>
      </c>
      <c r="C598">
        <f t="shared" si="19"/>
        <v>-5.5088898322082488E-3</v>
      </c>
      <c r="D598" s="2">
        <f t="shared" si="20"/>
        <v>-5.5088898322082488E-3</v>
      </c>
    </row>
    <row r="599" spans="1:4" x14ac:dyDescent="0.3">
      <c r="A599" s="1">
        <v>45078</v>
      </c>
      <c r="B599">
        <v>62428.54</v>
      </c>
      <c r="C599">
        <f t="shared" si="19"/>
        <v>-3.0931502929310273E-3</v>
      </c>
      <c r="D599" s="2">
        <f t="shared" si="20"/>
        <v>-3.0931502929310273E-3</v>
      </c>
    </row>
    <row r="600" spans="1:4" x14ac:dyDescent="0.3">
      <c r="A600" s="1">
        <v>45079</v>
      </c>
      <c r="B600">
        <v>62547.11</v>
      </c>
      <c r="C600">
        <f t="shared" si="19"/>
        <v>1.89929157401406E-3</v>
      </c>
      <c r="D600" s="2">
        <f t="shared" si="20"/>
        <v>1.89929157401406E-3</v>
      </c>
    </row>
    <row r="601" spans="1:4" x14ac:dyDescent="0.3">
      <c r="A601" s="1">
        <v>45082</v>
      </c>
      <c r="B601">
        <v>62787.47</v>
      </c>
      <c r="C601">
        <f t="shared" si="19"/>
        <v>3.8428634032811521E-3</v>
      </c>
      <c r="D601" s="2">
        <f t="shared" si="20"/>
        <v>3.8428634032811521E-3</v>
      </c>
    </row>
    <row r="602" spans="1:4" x14ac:dyDescent="0.3">
      <c r="A602" s="1">
        <v>45083</v>
      </c>
      <c r="B602">
        <v>62792.88</v>
      </c>
      <c r="C602">
        <f t="shared" si="19"/>
        <v>8.6163688391907112E-5</v>
      </c>
      <c r="D602" s="2">
        <f t="shared" si="20"/>
        <v>8.6163688391907112E-5</v>
      </c>
    </row>
    <row r="603" spans="1:4" x14ac:dyDescent="0.3">
      <c r="A603" s="1">
        <v>45084</v>
      </c>
      <c r="B603">
        <v>63142.96</v>
      </c>
      <c r="C603">
        <f t="shared" si="19"/>
        <v>5.575154380560372E-3</v>
      </c>
      <c r="D603" s="2">
        <f t="shared" si="20"/>
        <v>5.575154380560372E-3</v>
      </c>
    </row>
    <row r="604" spans="1:4" x14ac:dyDescent="0.3">
      <c r="A604" s="1">
        <v>45085</v>
      </c>
      <c r="B604">
        <v>62848.639999999999</v>
      </c>
      <c r="C604">
        <f t="shared" si="19"/>
        <v>-4.66116887773395E-3</v>
      </c>
      <c r="D604" s="2">
        <f t="shared" si="20"/>
        <v>-4.66116887773395E-3</v>
      </c>
    </row>
    <row r="605" spans="1:4" x14ac:dyDescent="0.3">
      <c r="A605" s="1">
        <v>45086</v>
      </c>
      <c r="B605">
        <v>62625.63</v>
      </c>
      <c r="C605">
        <f t="shared" si="19"/>
        <v>-3.5483663608313885E-3</v>
      </c>
      <c r="D605" s="2">
        <f t="shared" si="20"/>
        <v>-3.5483663608313885E-3</v>
      </c>
    </row>
    <row r="606" spans="1:4" x14ac:dyDescent="0.3">
      <c r="A606" s="1">
        <v>45089</v>
      </c>
      <c r="B606">
        <v>62724.71</v>
      </c>
      <c r="C606">
        <f t="shared" si="19"/>
        <v>1.5820998527280564E-3</v>
      </c>
      <c r="D606" s="2">
        <f t="shared" si="20"/>
        <v>1.5820998527280564E-3</v>
      </c>
    </row>
    <row r="607" spans="1:4" x14ac:dyDescent="0.3">
      <c r="A607" s="1">
        <v>45090</v>
      </c>
      <c r="B607">
        <v>63143.16</v>
      </c>
      <c r="C607">
        <f t="shared" si="19"/>
        <v>6.6712145819407438E-3</v>
      </c>
      <c r="D607" s="2">
        <f t="shared" si="20"/>
        <v>6.6712145819407438E-3</v>
      </c>
    </row>
    <row r="608" spans="1:4" x14ac:dyDescent="0.3">
      <c r="A608" s="1">
        <v>45091</v>
      </c>
      <c r="B608">
        <v>63228.51</v>
      </c>
      <c r="C608">
        <f t="shared" si="19"/>
        <v>1.3516903493584823E-3</v>
      </c>
      <c r="D608" s="2">
        <f t="shared" si="20"/>
        <v>1.3516903493584823E-3</v>
      </c>
    </row>
    <row r="609" spans="1:4" x14ac:dyDescent="0.3">
      <c r="A609" s="1">
        <v>45092</v>
      </c>
      <c r="B609">
        <v>62917.63</v>
      </c>
      <c r="C609">
        <f t="shared" si="19"/>
        <v>-4.9167693497759891E-3</v>
      </c>
      <c r="D609" s="2">
        <f t="shared" si="20"/>
        <v>-4.9167693497759891E-3</v>
      </c>
    </row>
    <row r="610" spans="1:4" x14ac:dyDescent="0.3">
      <c r="A610" s="1">
        <v>45093</v>
      </c>
      <c r="B610">
        <v>63384.58</v>
      </c>
      <c r="C610">
        <f t="shared" si="19"/>
        <v>7.4216082201444076E-3</v>
      </c>
      <c r="D610" s="2">
        <f t="shared" si="20"/>
        <v>7.4216082201444076E-3</v>
      </c>
    </row>
    <row r="611" spans="1:4" x14ac:dyDescent="0.3">
      <c r="A611" s="1">
        <v>45096</v>
      </c>
      <c r="B611">
        <v>63168.3</v>
      </c>
      <c r="C611">
        <f t="shared" si="19"/>
        <v>-3.4121863708807226E-3</v>
      </c>
      <c r="D611" s="2">
        <f t="shared" si="20"/>
        <v>-3.4121863708807226E-3</v>
      </c>
    </row>
    <row r="612" spans="1:4" x14ac:dyDescent="0.3">
      <c r="A612" s="1">
        <v>45097</v>
      </c>
      <c r="B612">
        <v>63327.7</v>
      </c>
      <c r="C612">
        <f t="shared" si="19"/>
        <v>2.5234176002835941E-3</v>
      </c>
      <c r="D612" s="2">
        <f t="shared" si="20"/>
        <v>2.5234176002835941E-3</v>
      </c>
    </row>
    <row r="613" spans="1:4" x14ac:dyDescent="0.3">
      <c r="A613" s="1">
        <v>45098</v>
      </c>
      <c r="B613">
        <v>63523.15</v>
      </c>
      <c r="C613">
        <f t="shared" si="19"/>
        <v>3.086327152257296E-3</v>
      </c>
      <c r="D613" s="2">
        <f t="shared" si="20"/>
        <v>3.086327152257296E-3</v>
      </c>
    </row>
    <row r="614" spans="1:4" x14ac:dyDescent="0.3">
      <c r="A614" s="1">
        <v>45099</v>
      </c>
      <c r="B614">
        <v>63238.89</v>
      </c>
      <c r="C614">
        <f t="shared" si="19"/>
        <v>-4.4749040310501295E-3</v>
      </c>
      <c r="D614" s="2">
        <f t="shared" si="20"/>
        <v>-4.4749040310501295E-3</v>
      </c>
    </row>
    <row r="615" spans="1:4" x14ac:dyDescent="0.3">
      <c r="A615" s="1">
        <v>45100</v>
      </c>
      <c r="B615">
        <v>62979.37</v>
      </c>
      <c r="C615">
        <f t="shared" si="19"/>
        <v>-4.1038038460193844E-3</v>
      </c>
      <c r="D615" s="2">
        <f t="shared" si="20"/>
        <v>-4.1038038460193844E-3</v>
      </c>
    </row>
    <row r="616" spans="1:4" x14ac:dyDescent="0.3">
      <c r="A616" s="1">
        <v>45103</v>
      </c>
      <c r="B616">
        <v>62970</v>
      </c>
      <c r="C616">
        <f t="shared" si="19"/>
        <v>-1.4877887790879172E-4</v>
      </c>
      <c r="D616" s="2">
        <f t="shared" si="20"/>
        <v>-1.4877887790879172E-4</v>
      </c>
    </row>
    <row r="617" spans="1:4" x14ac:dyDescent="0.3">
      <c r="A617" s="1">
        <v>45104</v>
      </c>
      <c r="B617">
        <v>63416.03</v>
      </c>
      <c r="C617">
        <f t="shared" si="19"/>
        <v>7.083214228997917E-3</v>
      </c>
      <c r="D617" s="2">
        <f t="shared" si="20"/>
        <v>7.083214228997917E-3</v>
      </c>
    </row>
    <row r="618" spans="1:4" x14ac:dyDescent="0.3">
      <c r="A618" s="1">
        <v>45105</v>
      </c>
      <c r="B618">
        <v>63915.42</v>
      </c>
      <c r="C618">
        <f t="shared" si="19"/>
        <v>7.8748228168808339E-3</v>
      </c>
      <c r="D618" s="2">
        <f t="shared" si="20"/>
        <v>7.8748228168808339E-3</v>
      </c>
    </row>
    <row r="619" spans="1:4" x14ac:dyDescent="0.3">
      <c r="A619" s="1">
        <v>45107</v>
      </c>
      <c r="B619">
        <v>64718.559999999998</v>
      </c>
      <c r="C619">
        <f t="shared" si="19"/>
        <v>1.2565668816695555E-2</v>
      </c>
      <c r="D619" s="2">
        <f t="shared" si="20"/>
        <v>1.2565668816695555E-2</v>
      </c>
    </row>
    <row r="620" spans="1:4" x14ac:dyDescent="0.3">
      <c r="A620" s="1">
        <v>45110</v>
      </c>
      <c r="B620">
        <v>65205.05</v>
      </c>
      <c r="C620">
        <f t="shared" si="19"/>
        <v>7.5170090311033689E-3</v>
      </c>
      <c r="D620" s="2">
        <f t="shared" si="20"/>
        <v>7.5170090311033689E-3</v>
      </c>
    </row>
    <row r="621" spans="1:4" x14ac:dyDescent="0.3">
      <c r="A621" s="1">
        <v>45111</v>
      </c>
      <c r="B621">
        <v>65479.05</v>
      </c>
      <c r="C621">
        <f t="shared" si="19"/>
        <v>4.2021285161195337E-3</v>
      </c>
      <c r="D621" s="2">
        <f t="shared" si="20"/>
        <v>4.2021285161195337E-3</v>
      </c>
    </row>
    <row r="622" spans="1:4" x14ac:dyDescent="0.3">
      <c r="A622" s="1">
        <v>45112</v>
      </c>
      <c r="B622">
        <v>65446.04</v>
      </c>
      <c r="C622">
        <f t="shared" si="19"/>
        <v>-5.0413071050972851E-4</v>
      </c>
      <c r="D622" s="2">
        <f t="shared" si="20"/>
        <v>-5.0413071050972851E-4</v>
      </c>
    </row>
    <row r="623" spans="1:4" x14ac:dyDescent="0.3">
      <c r="A623" s="1">
        <v>45113</v>
      </c>
      <c r="B623">
        <v>65785.64</v>
      </c>
      <c r="C623">
        <f t="shared" si="19"/>
        <v>5.1890076160451964E-3</v>
      </c>
      <c r="D623" s="2">
        <f t="shared" si="20"/>
        <v>5.1890076160451964E-3</v>
      </c>
    </row>
    <row r="624" spans="1:4" x14ac:dyDescent="0.3">
      <c r="A624" s="1">
        <v>45114</v>
      </c>
      <c r="B624">
        <v>65280.45</v>
      </c>
      <c r="C624">
        <f t="shared" si="19"/>
        <v>-7.6793354902377226E-3</v>
      </c>
      <c r="D624" s="2">
        <f t="shared" si="20"/>
        <v>-7.6793354902377226E-3</v>
      </c>
    </row>
    <row r="625" spans="1:4" x14ac:dyDescent="0.3">
      <c r="A625" s="1">
        <v>45117</v>
      </c>
      <c r="B625">
        <v>65344.17</v>
      </c>
      <c r="C625">
        <f t="shared" si="19"/>
        <v>9.7609621257208198E-4</v>
      </c>
      <c r="D625" s="2">
        <f t="shared" si="20"/>
        <v>9.7609621257208198E-4</v>
      </c>
    </row>
    <row r="626" spans="1:4" x14ac:dyDescent="0.3">
      <c r="A626" s="1">
        <v>45118</v>
      </c>
      <c r="B626">
        <v>65617.84</v>
      </c>
      <c r="C626">
        <f t="shared" si="19"/>
        <v>4.1881318562925849E-3</v>
      </c>
      <c r="D626" s="2">
        <f t="shared" si="20"/>
        <v>4.1881318562925849E-3</v>
      </c>
    </row>
    <row r="627" spans="1:4" x14ac:dyDescent="0.3">
      <c r="A627" s="1">
        <v>45119</v>
      </c>
      <c r="B627">
        <v>65393.9</v>
      </c>
      <c r="C627">
        <f t="shared" si="19"/>
        <v>-3.4127913994120361E-3</v>
      </c>
      <c r="D627" s="2">
        <f t="shared" si="20"/>
        <v>-3.4127913994120361E-3</v>
      </c>
    </row>
    <row r="628" spans="1:4" x14ac:dyDescent="0.3">
      <c r="A628" s="1">
        <v>45120</v>
      </c>
      <c r="B628">
        <v>65558.89</v>
      </c>
      <c r="C628">
        <f t="shared" si="19"/>
        <v>2.5230182020035195E-3</v>
      </c>
      <c r="D628" s="2">
        <f t="shared" si="20"/>
        <v>2.5230182020035195E-3</v>
      </c>
    </row>
    <row r="629" spans="1:4" x14ac:dyDescent="0.3">
      <c r="A629" s="1">
        <v>45121</v>
      </c>
      <c r="B629">
        <v>66060.899999999994</v>
      </c>
      <c r="C629">
        <f t="shared" si="19"/>
        <v>7.6573901724082691E-3</v>
      </c>
      <c r="D629" s="2">
        <f t="shared" si="20"/>
        <v>7.6573901724082691E-3</v>
      </c>
    </row>
    <row r="630" spans="1:4" x14ac:dyDescent="0.3">
      <c r="A630" s="1">
        <v>45124</v>
      </c>
      <c r="B630">
        <v>66589.929999999993</v>
      </c>
      <c r="C630">
        <f t="shared" si="19"/>
        <v>8.0082166606873194E-3</v>
      </c>
      <c r="D630" s="2">
        <f t="shared" si="20"/>
        <v>8.0082166606873194E-3</v>
      </c>
    </row>
    <row r="631" spans="1:4" x14ac:dyDescent="0.3">
      <c r="A631" s="1">
        <v>45125</v>
      </c>
      <c r="B631">
        <v>66795.14</v>
      </c>
      <c r="C631">
        <f t="shared" si="19"/>
        <v>3.0816971875478232E-3</v>
      </c>
      <c r="D631" s="2">
        <f t="shared" si="20"/>
        <v>3.0816971875478232E-3</v>
      </c>
    </row>
    <row r="632" spans="1:4" x14ac:dyDescent="0.3">
      <c r="A632" s="1">
        <v>45126</v>
      </c>
      <c r="B632">
        <v>67097.440000000002</v>
      </c>
      <c r="C632">
        <f t="shared" si="19"/>
        <v>4.5257783724984022E-3</v>
      </c>
      <c r="D632" s="2">
        <f t="shared" si="20"/>
        <v>4.5257783724984022E-3</v>
      </c>
    </row>
    <row r="633" spans="1:4" x14ac:dyDescent="0.3">
      <c r="A633" s="1">
        <v>45127</v>
      </c>
      <c r="B633">
        <v>67571.899999999994</v>
      </c>
      <c r="C633">
        <f t="shared" si="19"/>
        <v>7.0712086780060739E-3</v>
      </c>
      <c r="D633" s="2">
        <f t="shared" si="20"/>
        <v>7.0712086780060739E-3</v>
      </c>
    </row>
    <row r="634" spans="1:4" x14ac:dyDescent="0.3">
      <c r="A634" s="1">
        <v>45128</v>
      </c>
      <c r="B634">
        <v>66684.259999999995</v>
      </c>
      <c r="C634">
        <f t="shared" si="19"/>
        <v>-1.3136229704951312E-2</v>
      </c>
      <c r="D634" s="2">
        <f t="shared" si="20"/>
        <v>-1.3136229704951312E-2</v>
      </c>
    </row>
    <row r="635" spans="1:4" x14ac:dyDescent="0.3">
      <c r="A635" s="1">
        <v>45131</v>
      </c>
      <c r="B635">
        <v>66384.78</v>
      </c>
      <c r="C635">
        <f t="shared" si="19"/>
        <v>-4.4910148211886273E-3</v>
      </c>
      <c r="D635" s="2">
        <f t="shared" si="20"/>
        <v>-4.4910148211886273E-3</v>
      </c>
    </row>
    <row r="636" spans="1:4" x14ac:dyDescent="0.3">
      <c r="A636" s="1">
        <v>45132</v>
      </c>
      <c r="B636">
        <v>66355.710000000006</v>
      </c>
      <c r="C636">
        <f t="shared" si="19"/>
        <v>-4.3790157924741835E-4</v>
      </c>
      <c r="D636" s="2">
        <f t="shared" si="20"/>
        <v>-4.3790157924741835E-4</v>
      </c>
    </row>
    <row r="637" spans="1:4" x14ac:dyDescent="0.3">
      <c r="A637" s="1">
        <v>45133</v>
      </c>
      <c r="B637">
        <v>66707.199999999997</v>
      </c>
      <c r="C637">
        <f t="shared" si="19"/>
        <v>5.2970573293540319E-3</v>
      </c>
      <c r="D637" s="2">
        <f t="shared" si="20"/>
        <v>5.2970573293540319E-3</v>
      </c>
    </row>
    <row r="638" spans="1:4" x14ac:dyDescent="0.3">
      <c r="A638" s="1">
        <v>45134</v>
      </c>
      <c r="B638">
        <v>66266.820000000007</v>
      </c>
      <c r="C638">
        <f t="shared" si="19"/>
        <v>-6.60168617480557E-3</v>
      </c>
      <c r="D638" s="2">
        <f t="shared" si="20"/>
        <v>-6.60168617480557E-3</v>
      </c>
    </row>
    <row r="639" spans="1:4" x14ac:dyDescent="0.3">
      <c r="A639" s="1">
        <v>45135</v>
      </c>
      <c r="B639">
        <v>66160.2</v>
      </c>
      <c r="C639">
        <f t="shared" si="19"/>
        <v>-1.6089499994116194E-3</v>
      </c>
      <c r="D639" s="2">
        <f t="shared" si="20"/>
        <v>-1.6089499994116194E-3</v>
      </c>
    </row>
    <row r="640" spans="1:4" x14ac:dyDescent="0.3">
      <c r="A640" s="1">
        <v>45138</v>
      </c>
      <c r="B640">
        <v>66527.67</v>
      </c>
      <c r="C640">
        <f t="shared" si="19"/>
        <v>5.5542456038524847E-3</v>
      </c>
      <c r="D640" s="2">
        <f t="shared" si="20"/>
        <v>5.5542456038524847E-3</v>
      </c>
    </row>
    <row r="641" spans="1:4" x14ac:dyDescent="0.3">
      <c r="A641" s="1">
        <v>45139</v>
      </c>
      <c r="B641">
        <v>66459.31</v>
      </c>
      <c r="C641">
        <f t="shared" si="19"/>
        <v>-1.0275423744736676E-3</v>
      </c>
      <c r="D641" s="2">
        <f t="shared" si="20"/>
        <v>-1.0275423744736676E-3</v>
      </c>
    </row>
    <row r="642" spans="1:4" x14ac:dyDescent="0.3">
      <c r="A642" s="1">
        <v>45140</v>
      </c>
      <c r="B642">
        <v>65782.78</v>
      </c>
      <c r="C642">
        <f t="shared" si="19"/>
        <v>-1.0179612156671486E-2</v>
      </c>
      <c r="D642" s="2">
        <f t="shared" si="20"/>
        <v>-1.0179612156671486E-2</v>
      </c>
    </row>
    <row r="643" spans="1:4" x14ac:dyDescent="0.3">
      <c r="A643" s="1">
        <v>45141</v>
      </c>
      <c r="B643">
        <v>65240.68</v>
      </c>
      <c r="C643">
        <f t="shared" si="19"/>
        <v>-8.2407584477274844E-3</v>
      </c>
      <c r="D643" s="2">
        <f t="shared" si="20"/>
        <v>-8.2407584477274844E-3</v>
      </c>
    </row>
    <row r="644" spans="1:4" x14ac:dyDescent="0.3">
      <c r="A644" s="1">
        <v>45142</v>
      </c>
      <c r="B644">
        <v>65721.25</v>
      </c>
      <c r="C644">
        <f t="shared" ref="C644:C707" si="21">(B644-B643)/B643</f>
        <v>7.3661096113651747E-3</v>
      </c>
      <c r="D644" s="2">
        <f t="shared" ref="D644:D707" si="22">(B644-B643)/B643</f>
        <v>7.3661096113651747E-3</v>
      </c>
    </row>
    <row r="645" spans="1:4" x14ac:dyDescent="0.3">
      <c r="A645" s="1">
        <v>45145</v>
      </c>
      <c r="B645">
        <v>65953.48</v>
      </c>
      <c r="C645">
        <f t="shared" si="21"/>
        <v>3.5335603020331466E-3</v>
      </c>
      <c r="D645" s="2">
        <f t="shared" si="22"/>
        <v>3.5335603020331466E-3</v>
      </c>
    </row>
    <row r="646" spans="1:4" x14ac:dyDescent="0.3">
      <c r="A646" s="1">
        <v>45146</v>
      </c>
      <c r="B646">
        <v>65846.5</v>
      </c>
      <c r="C646">
        <f t="shared" si="21"/>
        <v>-1.6220523920799316E-3</v>
      </c>
      <c r="D646" s="2">
        <f t="shared" si="22"/>
        <v>-1.6220523920799316E-3</v>
      </c>
    </row>
    <row r="647" spans="1:4" x14ac:dyDescent="0.3">
      <c r="A647" s="1">
        <v>45147</v>
      </c>
      <c r="B647">
        <v>65995.81</v>
      </c>
      <c r="C647">
        <f t="shared" si="21"/>
        <v>2.2675464907018243E-3</v>
      </c>
      <c r="D647" s="2">
        <f t="shared" si="22"/>
        <v>2.2675464907018243E-3</v>
      </c>
    </row>
    <row r="648" spans="1:4" x14ac:dyDescent="0.3">
      <c r="A648" s="1">
        <v>45148</v>
      </c>
      <c r="B648">
        <v>65688.179999999993</v>
      </c>
      <c r="C648">
        <f t="shared" si="21"/>
        <v>-4.6613565315738173E-3</v>
      </c>
      <c r="D648" s="2">
        <f t="shared" si="22"/>
        <v>-4.6613565315738173E-3</v>
      </c>
    </row>
    <row r="649" spans="1:4" x14ac:dyDescent="0.3">
      <c r="A649" s="1">
        <v>45149</v>
      </c>
      <c r="B649">
        <v>65322.65</v>
      </c>
      <c r="C649">
        <f t="shared" si="21"/>
        <v>-5.5646236507084163E-3</v>
      </c>
      <c r="D649" s="2">
        <f t="shared" si="22"/>
        <v>-5.5646236507084163E-3</v>
      </c>
    </row>
    <row r="650" spans="1:4" x14ac:dyDescent="0.3">
      <c r="A650" s="1">
        <v>45152</v>
      </c>
      <c r="B650">
        <v>65401.919999999998</v>
      </c>
      <c r="C650">
        <f t="shared" si="21"/>
        <v>1.2135147609595874E-3</v>
      </c>
      <c r="D650" s="2">
        <f t="shared" si="22"/>
        <v>1.2135147609595874E-3</v>
      </c>
    </row>
    <row r="651" spans="1:4" x14ac:dyDescent="0.3">
      <c r="A651" s="1">
        <v>45154</v>
      </c>
      <c r="B651">
        <v>65539.42</v>
      </c>
      <c r="C651">
        <f t="shared" si="21"/>
        <v>2.1023847617929262E-3</v>
      </c>
      <c r="D651" s="2">
        <f t="shared" si="22"/>
        <v>2.1023847617929262E-3</v>
      </c>
    </row>
    <row r="652" spans="1:4" x14ac:dyDescent="0.3">
      <c r="A652" s="1">
        <v>45155</v>
      </c>
      <c r="B652">
        <v>65151.02</v>
      </c>
      <c r="C652">
        <f t="shared" si="21"/>
        <v>-5.9262044125505146E-3</v>
      </c>
      <c r="D652" s="2">
        <f t="shared" si="22"/>
        <v>-5.9262044125505146E-3</v>
      </c>
    </row>
    <row r="653" spans="1:4" x14ac:dyDescent="0.3">
      <c r="A653" s="1">
        <v>45156</v>
      </c>
      <c r="B653">
        <v>64948.66</v>
      </c>
      <c r="C653">
        <f t="shared" si="21"/>
        <v>-3.1060143033830217E-3</v>
      </c>
      <c r="D653" s="2">
        <f t="shared" si="22"/>
        <v>-3.1060143033830217E-3</v>
      </c>
    </row>
    <row r="654" spans="1:4" x14ac:dyDescent="0.3">
      <c r="A654" s="1">
        <v>45159</v>
      </c>
      <c r="B654">
        <v>65216.09</v>
      </c>
      <c r="C654">
        <f t="shared" si="21"/>
        <v>4.1175599311824599E-3</v>
      </c>
      <c r="D654" s="2">
        <f t="shared" si="22"/>
        <v>4.1175599311824599E-3</v>
      </c>
    </row>
    <row r="655" spans="1:4" x14ac:dyDescent="0.3">
      <c r="A655" s="1">
        <v>45160</v>
      </c>
      <c r="B655">
        <v>65220.03</v>
      </c>
      <c r="C655">
        <f t="shared" si="21"/>
        <v>6.0414538804799986E-5</v>
      </c>
      <c r="D655" s="2">
        <f t="shared" si="22"/>
        <v>6.0414538804799986E-5</v>
      </c>
    </row>
    <row r="656" spans="1:4" x14ac:dyDescent="0.3">
      <c r="A656" s="1">
        <v>45161</v>
      </c>
      <c r="B656">
        <v>65433.3</v>
      </c>
      <c r="C656">
        <f t="shared" si="21"/>
        <v>3.2700076954887032E-3</v>
      </c>
      <c r="D656" s="2">
        <f t="shared" si="22"/>
        <v>3.2700076954887032E-3</v>
      </c>
    </row>
    <row r="657" spans="1:4" x14ac:dyDescent="0.3">
      <c r="A657" s="1">
        <v>45162</v>
      </c>
      <c r="B657">
        <v>65252.34</v>
      </c>
      <c r="C657">
        <f t="shared" si="21"/>
        <v>-2.7655643227531912E-3</v>
      </c>
      <c r="D657" s="2">
        <f t="shared" si="22"/>
        <v>-2.7655643227531912E-3</v>
      </c>
    </row>
    <row r="658" spans="1:4" x14ac:dyDescent="0.3">
      <c r="A658" s="1">
        <v>45163</v>
      </c>
      <c r="B658">
        <v>64886.51</v>
      </c>
      <c r="C658">
        <f t="shared" si="21"/>
        <v>-5.6063889816057857E-3</v>
      </c>
      <c r="D658" s="2">
        <f t="shared" si="22"/>
        <v>-5.6063889816057857E-3</v>
      </c>
    </row>
    <row r="659" spans="1:4" x14ac:dyDescent="0.3">
      <c r="A659" s="1">
        <v>45166</v>
      </c>
      <c r="B659">
        <v>64996.6</v>
      </c>
      <c r="C659">
        <f t="shared" si="21"/>
        <v>1.6966546667403827E-3</v>
      </c>
      <c r="D659" s="2">
        <f t="shared" si="22"/>
        <v>1.6966546667403827E-3</v>
      </c>
    </row>
    <row r="660" spans="1:4" x14ac:dyDescent="0.3">
      <c r="A660" s="1">
        <v>45167</v>
      </c>
      <c r="B660">
        <v>65075.82</v>
      </c>
      <c r="C660">
        <f t="shared" si="21"/>
        <v>1.2188329851100083E-3</v>
      </c>
      <c r="D660" s="2">
        <f t="shared" si="22"/>
        <v>1.2188329851100083E-3</v>
      </c>
    </row>
    <row r="661" spans="1:4" x14ac:dyDescent="0.3">
      <c r="A661" s="1">
        <v>45168</v>
      </c>
      <c r="B661">
        <v>65087.25</v>
      </c>
      <c r="C661">
        <f t="shared" si="21"/>
        <v>1.7564127505424122E-4</v>
      </c>
      <c r="D661" s="2">
        <f t="shared" si="22"/>
        <v>1.7564127505424122E-4</v>
      </c>
    </row>
    <row r="662" spans="1:4" x14ac:dyDescent="0.3">
      <c r="A662" s="1">
        <v>45169</v>
      </c>
      <c r="B662">
        <v>64831.41</v>
      </c>
      <c r="C662">
        <f t="shared" si="21"/>
        <v>-3.9307237592615526E-3</v>
      </c>
      <c r="D662" s="2">
        <f t="shared" si="22"/>
        <v>-3.9307237592615526E-3</v>
      </c>
    </row>
    <row r="663" spans="1:4" x14ac:dyDescent="0.3">
      <c r="A663" s="1">
        <v>45170</v>
      </c>
      <c r="B663">
        <v>65387.16</v>
      </c>
      <c r="C663">
        <f t="shared" si="21"/>
        <v>8.5722337367026263E-3</v>
      </c>
      <c r="D663" s="2">
        <f t="shared" si="22"/>
        <v>8.5722337367026263E-3</v>
      </c>
    </row>
    <row r="664" spans="1:4" x14ac:dyDescent="0.3">
      <c r="A664" s="1">
        <v>45173</v>
      </c>
      <c r="B664">
        <v>65628.14</v>
      </c>
      <c r="C664">
        <f t="shared" si="21"/>
        <v>3.6854330422057772E-3</v>
      </c>
      <c r="D664" s="2">
        <f t="shared" si="22"/>
        <v>3.6854330422057772E-3</v>
      </c>
    </row>
    <row r="665" spans="1:4" x14ac:dyDescent="0.3">
      <c r="A665" s="1">
        <v>45174</v>
      </c>
      <c r="B665">
        <v>65780.259999999995</v>
      </c>
      <c r="C665">
        <f t="shared" si="21"/>
        <v>2.3179081412332478E-3</v>
      </c>
      <c r="D665" s="2">
        <f t="shared" si="22"/>
        <v>2.3179081412332478E-3</v>
      </c>
    </row>
    <row r="666" spans="1:4" x14ac:dyDescent="0.3">
      <c r="A666" s="1">
        <v>45175</v>
      </c>
      <c r="B666">
        <v>65880.52</v>
      </c>
      <c r="C666">
        <f t="shared" si="21"/>
        <v>1.5241654563239689E-3</v>
      </c>
      <c r="D666" s="2">
        <f t="shared" si="22"/>
        <v>1.5241654563239689E-3</v>
      </c>
    </row>
    <row r="667" spans="1:4" x14ac:dyDescent="0.3">
      <c r="A667" s="1">
        <v>45176</v>
      </c>
      <c r="B667">
        <v>66265.56</v>
      </c>
      <c r="C667">
        <f t="shared" si="21"/>
        <v>5.844519745745686E-3</v>
      </c>
      <c r="D667" s="2">
        <f t="shared" si="22"/>
        <v>5.844519745745686E-3</v>
      </c>
    </row>
    <row r="668" spans="1:4" x14ac:dyDescent="0.3">
      <c r="A668" s="1">
        <v>45177</v>
      </c>
      <c r="B668">
        <v>66598.91</v>
      </c>
      <c r="C668">
        <f t="shared" si="21"/>
        <v>5.0305166062130291E-3</v>
      </c>
      <c r="D668" s="2">
        <f t="shared" si="22"/>
        <v>5.0305166062130291E-3</v>
      </c>
    </row>
    <row r="669" spans="1:4" x14ac:dyDescent="0.3">
      <c r="A669" s="1">
        <v>45180</v>
      </c>
      <c r="B669">
        <v>67127.08</v>
      </c>
      <c r="C669">
        <f t="shared" si="21"/>
        <v>7.9306102757537352E-3</v>
      </c>
      <c r="D669" s="2">
        <f t="shared" si="22"/>
        <v>7.9306102757537352E-3</v>
      </c>
    </row>
    <row r="670" spans="1:4" x14ac:dyDescent="0.3">
      <c r="A670" s="1">
        <v>45181</v>
      </c>
      <c r="B670">
        <v>67221.13</v>
      </c>
      <c r="C670">
        <f t="shared" si="21"/>
        <v>1.401073903408325E-3</v>
      </c>
      <c r="D670" s="2">
        <f t="shared" si="22"/>
        <v>1.401073903408325E-3</v>
      </c>
    </row>
    <row r="671" spans="1:4" x14ac:dyDescent="0.3">
      <c r="A671" s="1">
        <v>45182</v>
      </c>
      <c r="B671">
        <v>67466.990000000005</v>
      </c>
      <c r="C671">
        <f t="shared" si="21"/>
        <v>3.6574809141113897E-3</v>
      </c>
      <c r="D671" s="2">
        <f t="shared" si="22"/>
        <v>3.6574809141113897E-3</v>
      </c>
    </row>
    <row r="672" spans="1:4" x14ac:dyDescent="0.3">
      <c r="A672" s="1">
        <v>45183</v>
      </c>
      <c r="B672">
        <v>67519</v>
      </c>
      <c r="C672">
        <f t="shared" si="21"/>
        <v>7.7089551497695036E-4</v>
      </c>
      <c r="D672" s="2">
        <f t="shared" si="22"/>
        <v>7.7089551497695036E-4</v>
      </c>
    </row>
    <row r="673" spans="1:4" x14ac:dyDescent="0.3">
      <c r="A673" s="1">
        <v>45184</v>
      </c>
      <c r="B673">
        <v>67838.63</v>
      </c>
      <c r="C673">
        <f t="shared" si="21"/>
        <v>4.7339267465454854E-3</v>
      </c>
      <c r="D673" s="2">
        <f t="shared" si="22"/>
        <v>4.7339267465454854E-3</v>
      </c>
    </row>
    <row r="674" spans="1:4" x14ac:dyDescent="0.3">
      <c r="A674" s="1">
        <v>45187</v>
      </c>
      <c r="B674">
        <v>67596.84</v>
      </c>
      <c r="C674">
        <f t="shared" si="21"/>
        <v>-3.5641934396376833E-3</v>
      </c>
      <c r="D674" s="2">
        <f t="shared" si="22"/>
        <v>-3.5641934396376833E-3</v>
      </c>
    </row>
    <row r="675" spans="1:4" x14ac:dyDescent="0.3">
      <c r="A675" s="1">
        <v>45189</v>
      </c>
      <c r="B675">
        <v>66800.84</v>
      </c>
      <c r="C675">
        <f t="shared" si="21"/>
        <v>-1.1775698390634829E-2</v>
      </c>
      <c r="D675" s="2">
        <f t="shared" si="22"/>
        <v>-1.1775698390634829E-2</v>
      </c>
    </row>
    <row r="676" spans="1:4" x14ac:dyDescent="0.3">
      <c r="A676" s="1">
        <v>45190</v>
      </c>
      <c r="B676">
        <v>66230.240000000005</v>
      </c>
      <c r="C676">
        <f t="shared" si="21"/>
        <v>-8.5418087556981513E-3</v>
      </c>
      <c r="D676" s="2">
        <f t="shared" si="22"/>
        <v>-8.5418087556981513E-3</v>
      </c>
    </row>
    <row r="677" spans="1:4" x14ac:dyDescent="0.3">
      <c r="A677" s="1">
        <v>45191</v>
      </c>
      <c r="B677">
        <v>66009.149999999994</v>
      </c>
      <c r="C677">
        <f t="shared" si="21"/>
        <v>-3.3382032135171342E-3</v>
      </c>
      <c r="D677" s="2">
        <f t="shared" si="22"/>
        <v>-3.3382032135171342E-3</v>
      </c>
    </row>
    <row r="678" spans="1:4" x14ac:dyDescent="0.3">
      <c r="A678" s="1">
        <v>45194</v>
      </c>
      <c r="B678">
        <v>66023.69</v>
      </c>
      <c r="C678">
        <f t="shared" si="21"/>
        <v>2.2027249252578091E-4</v>
      </c>
      <c r="D678" s="2">
        <f t="shared" si="22"/>
        <v>2.2027249252578091E-4</v>
      </c>
    </row>
    <row r="679" spans="1:4" x14ac:dyDescent="0.3">
      <c r="A679" s="1">
        <v>45195</v>
      </c>
      <c r="B679">
        <v>65945.47</v>
      </c>
      <c r="C679">
        <f t="shared" si="21"/>
        <v>-1.1847262702221152E-3</v>
      </c>
      <c r="D679" s="2">
        <f t="shared" si="22"/>
        <v>-1.1847262702221152E-3</v>
      </c>
    </row>
    <row r="680" spans="1:4" x14ac:dyDescent="0.3">
      <c r="A680" s="1">
        <v>45196</v>
      </c>
      <c r="B680">
        <v>66118.69</v>
      </c>
      <c r="C680">
        <f t="shared" si="21"/>
        <v>2.6267156788783393E-3</v>
      </c>
      <c r="D680" s="2">
        <f t="shared" si="22"/>
        <v>2.6267156788783393E-3</v>
      </c>
    </row>
    <row r="681" spans="1:4" x14ac:dyDescent="0.3">
      <c r="A681" s="1">
        <v>45197</v>
      </c>
      <c r="B681">
        <v>65508.32</v>
      </c>
      <c r="C681">
        <f t="shared" si="21"/>
        <v>-9.231429116336131E-3</v>
      </c>
      <c r="D681" s="2">
        <f t="shared" si="22"/>
        <v>-9.231429116336131E-3</v>
      </c>
    </row>
    <row r="682" spans="1:4" x14ac:dyDescent="0.3">
      <c r="A682" s="1">
        <v>45198</v>
      </c>
      <c r="B682">
        <v>65828.41</v>
      </c>
      <c r="C682">
        <f t="shared" si="21"/>
        <v>4.8862495634142931E-3</v>
      </c>
      <c r="D682" s="2">
        <f t="shared" si="22"/>
        <v>4.8862495634142931E-3</v>
      </c>
    </row>
    <row r="683" spans="1:4" x14ac:dyDescent="0.3">
      <c r="A683" s="1">
        <v>45202</v>
      </c>
      <c r="B683">
        <v>65512.1</v>
      </c>
      <c r="C683">
        <f t="shared" si="21"/>
        <v>-4.8050682068730647E-3</v>
      </c>
      <c r="D683" s="2">
        <f t="shared" si="22"/>
        <v>-4.8050682068730647E-3</v>
      </c>
    </row>
    <row r="684" spans="1:4" x14ac:dyDescent="0.3">
      <c r="A684" s="1">
        <v>45203</v>
      </c>
      <c r="B684">
        <v>65226.04</v>
      </c>
      <c r="C684">
        <f t="shared" si="21"/>
        <v>-4.3665216044058682E-3</v>
      </c>
      <c r="D684" s="2">
        <f t="shared" si="22"/>
        <v>-4.3665216044058682E-3</v>
      </c>
    </row>
    <row r="685" spans="1:4" x14ac:dyDescent="0.3">
      <c r="A685" s="1">
        <v>45204</v>
      </c>
      <c r="B685">
        <v>65631.570000000007</v>
      </c>
      <c r="C685">
        <f t="shared" si="21"/>
        <v>6.2173021695017218E-3</v>
      </c>
      <c r="D685" s="2">
        <f t="shared" si="22"/>
        <v>6.2173021695017218E-3</v>
      </c>
    </row>
    <row r="686" spans="1:4" x14ac:dyDescent="0.3">
      <c r="A686" s="1">
        <v>45205</v>
      </c>
      <c r="B686">
        <v>65995.63</v>
      </c>
      <c r="C686">
        <f t="shared" si="21"/>
        <v>5.5470256158735446E-3</v>
      </c>
      <c r="D686" s="2">
        <f t="shared" si="22"/>
        <v>5.5470256158735446E-3</v>
      </c>
    </row>
    <row r="687" spans="1:4" x14ac:dyDescent="0.3">
      <c r="A687" s="1">
        <v>45208</v>
      </c>
      <c r="B687">
        <v>65512.39</v>
      </c>
      <c r="C687">
        <f t="shared" si="21"/>
        <v>-7.322303007032514E-3</v>
      </c>
      <c r="D687" s="2">
        <f t="shared" si="22"/>
        <v>-7.322303007032514E-3</v>
      </c>
    </row>
    <row r="688" spans="1:4" x14ac:dyDescent="0.3">
      <c r="A688" s="1">
        <v>45209</v>
      </c>
      <c r="B688">
        <v>66079.360000000001</v>
      </c>
      <c r="C688">
        <f t="shared" si="21"/>
        <v>8.65439346664045E-3</v>
      </c>
      <c r="D688" s="2">
        <f t="shared" si="22"/>
        <v>8.65439346664045E-3</v>
      </c>
    </row>
    <row r="689" spans="1:4" x14ac:dyDescent="0.3">
      <c r="A689" s="1">
        <v>45210</v>
      </c>
      <c r="B689">
        <v>66473.05</v>
      </c>
      <c r="C689">
        <f t="shared" si="21"/>
        <v>5.9578361533768236E-3</v>
      </c>
      <c r="D689" s="2">
        <f t="shared" si="22"/>
        <v>5.9578361533768236E-3</v>
      </c>
    </row>
    <row r="690" spans="1:4" x14ac:dyDescent="0.3">
      <c r="A690" s="1">
        <v>45211</v>
      </c>
      <c r="B690">
        <v>66408.39</v>
      </c>
      <c r="C690">
        <f t="shared" si="21"/>
        <v>-9.7272503668785308E-4</v>
      </c>
      <c r="D690" s="2">
        <f t="shared" si="22"/>
        <v>-9.7272503668785308E-4</v>
      </c>
    </row>
    <row r="691" spans="1:4" x14ac:dyDescent="0.3">
      <c r="A691" s="1">
        <v>45212</v>
      </c>
      <c r="B691">
        <v>66282.740000000005</v>
      </c>
      <c r="C691">
        <f t="shared" si="21"/>
        <v>-1.8920802025164921E-3</v>
      </c>
      <c r="D691" s="2">
        <f t="shared" si="22"/>
        <v>-1.8920802025164921E-3</v>
      </c>
    </row>
    <row r="692" spans="1:4" x14ac:dyDescent="0.3">
      <c r="A692" s="1">
        <v>45215</v>
      </c>
      <c r="B692">
        <v>66166.929999999993</v>
      </c>
      <c r="C692">
        <f t="shared" si="21"/>
        <v>-1.7472120192981192E-3</v>
      </c>
      <c r="D692" s="2">
        <f t="shared" si="22"/>
        <v>-1.7472120192981192E-3</v>
      </c>
    </row>
    <row r="693" spans="1:4" x14ac:dyDescent="0.3">
      <c r="A693" s="1">
        <v>45216</v>
      </c>
      <c r="B693">
        <v>66428.09</v>
      </c>
      <c r="C693">
        <f t="shared" si="21"/>
        <v>3.9469868104807567E-3</v>
      </c>
      <c r="D693" s="2">
        <f t="shared" si="22"/>
        <v>3.9469868104807567E-3</v>
      </c>
    </row>
    <row r="694" spans="1:4" x14ac:dyDescent="0.3">
      <c r="A694" s="1">
        <v>45217</v>
      </c>
      <c r="B694">
        <v>65877.02</v>
      </c>
      <c r="C694">
        <f t="shared" si="21"/>
        <v>-8.295737541151529E-3</v>
      </c>
      <c r="D694" s="2">
        <f t="shared" si="22"/>
        <v>-8.295737541151529E-3</v>
      </c>
    </row>
    <row r="695" spans="1:4" x14ac:dyDescent="0.3">
      <c r="A695" s="1">
        <v>45218</v>
      </c>
      <c r="B695">
        <v>65629.240000000005</v>
      </c>
      <c r="C695">
        <f t="shared" si="21"/>
        <v>-3.7612508883977875E-3</v>
      </c>
      <c r="D695" s="2">
        <f t="shared" si="22"/>
        <v>-3.7612508883977875E-3</v>
      </c>
    </row>
    <row r="696" spans="1:4" x14ac:dyDescent="0.3">
      <c r="A696" s="1">
        <v>45219</v>
      </c>
      <c r="B696">
        <v>65397.62</v>
      </c>
      <c r="C696">
        <f t="shared" si="21"/>
        <v>-3.5292195978500222E-3</v>
      </c>
      <c r="D696" s="2">
        <f t="shared" si="22"/>
        <v>-3.5292195978500222E-3</v>
      </c>
    </row>
    <row r="697" spans="1:4" x14ac:dyDescent="0.3">
      <c r="A697" s="1">
        <v>45222</v>
      </c>
      <c r="B697">
        <v>64571.88</v>
      </c>
      <c r="C697">
        <f t="shared" si="21"/>
        <v>-1.2626453378578689E-2</v>
      </c>
      <c r="D697" s="2">
        <f t="shared" si="22"/>
        <v>-1.2626453378578689E-2</v>
      </c>
    </row>
    <row r="698" spans="1:4" x14ac:dyDescent="0.3">
      <c r="A698" s="1">
        <v>45224</v>
      </c>
      <c r="B698">
        <v>64049.06</v>
      </c>
      <c r="C698">
        <f t="shared" si="21"/>
        <v>-8.0967133061636068E-3</v>
      </c>
      <c r="D698" s="2">
        <f t="shared" si="22"/>
        <v>-8.0967133061636068E-3</v>
      </c>
    </row>
    <row r="699" spans="1:4" x14ac:dyDescent="0.3">
      <c r="A699" s="1">
        <v>45225</v>
      </c>
      <c r="B699">
        <v>63148.15</v>
      </c>
      <c r="C699">
        <f t="shared" si="21"/>
        <v>-1.4065936330681454E-2</v>
      </c>
      <c r="D699" s="2">
        <f t="shared" si="22"/>
        <v>-1.4065936330681454E-2</v>
      </c>
    </row>
    <row r="700" spans="1:4" x14ac:dyDescent="0.3">
      <c r="A700" s="1">
        <v>45226</v>
      </c>
      <c r="B700">
        <v>63782.8</v>
      </c>
      <c r="C700">
        <f t="shared" si="21"/>
        <v>1.0050175658352643E-2</v>
      </c>
      <c r="D700" s="2">
        <f t="shared" si="22"/>
        <v>1.0050175658352643E-2</v>
      </c>
    </row>
    <row r="701" spans="1:4" x14ac:dyDescent="0.3">
      <c r="A701" s="1">
        <v>45229</v>
      </c>
      <c r="B701">
        <v>64112.65</v>
      </c>
      <c r="C701">
        <f t="shared" si="21"/>
        <v>5.1714568817925605E-3</v>
      </c>
      <c r="D701" s="2">
        <f t="shared" si="22"/>
        <v>5.1714568817925605E-3</v>
      </c>
    </row>
    <row r="702" spans="1:4" x14ac:dyDescent="0.3">
      <c r="A702" s="1">
        <v>45230</v>
      </c>
      <c r="B702">
        <v>63874.93</v>
      </c>
      <c r="C702">
        <f t="shared" si="21"/>
        <v>-3.7078486071001771E-3</v>
      </c>
      <c r="D702" s="2">
        <f t="shared" si="22"/>
        <v>-3.7078486071001771E-3</v>
      </c>
    </row>
    <row r="703" spans="1:4" x14ac:dyDescent="0.3">
      <c r="A703" s="1">
        <v>45231</v>
      </c>
      <c r="B703">
        <v>63591.33</v>
      </c>
      <c r="C703">
        <f t="shared" si="21"/>
        <v>-4.4399265877864535E-3</v>
      </c>
      <c r="D703" s="2">
        <f t="shared" si="22"/>
        <v>-4.4399265877864535E-3</v>
      </c>
    </row>
    <row r="704" spans="1:4" x14ac:dyDescent="0.3">
      <c r="A704" s="1">
        <v>45232</v>
      </c>
      <c r="B704">
        <v>64080.9</v>
      </c>
      <c r="C704">
        <f t="shared" si="21"/>
        <v>7.69869100080152E-3</v>
      </c>
      <c r="D704" s="2">
        <f t="shared" si="22"/>
        <v>7.69869100080152E-3</v>
      </c>
    </row>
    <row r="705" spans="1:4" x14ac:dyDescent="0.3">
      <c r="A705" s="1">
        <v>45233</v>
      </c>
      <c r="B705">
        <v>64363.78</v>
      </c>
      <c r="C705">
        <f t="shared" si="21"/>
        <v>4.4144198973484665E-3</v>
      </c>
      <c r="D705" s="2">
        <f t="shared" si="22"/>
        <v>4.4144198973484665E-3</v>
      </c>
    </row>
    <row r="706" spans="1:4" x14ac:dyDescent="0.3">
      <c r="A706" s="1">
        <v>45236</v>
      </c>
      <c r="B706">
        <v>64958.69</v>
      </c>
      <c r="C706">
        <f t="shared" si="21"/>
        <v>9.242931350520487E-3</v>
      </c>
      <c r="D706" s="2">
        <f t="shared" si="22"/>
        <v>9.242931350520487E-3</v>
      </c>
    </row>
    <row r="707" spans="1:4" x14ac:dyDescent="0.3">
      <c r="A707" s="1">
        <v>45237</v>
      </c>
      <c r="B707">
        <v>64942.400000000001</v>
      </c>
      <c r="C707">
        <f t="shared" si="21"/>
        <v>-2.5077476162159169E-4</v>
      </c>
      <c r="D707" s="2">
        <f t="shared" si="22"/>
        <v>-2.5077476162159169E-4</v>
      </c>
    </row>
    <row r="708" spans="1:4" x14ac:dyDescent="0.3">
      <c r="A708" s="1">
        <v>45238</v>
      </c>
      <c r="B708">
        <v>64975.61</v>
      </c>
      <c r="C708">
        <f t="shared" ref="C708:C771" si="23">(B708-B707)/B707</f>
        <v>5.1137623494048766E-4</v>
      </c>
      <c r="D708" s="2">
        <f t="shared" ref="D708:D771" si="24">(B708-B707)/B707</f>
        <v>5.1137623494048766E-4</v>
      </c>
    </row>
    <row r="709" spans="1:4" x14ac:dyDescent="0.3">
      <c r="A709" s="1">
        <v>45239</v>
      </c>
      <c r="B709">
        <v>64832.2</v>
      </c>
      <c r="C709">
        <f t="shared" si="23"/>
        <v>-2.207135877600895E-3</v>
      </c>
      <c r="D709" s="2">
        <f t="shared" si="24"/>
        <v>-2.207135877600895E-3</v>
      </c>
    </row>
    <row r="710" spans="1:4" x14ac:dyDescent="0.3">
      <c r="A710" s="1">
        <v>45240</v>
      </c>
      <c r="B710">
        <v>64904.68</v>
      </c>
      <c r="C710">
        <f t="shared" si="23"/>
        <v>1.1179629875278519E-3</v>
      </c>
      <c r="D710" s="2">
        <f t="shared" si="24"/>
        <v>1.1179629875278519E-3</v>
      </c>
    </row>
    <row r="711" spans="1:4" x14ac:dyDescent="0.3">
      <c r="A711" s="1">
        <v>45242</v>
      </c>
      <c r="B711">
        <v>65259.45</v>
      </c>
      <c r="C711">
        <f t="shared" si="23"/>
        <v>5.4660157017952602E-3</v>
      </c>
      <c r="D711" s="2">
        <f t="shared" si="24"/>
        <v>5.4660157017952602E-3</v>
      </c>
    </row>
    <row r="712" spans="1:4" x14ac:dyDescent="0.3">
      <c r="A712" s="1">
        <v>45243</v>
      </c>
      <c r="B712">
        <v>64933.87</v>
      </c>
      <c r="C712">
        <f t="shared" si="23"/>
        <v>-4.9890092545982921E-3</v>
      </c>
      <c r="D712" s="2">
        <f t="shared" si="24"/>
        <v>-4.9890092545982921E-3</v>
      </c>
    </row>
    <row r="713" spans="1:4" x14ac:dyDescent="0.3">
      <c r="A713" s="1">
        <v>45245</v>
      </c>
      <c r="B713">
        <v>65675.929999999993</v>
      </c>
      <c r="C713">
        <f t="shared" si="23"/>
        <v>1.1427934296846782E-2</v>
      </c>
      <c r="D713" s="2">
        <f t="shared" si="24"/>
        <v>1.1427934296846782E-2</v>
      </c>
    </row>
    <row r="714" spans="1:4" x14ac:dyDescent="0.3">
      <c r="A714" s="1">
        <v>45246</v>
      </c>
      <c r="B714">
        <v>65982.48</v>
      </c>
      <c r="C714">
        <f t="shared" si="23"/>
        <v>4.6676156698504754E-3</v>
      </c>
      <c r="D714" s="2">
        <f t="shared" si="24"/>
        <v>4.6676156698504754E-3</v>
      </c>
    </row>
    <row r="715" spans="1:4" x14ac:dyDescent="0.3">
      <c r="A715" s="1">
        <v>45247</v>
      </c>
      <c r="B715">
        <v>65794.73</v>
      </c>
      <c r="C715">
        <f t="shared" si="23"/>
        <v>-2.8454523079459882E-3</v>
      </c>
      <c r="D715" s="2">
        <f t="shared" si="24"/>
        <v>-2.8454523079459882E-3</v>
      </c>
    </row>
    <row r="716" spans="1:4" x14ac:dyDescent="0.3">
      <c r="A716" s="1">
        <v>45250</v>
      </c>
      <c r="B716">
        <v>65655.149999999994</v>
      </c>
      <c r="C716">
        <f t="shared" si="23"/>
        <v>-2.1214465049100703E-3</v>
      </c>
      <c r="D716" s="2">
        <f t="shared" si="24"/>
        <v>-2.1214465049100703E-3</v>
      </c>
    </row>
    <row r="717" spans="1:4" x14ac:dyDescent="0.3">
      <c r="A717" s="1">
        <v>45251</v>
      </c>
      <c r="B717">
        <v>65930.77</v>
      </c>
      <c r="C717">
        <f t="shared" si="23"/>
        <v>4.1979951306182362E-3</v>
      </c>
      <c r="D717" s="2">
        <f t="shared" si="24"/>
        <v>4.1979951306182362E-3</v>
      </c>
    </row>
    <row r="718" spans="1:4" x14ac:dyDescent="0.3">
      <c r="A718" s="1">
        <v>45252</v>
      </c>
      <c r="B718">
        <v>66023.240000000005</v>
      </c>
      <c r="C718">
        <f t="shared" si="23"/>
        <v>1.4025317768926581E-3</v>
      </c>
      <c r="D718" s="2">
        <f t="shared" si="24"/>
        <v>1.4025317768926581E-3</v>
      </c>
    </row>
    <row r="719" spans="1:4" x14ac:dyDescent="0.3">
      <c r="A719" s="1">
        <v>45253</v>
      </c>
      <c r="B719">
        <v>66017.81</v>
      </c>
      <c r="C719">
        <f t="shared" si="23"/>
        <v>-8.2243767497741202E-5</v>
      </c>
      <c r="D719" s="2">
        <f t="shared" si="24"/>
        <v>-8.2243767497741202E-5</v>
      </c>
    </row>
    <row r="720" spans="1:4" x14ac:dyDescent="0.3">
      <c r="A720" s="1">
        <v>45254</v>
      </c>
      <c r="B720">
        <v>65970.039999999994</v>
      </c>
      <c r="C720">
        <f t="shared" si="23"/>
        <v>-7.2359261841621343E-4</v>
      </c>
      <c r="D720" s="2">
        <f t="shared" si="24"/>
        <v>-7.2359261841621343E-4</v>
      </c>
    </row>
    <row r="721" spans="1:4" x14ac:dyDescent="0.3">
      <c r="A721" s="1">
        <v>45258</v>
      </c>
      <c r="B721">
        <v>66174.2</v>
      </c>
      <c r="C721">
        <f t="shared" si="23"/>
        <v>3.0947381568967292E-3</v>
      </c>
      <c r="D721" s="2">
        <f t="shared" si="24"/>
        <v>3.0947381568967292E-3</v>
      </c>
    </row>
    <row r="722" spans="1:4" x14ac:dyDescent="0.3">
      <c r="A722" s="1">
        <v>45259</v>
      </c>
      <c r="B722">
        <v>66901.91</v>
      </c>
      <c r="C722">
        <f t="shared" si="23"/>
        <v>1.0996883981974945E-2</v>
      </c>
      <c r="D722" s="2">
        <f t="shared" si="24"/>
        <v>1.0996883981974945E-2</v>
      </c>
    </row>
    <row r="723" spans="1:4" x14ac:dyDescent="0.3">
      <c r="A723" s="1">
        <v>45260</v>
      </c>
      <c r="B723">
        <v>66988.44</v>
      </c>
      <c r="C723">
        <f t="shared" si="23"/>
        <v>1.2933860931623451E-3</v>
      </c>
      <c r="D723" s="2">
        <f t="shared" si="24"/>
        <v>1.2933860931623451E-3</v>
      </c>
    </row>
    <row r="724" spans="1:4" x14ac:dyDescent="0.3">
      <c r="A724" s="1">
        <v>45261</v>
      </c>
      <c r="B724">
        <v>67481.19</v>
      </c>
      <c r="C724">
        <f t="shared" si="23"/>
        <v>7.3557467527233054E-3</v>
      </c>
      <c r="D724" s="2">
        <f t="shared" si="24"/>
        <v>7.3557467527233054E-3</v>
      </c>
    </row>
    <row r="725" spans="1:4" x14ac:dyDescent="0.3">
      <c r="A725" s="1">
        <v>45264</v>
      </c>
      <c r="B725">
        <v>68865.119999999995</v>
      </c>
      <c r="C725">
        <f t="shared" si="23"/>
        <v>2.0508381669024998E-2</v>
      </c>
      <c r="D725" s="2">
        <f t="shared" si="24"/>
        <v>2.0508381669024998E-2</v>
      </c>
    </row>
    <row r="726" spans="1:4" x14ac:dyDescent="0.3">
      <c r="A726" s="1">
        <v>45265</v>
      </c>
      <c r="B726">
        <v>69296.14</v>
      </c>
      <c r="C726">
        <f t="shared" si="23"/>
        <v>6.2589014583871215E-3</v>
      </c>
      <c r="D726" s="2">
        <f t="shared" si="24"/>
        <v>6.2589014583871215E-3</v>
      </c>
    </row>
    <row r="727" spans="1:4" x14ac:dyDescent="0.3">
      <c r="A727" s="1">
        <v>45266</v>
      </c>
      <c r="B727">
        <v>69653.73</v>
      </c>
      <c r="C727">
        <f t="shared" si="23"/>
        <v>5.1603162889014668E-3</v>
      </c>
      <c r="D727" s="2">
        <f t="shared" si="24"/>
        <v>5.1603162889014668E-3</v>
      </c>
    </row>
    <row r="728" spans="1:4" x14ac:dyDescent="0.3">
      <c r="A728" s="1">
        <v>45267</v>
      </c>
      <c r="B728">
        <v>69521.69</v>
      </c>
      <c r="C728">
        <f t="shared" si="23"/>
        <v>-1.8956630176157631E-3</v>
      </c>
      <c r="D728" s="2">
        <f t="shared" si="24"/>
        <v>-1.8956630176157631E-3</v>
      </c>
    </row>
    <row r="729" spans="1:4" x14ac:dyDescent="0.3">
      <c r="A729" s="1">
        <v>45268</v>
      </c>
      <c r="B729">
        <v>69825.600000000006</v>
      </c>
      <c r="C729">
        <f t="shared" si="23"/>
        <v>4.3714414882607645E-3</v>
      </c>
      <c r="D729" s="2">
        <f t="shared" si="24"/>
        <v>4.3714414882607645E-3</v>
      </c>
    </row>
    <row r="730" spans="1:4" x14ac:dyDescent="0.3">
      <c r="A730" s="1">
        <v>45271</v>
      </c>
      <c r="B730">
        <v>69928.53</v>
      </c>
      <c r="C730">
        <f t="shared" si="23"/>
        <v>1.4741011892485422E-3</v>
      </c>
      <c r="D730" s="2">
        <f t="shared" si="24"/>
        <v>1.4741011892485422E-3</v>
      </c>
    </row>
    <row r="731" spans="1:4" x14ac:dyDescent="0.3">
      <c r="A731" s="1">
        <v>45272</v>
      </c>
      <c r="B731">
        <v>69551.03</v>
      </c>
      <c r="C731">
        <f t="shared" si="23"/>
        <v>-5.3983688774810511E-3</v>
      </c>
      <c r="D731" s="2">
        <f t="shared" si="24"/>
        <v>-5.3983688774810511E-3</v>
      </c>
    </row>
    <row r="732" spans="1:4" x14ac:dyDescent="0.3">
      <c r="A732" s="1">
        <v>45273</v>
      </c>
      <c r="B732">
        <v>69584.600000000006</v>
      </c>
      <c r="C732">
        <f t="shared" si="23"/>
        <v>4.8266718695621022E-4</v>
      </c>
      <c r="D732" s="2">
        <f t="shared" si="24"/>
        <v>4.8266718695621022E-4</v>
      </c>
    </row>
    <row r="733" spans="1:4" x14ac:dyDescent="0.3">
      <c r="A733" s="1">
        <v>45274</v>
      </c>
      <c r="B733">
        <v>70514.2</v>
      </c>
      <c r="C733">
        <f t="shared" si="23"/>
        <v>1.3359277771230865E-2</v>
      </c>
      <c r="D733" s="2">
        <f t="shared" si="24"/>
        <v>1.3359277771230865E-2</v>
      </c>
    </row>
    <row r="734" spans="1:4" x14ac:dyDescent="0.3">
      <c r="A734" s="1">
        <v>45275</v>
      </c>
      <c r="B734">
        <v>71483.75</v>
      </c>
      <c r="C734">
        <f t="shared" si="23"/>
        <v>1.3749712823800071E-2</v>
      </c>
      <c r="D734" s="2">
        <f t="shared" si="24"/>
        <v>1.3749712823800071E-2</v>
      </c>
    </row>
    <row r="735" spans="1:4" x14ac:dyDescent="0.3">
      <c r="A735" s="1">
        <v>45278</v>
      </c>
      <c r="B735">
        <v>71315.09</v>
      </c>
      <c r="C735">
        <f t="shared" si="23"/>
        <v>-2.3594173500970988E-3</v>
      </c>
      <c r="D735" s="2">
        <f t="shared" si="24"/>
        <v>-2.3594173500970988E-3</v>
      </c>
    </row>
    <row r="736" spans="1:4" x14ac:dyDescent="0.3">
      <c r="A736" s="1">
        <v>45279</v>
      </c>
      <c r="B736">
        <v>71437.19</v>
      </c>
      <c r="C736">
        <f t="shared" si="23"/>
        <v>1.7121201137095365E-3</v>
      </c>
      <c r="D736" s="2">
        <f t="shared" si="24"/>
        <v>1.7121201137095365E-3</v>
      </c>
    </row>
    <row r="737" spans="1:4" x14ac:dyDescent="0.3">
      <c r="A737" s="1">
        <v>45280</v>
      </c>
      <c r="B737">
        <v>70506.31</v>
      </c>
      <c r="C737">
        <f t="shared" si="23"/>
        <v>-1.3030747709981378E-2</v>
      </c>
      <c r="D737" s="2">
        <f t="shared" si="24"/>
        <v>-1.3030747709981378E-2</v>
      </c>
    </row>
    <row r="738" spans="1:4" x14ac:dyDescent="0.3">
      <c r="A738" s="1">
        <v>45281</v>
      </c>
      <c r="B738">
        <v>70865.100000000006</v>
      </c>
      <c r="C738">
        <f t="shared" si="23"/>
        <v>5.0887643956974652E-3</v>
      </c>
      <c r="D738" s="2">
        <f t="shared" si="24"/>
        <v>5.0887643956974652E-3</v>
      </c>
    </row>
    <row r="739" spans="1:4" x14ac:dyDescent="0.3">
      <c r="A739" s="1">
        <v>45282</v>
      </c>
      <c r="B739">
        <v>71106.960000000006</v>
      </c>
      <c r="C739">
        <f t="shared" si="23"/>
        <v>3.4129635038968485E-3</v>
      </c>
      <c r="D739" s="2">
        <f t="shared" si="24"/>
        <v>3.4129635038968485E-3</v>
      </c>
    </row>
    <row r="740" spans="1:4" x14ac:dyDescent="0.3">
      <c r="A740" s="1">
        <v>45286</v>
      </c>
      <c r="B740">
        <v>71336.800000000003</v>
      </c>
      <c r="C740">
        <f t="shared" si="23"/>
        <v>3.2323136863113889E-3</v>
      </c>
      <c r="D740" s="2">
        <f t="shared" si="24"/>
        <v>3.2323136863113889E-3</v>
      </c>
    </row>
    <row r="741" spans="1:4" x14ac:dyDescent="0.3">
      <c r="A741" s="1">
        <v>45287</v>
      </c>
      <c r="B741">
        <v>72038.429999999993</v>
      </c>
      <c r="C741">
        <f t="shared" si="23"/>
        <v>9.8354565946326446E-3</v>
      </c>
      <c r="D741" s="2">
        <f t="shared" si="24"/>
        <v>9.8354565946326446E-3</v>
      </c>
    </row>
    <row r="742" spans="1:4" x14ac:dyDescent="0.3">
      <c r="A742" s="1">
        <v>45288</v>
      </c>
      <c r="B742">
        <v>72410.38</v>
      </c>
      <c r="C742">
        <f t="shared" si="23"/>
        <v>5.1632163554926405E-3</v>
      </c>
      <c r="D742" s="2">
        <f t="shared" si="24"/>
        <v>5.1632163554926405E-3</v>
      </c>
    </row>
    <row r="743" spans="1:4" x14ac:dyDescent="0.3">
      <c r="A743" s="1">
        <v>45289</v>
      </c>
      <c r="B743">
        <v>72240.259999999995</v>
      </c>
      <c r="C743">
        <f t="shared" si="23"/>
        <v>-2.3493869249133878E-3</v>
      </c>
      <c r="D743" s="2">
        <f t="shared" si="24"/>
        <v>-2.3493869249133878E-3</v>
      </c>
    </row>
    <row r="744" spans="1:4" x14ac:dyDescent="0.3">
      <c r="A744" s="1">
        <v>45292</v>
      </c>
      <c r="B744">
        <v>72271.94</v>
      </c>
      <c r="C744">
        <f t="shared" si="23"/>
        <v>4.3853662763682701E-4</v>
      </c>
      <c r="D744" s="2">
        <f t="shared" si="24"/>
        <v>4.3853662763682701E-4</v>
      </c>
    </row>
    <row r="745" spans="1:4" x14ac:dyDescent="0.3">
      <c r="A745" s="1">
        <v>45293</v>
      </c>
      <c r="B745">
        <v>71892.479999999996</v>
      </c>
      <c r="C745">
        <f t="shared" si="23"/>
        <v>-5.250447130656883E-3</v>
      </c>
      <c r="D745" s="2">
        <f t="shared" si="24"/>
        <v>-5.250447130656883E-3</v>
      </c>
    </row>
    <row r="746" spans="1:4" x14ac:dyDescent="0.3">
      <c r="A746" s="1">
        <v>45294</v>
      </c>
      <c r="B746">
        <v>71356.600000000006</v>
      </c>
      <c r="C746">
        <f t="shared" si="23"/>
        <v>-7.4539089484740289E-3</v>
      </c>
      <c r="D746" s="2">
        <f t="shared" si="24"/>
        <v>-7.4539089484740289E-3</v>
      </c>
    </row>
    <row r="747" spans="1:4" x14ac:dyDescent="0.3">
      <c r="A747" s="1">
        <v>45295</v>
      </c>
      <c r="B747">
        <v>71847.570000000007</v>
      </c>
      <c r="C747">
        <f t="shared" si="23"/>
        <v>6.8805128047020334E-3</v>
      </c>
      <c r="D747" s="2">
        <f t="shared" si="24"/>
        <v>6.8805128047020334E-3</v>
      </c>
    </row>
    <row r="748" spans="1:4" x14ac:dyDescent="0.3">
      <c r="A748" s="1">
        <v>45296</v>
      </c>
      <c r="B748">
        <v>72026.149999999994</v>
      </c>
      <c r="C748">
        <f t="shared" si="23"/>
        <v>2.4855398728166754E-3</v>
      </c>
      <c r="D748" s="2">
        <f t="shared" si="24"/>
        <v>2.4855398728166754E-3</v>
      </c>
    </row>
    <row r="749" spans="1:4" x14ac:dyDescent="0.3">
      <c r="A749" s="1">
        <v>45299</v>
      </c>
      <c r="B749">
        <v>71355.22</v>
      </c>
      <c r="C749">
        <f t="shared" si="23"/>
        <v>-9.3150890336356033E-3</v>
      </c>
      <c r="D749" s="2">
        <f t="shared" si="24"/>
        <v>-9.3150890336356033E-3</v>
      </c>
    </row>
    <row r="750" spans="1:4" x14ac:dyDescent="0.3">
      <c r="A750" s="1">
        <v>45300</v>
      </c>
      <c r="B750">
        <v>71386.210000000006</v>
      </c>
      <c r="C750">
        <f t="shared" si="23"/>
        <v>4.343059975150415E-4</v>
      </c>
      <c r="D750" s="2">
        <f t="shared" si="24"/>
        <v>4.343059975150415E-4</v>
      </c>
    </row>
    <row r="751" spans="1:4" x14ac:dyDescent="0.3">
      <c r="A751" s="1">
        <v>45301</v>
      </c>
      <c r="B751">
        <v>71657.710000000006</v>
      </c>
      <c r="C751">
        <f t="shared" si="23"/>
        <v>3.8032555587416668E-3</v>
      </c>
      <c r="D751" s="2">
        <f t="shared" si="24"/>
        <v>3.8032555587416668E-3</v>
      </c>
    </row>
    <row r="752" spans="1:4" x14ac:dyDescent="0.3">
      <c r="A752" s="1">
        <v>45302</v>
      </c>
      <c r="B752">
        <v>71721.179999999993</v>
      </c>
      <c r="C752">
        <f t="shared" si="23"/>
        <v>8.8573860370344808E-4</v>
      </c>
      <c r="D752" s="2">
        <f t="shared" si="24"/>
        <v>8.8573860370344808E-4</v>
      </c>
    </row>
    <row r="753" spans="1:4" x14ac:dyDescent="0.3">
      <c r="A753" s="1">
        <v>45303</v>
      </c>
      <c r="B753">
        <v>72568.45</v>
      </c>
      <c r="C753">
        <f t="shared" si="23"/>
        <v>1.181338622705321E-2</v>
      </c>
      <c r="D753" s="2">
        <f t="shared" si="24"/>
        <v>1.181338622705321E-2</v>
      </c>
    </row>
    <row r="754" spans="1:4" x14ac:dyDescent="0.3">
      <c r="A754" s="1">
        <v>45306</v>
      </c>
      <c r="B754">
        <v>73327.94</v>
      </c>
      <c r="C754">
        <f t="shared" si="23"/>
        <v>1.0465842938632494E-2</v>
      </c>
      <c r="D754" s="2">
        <f t="shared" si="24"/>
        <v>1.0465842938632494E-2</v>
      </c>
    </row>
    <row r="755" spans="1:4" x14ac:dyDescent="0.3">
      <c r="A755" s="1">
        <v>45307</v>
      </c>
      <c r="B755">
        <v>73128.77</v>
      </c>
      <c r="C755">
        <f t="shared" si="23"/>
        <v>-2.716154306257591E-3</v>
      </c>
      <c r="D755" s="2">
        <f t="shared" si="24"/>
        <v>-2.716154306257591E-3</v>
      </c>
    </row>
    <row r="756" spans="1:4" x14ac:dyDescent="0.3">
      <c r="A756" s="1">
        <v>45308</v>
      </c>
      <c r="B756">
        <v>71500.759999999995</v>
      </c>
      <c r="C756">
        <f t="shared" si="23"/>
        <v>-2.2262236873394823E-2</v>
      </c>
      <c r="D756" s="2">
        <f t="shared" si="24"/>
        <v>-2.2262236873394823E-2</v>
      </c>
    </row>
    <row r="757" spans="1:4" x14ac:dyDescent="0.3">
      <c r="A757" s="1">
        <v>45309</v>
      </c>
      <c r="B757">
        <v>71186.86</v>
      </c>
      <c r="C757">
        <f t="shared" si="23"/>
        <v>-4.3901631255387243E-3</v>
      </c>
      <c r="D757" s="2">
        <f t="shared" si="24"/>
        <v>-4.3901631255387243E-3</v>
      </c>
    </row>
    <row r="758" spans="1:4" x14ac:dyDescent="0.3">
      <c r="A758" s="1">
        <v>45310</v>
      </c>
      <c r="B758">
        <v>71683.23</v>
      </c>
      <c r="C758">
        <f t="shared" si="23"/>
        <v>6.9727755936979854E-3</v>
      </c>
      <c r="D758" s="2">
        <f t="shared" si="24"/>
        <v>6.9727755936979854E-3</v>
      </c>
    </row>
    <row r="759" spans="1:4" x14ac:dyDescent="0.3">
      <c r="A759" s="1">
        <v>45311</v>
      </c>
      <c r="B759">
        <v>71423.649999999994</v>
      </c>
      <c r="C759">
        <f t="shared" si="23"/>
        <v>-3.6212095911414954E-3</v>
      </c>
      <c r="D759" s="2">
        <f t="shared" si="24"/>
        <v>-3.6212095911414954E-3</v>
      </c>
    </row>
    <row r="760" spans="1:4" x14ac:dyDescent="0.3">
      <c r="A760" s="1">
        <v>45314</v>
      </c>
      <c r="B760">
        <v>70370.55</v>
      </c>
      <c r="C760">
        <f t="shared" si="23"/>
        <v>-1.4744415890254717E-2</v>
      </c>
      <c r="D760" s="2">
        <f t="shared" si="24"/>
        <v>-1.4744415890254717E-2</v>
      </c>
    </row>
    <row r="761" spans="1:4" x14ac:dyDescent="0.3">
      <c r="A761" s="1">
        <v>45315</v>
      </c>
      <c r="B761">
        <v>71060.31</v>
      </c>
      <c r="C761">
        <f t="shared" si="23"/>
        <v>9.8018276111241816E-3</v>
      </c>
      <c r="D761" s="2">
        <f t="shared" si="24"/>
        <v>9.8018276111241816E-3</v>
      </c>
    </row>
    <row r="762" spans="1:4" x14ac:dyDescent="0.3">
      <c r="A762" s="1">
        <v>45316</v>
      </c>
      <c r="B762">
        <v>70700.67</v>
      </c>
      <c r="C762">
        <f t="shared" si="23"/>
        <v>-5.0610530688650164E-3</v>
      </c>
      <c r="D762" s="2">
        <f t="shared" si="24"/>
        <v>-5.0610530688650164E-3</v>
      </c>
    </row>
    <row r="763" spans="1:4" x14ac:dyDescent="0.3">
      <c r="A763" s="1">
        <v>45320</v>
      </c>
      <c r="B763">
        <v>71941.570000000007</v>
      </c>
      <c r="C763">
        <f t="shared" si="23"/>
        <v>1.7551460261975009E-2</v>
      </c>
      <c r="D763" s="2">
        <f t="shared" si="24"/>
        <v>1.7551460261975009E-2</v>
      </c>
    </row>
    <row r="764" spans="1:4" x14ac:dyDescent="0.3">
      <c r="A764" s="1">
        <v>45321</v>
      </c>
      <c r="B764">
        <v>71139.899999999994</v>
      </c>
      <c r="C764">
        <f t="shared" si="23"/>
        <v>-1.1143348692557207E-2</v>
      </c>
      <c r="D764" s="2">
        <f t="shared" si="24"/>
        <v>-1.1143348692557207E-2</v>
      </c>
    </row>
    <row r="765" spans="1:4" x14ac:dyDescent="0.3">
      <c r="A765" s="1">
        <v>45322</v>
      </c>
      <c r="B765">
        <v>71752.11</v>
      </c>
      <c r="C765">
        <f t="shared" si="23"/>
        <v>8.6057191533865877E-3</v>
      </c>
      <c r="D765" s="2">
        <f t="shared" si="24"/>
        <v>8.6057191533865877E-3</v>
      </c>
    </row>
    <row r="766" spans="1:4" x14ac:dyDescent="0.3">
      <c r="A766" s="1">
        <v>45323</v>
      </c>
      <c r="B766">
        <v>71645.3</v>
      </c>
      <c r="C766">
        <f t="shared" si="23"/>
        <v>-1.4885973388099342E-3</v>
      </c>
      <c r="D766" s="2">
        <f t="shared" si="24"/>
        <v>-1.4885973388099342E-3</v>
      </c>
    </row>
    <row r="767" spans="1:4" x14ac:dyDescent="0.3">
      <c r="A767" s="1">
        <v>45324</v>
      </c>
      <c r="B767">
        <v>72085.63</v>
      </c>
      <c r="C767">
        <f t="shared" si="23"/>
        <v>6.1459718920850595E-3</v>
      </c>
      <c r="D767" s="2">
        <f t="shared" si="24"/>
        <v>6.1459718920850595E-3</v>
      </c>
    </row>
    <row r="768" spans="1:4" x14ac:dyDescent="0.3">
      <c r="A768" s="1">
        <v>45327</v>
      </c>
      <c r="B768">
        <v>71731.42</v>
      </c>
      <c r="C768">
        <f t="shared" si="23"/>
        <v>-4.9137393957714784E-3</v>
      </c>
      <c r="D768" s="2">
        <f t="shared" si="24"/>
        <v>-4.9137393957714784E-3</v>
      </c>
    </row>
    <row r="769" spans="1:4" x14ac:dyDescent="0.3">
      <c r="A769" s="1">
        <v>45328</v>
      </c>
      <c r="B769">
        <v>72186.09</v>
      </c>
      <c r="C769">
        <f t="shared" si="23"/>
        <v>6.3385054973120322E-3</v>
      </c>
      <c r="D769" s="2">
        <f t="shared" si="24"/>
        <v>6.3385054973120322E-3</v>
      </c>
    </row>
    <row r="770" spans="1:4" x14ac:dyDescent="0.3">
      <c r="A770" s="1">
        <v>45329</v>
      </c>
      <c r="B770">
        <v>72152</v>
      </c>
      <c r="C770">
        <f t="shared" si="23"/>
        <v>-4.7225164848236701E-4</v>
      </c>
      <c r="D770" s="2">
        <f t="shared" si="24"/>
        <v>-4.7225164848236701E-4</v>
      </c>
    </row>
    <row r="771" spans="1:4" x14ac:dyDescent="0.3">
      <c r="A771" s="1">
        <v>45330</v>
      </c>
      <c r="B771">
        <v>71428.429999999993</v>
      </c>
      <c r="C771">
        <f t="shared" si="23"/>
        <v>-1.0028412240825022E-2</v>
      </c>
      <c r="D771" s="2">
        <f t="shared" si="24"/>
        <v>-1.0028412240825022E-2</v>
      </c>
    </row>
    <row r="772" spans="1:4" x14ac:dyDescent="0.3">
      <c r="A772" s="1">
        <v>45331</v>
      </c>
      <c r="B772">
        <v>71595.490000000005</v>
      </c>
      <c r="C772">
        <f t="shared" ref="C772:C835" si="25">(B772-B771)/B771</f>
        <v>2.3388446309125406E-3</v>
      </c>
      <c r="D772" s="2">
        <f t="shared" ref="D772:D835" si="26">(B772-B771)/B771</f>
        <v>2.3388446309125406E-3</v>
      </c>
    </row>
    <row r="773" spans="1:4" x14ac:dyDescent="0.3">
      <c r="A773" s="1">
        <v>45334</v>
      </c>
      <c r="B773">
        <v>71072.490000000005</v>
      </c>
      <c r="C773">
        <f t="shared" si="25"/>
        <v>-7.3049294026760617E-3</v>
      </c>
      <c r="D773" s="2">
        <f t="shared" si="26"/>
        <v>-7.3049294026760617E-3</v>
      </c>
    </row>
    <row r="774" spans="1:4" x14ac:dyDescent="0.3">
      <c r="A774" s="1">
        <v>45335</v>
      </c>
      <c r="B774">
        <v>71555.19</v>
      </c>
      <c r="C774">
        <f t="shared" si="25"/>
        <v>6.7916573627854748E-3</v>
      </c>
      <c r="D774" s="2">
        <f t="shared" si="26"/>
        <v>6.7916573627854748E-3</v>
      </c>
    </row>
    <row r="775" spans="1:4" x14ac:dyDescent="0.3">
      <c r="A775" s="1">
        <v>45336</v>
      </c>
      <c r="B775">
        <v>71822.83</v>
      </c>
      <c r="C775">
        <f t="shared" si="25"/>
        <v>3.7403296672121117E-3</v>
      </c>
      <c r="D775" s="2">
        <f t="shared" si="26"/>
        <v>3.7403296672121117E-3</v>
      </c>
    </row>
    <row r="776" spans="1:4" x14ac:dyDescent="0.3">
      <c r="A776" s="1">
        <v>45337</v>
      </c>
      <c r="B776">
        <v>72050.38</v>
      </c>
      <c r="C776">
        <f t="shared" si="25"/>
        <v>3.1682126699825518E-3</v>
      </c>
      <c r="D776" s="2">
        <f t="shared" si="26"/>
        <v>3.1682126699825518E-3</v>
      </c>
    </row>
    <row r="777" spans="1:4" x14ac:dyDescent="0.3">
      <c r="A777" s="1">
        <v>45338</v>
      </c>
      <c r="B777">
        <v>72426.64</v>
      </c>
      <c r="C777">
        <f t="shared" si="25"/>
        <v>5.2221792584576897E-3</v>
      </c>
      <c r="D777" s="2">
        <f t="shared" si="26"/>
        <v>5.2221792584576897E-3</v>
      </c>
    </row>
    <row r="778" spans="1:4" x14ac:dyDescent="0.3">
      <c r="A778" s="1">
        <v>45341</v>
      </c>
      <c r="B778">
        <v>72708.160000000003</v>
      </c>
      <c r="C778">
        <f t="shared" si="25"/>
        <v>3.8869675577937078E-3</v>
      </c>
      <c r="D778" s="2">
        <f t="shared" si="26"/>
        <v>3.8869675577937078E-3</v>
      </c>
    </row>
    <row r="779" spans="1:4" x14ac:dyDescent="0.3">
      <c r="A779" s="1">
        <v>45342</v>
      </c>
      <c r="B779">
        <v>73057.399999999994</v>
      </c>
      <c r="C779">
        <f t="shared" si="25"/>
        <v>4.8033123104750646E-3</v>
      </c>
      <c r="D779" s="2">
        <f t="shared" si="26"/>
        <v>4.8033123104750646E-3</v>
      </c>
    </row>
    <row r="780" spans="1:4" x14ac:dyDescent="0.3">
      <c r="A780" s="1">
        <v>45343</v>
      </c>
      <c r="B780">
        <v>72623.09</v>
      </c>
      <c r="C780">
        <f t="shared" si="25"/>
        <v>-5.9447776679706328E-3</v>
      </c>
      <c r="D780" s="2">
        <f t="shared" si="26"/>
        <v>-5.9447776679706328E-3</v>
      </c>
    </row>
    <row r="781" spans="1:4" x14ac:dyDescent="0.3">
      <c r="A781" s="1">
        <v>45344</v>
      </c>
      <c r="B781">
        <v>73158.240000000005</v>
      </c>
      <c r="C781">
        <f t="shared" si="25"/>
        <v>7.3688684962318288E-3</v>
      </c>
      <c r="D781" s="2">
        <f t="shared" si="26"/>
        <v>7.3688684962318288E-3</v>
      </c>
    </row>
    <row r="782" spans="1:4" x14ac:dyDescent="0.3">
      <c r="A782" s="1">
        <v>45345</v>
      </c>
      <c r="B782">
        <v>73142.8</v>
      </c>
      <c r="C782">
        <f t="shared" si="25"/>
        <v>-2.1104936368073271E-4</v>
      </c>
      <c r="D782" s="2">
        <f t="shared" si="26"/>
        <v>-2.1104936368073271E-4</v>
      </c>
    </row>
    <row r="783" spans="1:4" x14ac:dyDescent="0.3">
      <c r="A783" s="1">
        <v>45348</v>
      </c>
      <c r="B783">
        <v>72790.13</v>
      </c>
      <c r="C783">
        <f t="shared" si="25"/>
        <v>-4.8216639231749162E-3</v>
      </c>
      <c r="D783" s="2">
        <f t="shared" si="26"/>
        <v>-4.8216639231749162E-3</v>
      </c>
    </row>
    <row r="784" spans="1:4" x14ac:dyDescent="0.3">
      <c r="A784" s="1">
        <v>45349</v>
      </c>
      <c r="B784">
        <v>73095.22</v>
      </c>
      <c r="C784">
        <f t="shared" si="25"/>
        <v>4.1913649556608356E-3</v>
      </c>
      <c r="D784" s="2">
        <f t="shared" si="26"/>
        <v>4.1913649556608356E-3</v>
      </c>
    </row>
    <row r="785" spans="1:4" x14ac:dyDescent="0.3">
      <c r="A785" s="1">
        <v>45350</v>
      </c>
      <c r="B785">
        <v>72304.88</v>
      </c>
      <c r="C785">
        <f t="shared" si="25"/>
        <v>-1.0812471732077644E-2</v>
      </c>
      <c r="D785" s="2">
        <f t="shared" si="26"/>
        <v>-1.0812471732077644E-2</v>
      </c>
    </row>
    <row r="786" spans="1:4" x14ac:dyDescent="0.3">
      <c r="A786" s="1">
        <v>45351</v>
      </c>
      <c r="B786">
        <v>72500.3</v>
      </c>
      <c r="C786">
        <f t="shared" si="25"/>
        <v>2.7027221399163965E-3</v>
      </c>
      <c r="D786" s="2">
        <f t="shared" si="26"/>
        <v>2.7027221399163965E-3</v>
      </c>
    </row>
    <row r="787" spans="1:4" x14ac:dyDescent="0.3">
      <c r="A787" s="1">
        <v>45352</v>
      </c>
      <c r="B787">
        <v>73745.350000000006</v>
      </c>
      <c r="C787">
        <f t="shared" si="25"/>
        <v>1.7173032387452228E-2</v>
      </c>
      <c r="D787" s="2">
        <f t="shared" si="26"/>
        <v>1.7173032387452228E-2</v>
      </c>
    </row>
    <row r="788" spans="1:4" x14ac:dyDescent="0.3">
      <c r="A788" s="1">
        <v>45353</v>
      </c>
      <c r="B788">
        <v>73806.149999999994</v>
      </c>
      <c r="C788">
        <f t="shared" si="25"/>
        <v>8.2445876248452758E-4</v>
      </c>
      <c r="D788" s="2">
        <f t="shared" si="26"/>
        <v>8.2445876248452758E-4</v>
      </c>
    </row>
    <row r="789" spans="1:4" x14ac:dyDescent="0.3">
      <c r="A789" s="1">
        <v>45355</v>
      </c>
      <c r="B789">
        <v>73872.289999999994</v>
      </c>
      <c r="C789">
        <f t="shared" si="25"/>
        <v>8.9613128445257509E-4</v>
      </c>
      <c r="D789" s="2">
        <f t="shared" si="26"/>
        <v>8.9613128445257509E-4</v>
      </c>
    </row>
    <row r="790" spans="1:4" x14ac:dyDescent="0.3">
      <c r="A790" s="1">
        <v>45356</v>
      </c>
      <c r="B790">
        <v>73677.13</v>
      </c>
      <c r="C790">
        <f t="shared" si="25"/>
        <v>-2.6418566420506112E-3</v>
      </c>
      <c r="D790" s="2">
        <f t="shared" si="26"/>
        <v>-2.6418566420506112E-3</v>
      </c>
    </row>
    <row r="791" spans="1:4" x14ac:dyDescent="0.3">
      <c r="A791" s="1">
        <v>45357</v>
      </c>
      <c r="B791">
        <v>74085.990000000005</v>
      </c>
      <c r="C791">
        <f t="shared" si="25"/>
        <v>5.5493475383745347E-3</v>
      </c>
      <c r="D791" s="2">
        <f t="shared" si="26"/>
        <v>5.5493475383745347E-3</v>
      </c>
    </row>
    <row r="792" spans="1:4" x14ac:dyDescent="0.3">
      <c r="A792" s="1">
        <v>45358</v>
      </c>
      <c r="B792">
        <v>74119.39</v>
      </c>
      <c r="C792">
        <f t="shared" si="25"/>
        <v>4.5082747763773118E-4</v>
      </c>
      <c r="D792" s="2">
        <f t="shared" si="26"/>
        <v>4.5082747763773118E-4</v>
      </c>
    </row>
    <row r="793" spans="1:4" x14ac:dyDescent="0.3">
      <c r="A793" s="1">
        <v>45362</v>
      </c>
      <c r="B793">
        <v>73502.64</v>
      </c>
      <c r="C793">
        <f t="shared" si="25"/>
        <v>-8.3210344823399108E-3</v>
      </c>
      <c r="D793" s="2">
        <f t="shared" si="26"/>
        <v>-8.3210344823399108E-3</v>
      </c>
    </row>
    <row r="794" spans="1:4" x14ac:dyDescent="0.3">
      <c r="A794" s="1">
        <v>45363</v>
      </c>
      <c r="B794">
        <v>73667.960000000006</v>
      </c>
      <c r="C794">
        <f t="shared" si="25"/>
        <v>2.2491709141332474E-3</v>
      </c>
      <c r="D794" s="2">
        <f t="shared" si="26"/>
        <v>2.2491709141332474E-3</v>
      </c>
    </row>
    <row r="795" spans="1:4" x14ac:dyDescent="0.3">
      <c r="A795" s="1">
        <v>45364</v>
      </c>
      <c r="B795">
        <v>72761.89</v>
      </c>
      <c r="C795">
        <f t="shared" si="25"/>
        <v>-1.2299376825420535E-2</v>
      </c>
      <c r="D795" s="2">
        <f t="shared" si="26"/>
        <v>-1.2299376825420535E-2</v>
      </c>
    </row>
    <row r="796" spans="1:4" x14ac:dyDescent="0.3">
      <c r="A796" s="1">
        <v>45365</v>
      </c>
      <c r="B796">
        <v>73097.279999999999</v>
      </c>
      <c r="C796">
        <f t="shared" si="25"/>
        <v>4.6094184744238974E-3</v>
      </c>
      <c r="D796" s="2">
        <f t="shared" si="26"/>
        <v>4.6094184744238974E-3</v>
      </c>
    </row>
    <row r="797" spans="1:4" x14ac:dyDescent="0.3">
      <c r="A797" s="1">
        <v>45366</v>
      </c>
      <c r="B797">
        <v>72643.429999999993</v>
      </c>
      <c r="C797">
        <f t="shared" si="25"/>
        <v>-6.2088493580062876E-3</v>
      </c>
      <c r="D797" s="2">
        <f t="shared" si="26"/>
        <v>-6.2088493580062876E-3</v>
      </c>
    </row>
    <row r="798" spans="1:4" x14ac:dyDescent="0.3">
      <c r="A798" s="1">
        <v>45369</v>
      </c>
      <c r="B798">
        <v>72748.42</v>
      </c>
      <c r="C798">
        <f t="shared" si="25"/>
        <v>1.4452786714504705E-3</v>
      </c>
      <c r="D798" s="2">
        <f t="shared" si="26"/>
        <v>1.4452786714504705E-3</v>
      </c>
    </row>
    <row r="799" spans="1:4" x14ac:dyDescent="0.3">
      <c r="A799" s="1">
        <v>45370</v>
      </c>
      <c r="B799">
        <v>72012.05</v>
      </c>
      <c r="C799">
        <f t="shared" si="25"/>
        <v>-1.0122144233510438E-2</v>
      </c>
      <c r="D799" s="2">
        <f t="shared" si="26"/>
        <v>-1.0122144233510438E-2</v>
      </c>
    </row>
    <row r="800" spans="1:4" x14ac:dyDescent="0.3">
      <c r="A800" s="1">
        <v>45371</v>
      </c>
      <c r="B800">
        <v>72101.69</v>
      </c>
      <c r="C800">
        <f t="shared" si="25"/>
        <v>1.2447916702829514E-3</v>
      </c>
      <c r="D800" s="2">
        <f t="shared" si="26"/>
        <v>1.2447916702829514E-3</v>
      </c>
    </row>
    <row r="801" spans="1:4" x14ac:dyDescent="0.3">
      <c r="A801" s="1">
        <v>45372</v>
      </c>
      <c r="B801">
        <v>72641.19</v>
      </c>
      <c r="C801">
        <f t="shared" si="25"/>
        <v>7.482487581081664E-3</v>
      </c>
      <c r="D801" s="2">
        <f t="shared" si="26"/>
        <v>7.482487581081664E-3</v>
      </c>
    </row>
    <row r="802" spans="1:4" x14ac:dyDescent="0.3">
      <c r="A802" s="1">
        <v>45373</v>
      </c>
      <c r="B802">
        <v>72831.94</v>
      </c>
      <c r="C802">
        <f t="shared" si="25"/>
        <v>2.6259206381393256E-3</v>
      </c>
      <c r="D802" s="2">
        <f t="shared" si="26"/>
        <v>2.6259206381393256E-3</v>
      </c>
    </row>
    <row r="803" spans="1:4" x14ac:dyDescent="0.3">
      <c r="A803" s="1">
        <v>45377</v>
      </c>
      <c r="B803">
        <v>72470.3</v>
      </c>
      <c r="C803">
        <f t="shared" si="25"/>
        <v>-4.9654039148208798E-3</v>
      </c>
      <c r="D803" s="2">
        <f t="shared" si="26"/>
        <v>-4.9654039148208798E-3</v>
      </c>
    </row>
    <row r="804" spans="1:4" x14ac:dyDescent="0.3">
      <c r="A804" s="1">
        <v>45378</v>
      </c>
      <c r="B804">
        <v>72996.31</v>
      </c>
      <c r="C804">
        <f t="shared" si="25"/>
        <v>7.2582837383037566E-3</v>
      </c>
      <c r="D804" s="2">
        <f t="shared" si="26"/>
        <v>7.2582837383037566E-3</v>
      </c>
    </row>
    <row r="805" spans="1:4" x14ac:dyDescent="0.3">
      <c r="A805" s="1">
        <v>45379</v>
      </c>
      <c r="B805">
        <v>73651.350000000006</v>
      </c>
      <c r="C805">
        <f t="shared" si="25"/>
        <v>8.9736042821891709E-3</v>
      </c>
      <c r="D805" s="2">
        <f t="shared" si="26"/>
        <v>8.9736042821891709E-3</v>
      </c>
    </row>
    <row r="806" spans="1:4" x14ac:dyDescent="0.3">
      <c r="A806" s="1">
        <v>45383</v>
      </c>
      <c r="B806">
        <v>74014.55</v>
      </c>
      <c r="C806">
        <f t="shared" si="25"/>
        <v>4.9313420595820312E-3</v>
      </c>
      <c r="D806" s="2">
        <f t="shared" si="26"/>
        <v>4.9313420595820312E-3</v>
      </c>
    </row>
    <row r="807" spans="1:4" x14ac:dyDescent="0.3">
      <c r="A807" s="1">
        <v>45384</v>
      </c>
      <c r="B807">
        <v>73903.91</v>
      </c>
      <c r="C807">
        <f t="shared" si="25"/>
        <v>-1.4948412170309676E-3</v>
      </c>
      <c r="D807" s="2">
        <f t="shared" si="26"/>
        <v>-1.4948412170309676E-3</v>
      </c>
    </row>
    <row r="808" spans="1:4" x14ac:dyDescent="0.3">
      <c r="A808" s="1">
        <v>45385</v>
      </c>
      <c r="B808">
        <v>73876.820000000007</v>
      </c>
      <c r="C808">
        <f t="shared" si="25"/>
        <v>-3.6655706037740771E-4</v>
      </c>
      <c r="D808" s="2">
        <f t="shared" si="26"/>
        <v>-3.6655706037740771E-4</v>
      </c>
    </row>
    <row r="809" spans="1:4" x14ac:dyDescent="0.3">
      <c r="A809" s="1">
        <v>45386</v>
      </c>
      <c r="B809">
        <v>74227.63</v>
      </c>
      <c r="C809">
        <f t="shared" si="25"/>
        <v>4.7485801365028659E-3</v>
      </c>
      <c r="D809" s="2">
        <f t="shared" si="26"/>
        <v>4.7485801365028659E-3</v>
      </c>
    </row>
    <row r="810" spans="1:4" x14ac:dyDescent="0.3">
      <c r="A810" s="1">
        <v>45387</v>
      </c>
      <c r="B810">
        <v>74248.22</v>
      </c>
      <c r="C810">
        <f t="shared" si="25"/>
        <v>2.7738996920683719E-4</v>
      </c>
      <c r="D810" s="2">
        <f t="shared" si="26"/>
        <v>2.7738996920683719E-4</v>
      </c>
    </row>
    <row r="811" spans="1:4" x14ac:dyDescent="0.3">
      <c r="A811" s="1">
        <v>45390</v>
      </c>
      <c r="B811">
        <v>74742.5</v>
      </c>
      <c r="C811">
        <f t="shared" si="25"/>
        <v>6.6571292887559978E-3</v>
      </c>
      <c r="D811" s="2">
        <f t="shared" si="26"/>
        <v>6.6571292887559978E-3</v>
      </c>
    </row>
    <row r="812" spans="1:4" x14ac:dyDescent="0.3">
      <c r="A812" s="1">
        <v>45391</v>
      </c>
      <c r="B812">
        <v>74683.7</v>
      </c>
      <c r="C812">
        <f t="shared" si="25"/>
        <v>-7.8670100679001788E-4</v>
      </c>
      <c r="D812" s="2">
        <f t="shared" si="26"/>
        <v>-7.8670100679001788E-4</v>
      </c>
    </row>
    <row r="813" spans="1:4" x14ac:dyDescent="0.3">
      <c r="A813" s="1">
        <v>45392</v>
      </c>
      <c r="B813">
        <v>75038.149999999994</v>
      </c>
      <c r="C813">
        <f t="shared" si="25"/>
        <v>4.7460155294930103E-3</v>
      </c>
      <c r="D813" s="2">
        <f t="shared" si="26"/>
        <v>4.7460155294930103E-3</v>
      </c>
    </row>
    <row r="814" spans="1:4" x14ac:dyDescent="0.3">
      <c r="A814" s="1">
        <v>45394</v>
      </c>
      <c r="B814">
        <v>74244.899999999994</v>
      </c>
      <c r="C814">
        <f t="shared" si="25"/>
        <v>-1.0571289404123104E-2</v>
      </c>
      <c r="D814" s="2">
        <f t="shared" si="26"/>
        <v>-1.0571289404123104E-2</v>
      </c>
    </row>
    <row r="815" spans="1:4" x14ac:dyDescent="0.3">
      <c r="A815" s="1">
        <v>45397</v>
      </c>
      <c r="B815">
        <v>73399.78</v>
      </c>
      <c r="C815">
        <f t="shared" si="25"/>
        <v>-1.1382869395742946E-2</v>
      </c>
      <c r="D815" s="2">
        <f t="shared" si="26"/>
        <v>-1.1382869395742946E-2</v>
      </c>
    </row>
    <row r="816" spans="1:4" x14ac:dyDescent="0.3">
      <c r="A816" s="1">
        <v>45398</v>
      </c>
      <c r="B816">
        <v>72943.679999999993</v>
      </c>
      <c r="C816">
        <f t="shared" si="25"/>
        <v>-6.2139150825793457E-3</v>
      </c>
      <c r="D816" s="2">
        <f t="shared" si="26"/>
        <v>-6.2139150825793457E-3</v>
      </c>
    </row>
    <row r="817" spans="1:4" x14ac:dyDescent="0.3">
      <c r="A817" s="1">
        <v>45400</v>
      </c>
      <c r="B817">
        <v>72488.990000000005</v>
      </c>
      <c r="C817">
        <f t="shared" si="25"/>
        <v>-6.2334392780839659E-3</v>
      </c>
      <c r="D817" s="2">
        <f t="shared" si="26"/>
        <v>-6.2334392780839659E-3</v>
      </c>
    </row>
    <row r="818" spans="1:4" x14ac:dyDescent="0.3">
      <c r="A818" s="1">
        <v>45401</v>
      </c>
      <c r="B818">
        <v>73088.33</v>
      </c>
      <c r="C818">
        <f t="shared" si="25"/>
        <v>8.2680142184350536E-3</v>
      </c>
      <c r="D818" s="2">
        <f t="shared" si="26"/>
        <v>8.2680142184350536E-3</v>
      </c>
    </row>
    <row r="819" spans="1:4" x14ac:dyDescent="0.3">
      <c r="A819" s="1">
        <v>45404</v>
      </c>
      <c r="B819">
        <v>73648.62</v>
      </c>
      <c r="C819">
        <f t="shared" si="25"/>
        <v>7.6659297045095108E-3</v>
      </c>
      <c r="D819" s="2">
        <f t="shared" si="26"/>
        <v>7.6659297045095108E-3</v>
      </c>
    </row>
    <row r="820" spans="1:4" x14ac:dyDescent="0.3">
      <c r="A820" s="1">
        <v>45405</v>
      </c>
      <c r="B820">
        <v>73738.45</v>
      </c>
      <c r="C820">
        <f t="shared" si="25"/>
        <v>1.2197105661993634E-3</v>
      </c>
      <c r="D820" s="2">
        <f t="shared" si="26"/>
        <v>1.2197105661993634E-3</v>
      </c>
    </row>
    <row r="821" spans="1:4" x14ac:dyDescent="0.3">
      <c r="A821" s="1">
        <v>45406</v>
      </c>
      <c r="B821">
        <v>73852.94</v>
      </c>
      <c r="C821">
        <f t="shared" si="25"/>
        <v>1.5526499404314199E-3</v>
      </c>
      <c r="D821" s="2">
        <f t="shared" si="26"/>
        <v>1.5526499404314199E-3</v>
      </c>
    </row>
    <row r="822" spans="1:4" x14ac:dyDescent="0.3">
      <c r="A822" s="1">
        <v>45407</v>
      </c>
      <c r="B822">
        <v>74339.44</v>
      </c>
      <c r="C822">
        <f t="shared" si="25"/>
        <v>6.5874154772985341E-3</v>
      </c>
      <c r="D822" s="2">
        <f t="shared" si="26"/>
        <v>6.5874154772985341E-3</v>
      </c>
    </row>
    <row r="823" spans="1:4" x14ac:dyDescent="0.3">
      <c r="A823" s="1">
        <v>45408</v>
      </c>
      <c r="B823">
        <v>73730.16</v>
      </c>
      <c r="C823">
        <f t="shared" si="25"/>
        <v>-8.1959186133228716E-3</v>
      </c>
      <c r="D823" s="2">
        <f t="shared" si="26"/>
        <v>-8.1959186133228716E-3</v>
      </c>
    </row>
    <row r="824" spans="1:4" x14ac:dyDescent="0.3">
      <c r="A824" s="1">
        <v>45411</v>
      </c>
      <c r="B824">
        <v>74671.28</v>
      </c>
      <c r="C824">
        <f t="shared" si="25"/>
        <v>1.2764382987911532E-2</v>
      </c>
      <c r="D824" s="2">
        <f t="shared" si="26"/>
        <v>1.2764382987911532E-2</v>
      </c>
    </row>
    <row r="825" spans="1:4" x14ac:dyDescent="0.3">
      <c r="A825" s="1">
        <v>45412</v>
      </c>
      <c r="B825">
        <v>74482.78</v>
      </c>
      <c r="C825">
        <f t="shared" si="25"/>
        <v>-2.5243975997197316E-3</v>
      </c>
      <c r="D825" s="2">
        <f t="shared" si="26"/>
        <v>-2.5243975997197316E-3</v>
      </c>
    </row>
    <row r="826" spans="1:4" x14ac:dyDescent="0.3">
      <c r="A826" s="1">
        <v>45414</v>
      </c>
      <c r="B826">
        <v>74611.11</v>
      </c>
      <c r="C826">
        <f t="shared" si="25"/>
        <v>1.7229485795240422E-3</v>
      </c>
      <c r="D826" s="2">
        <f t="shared" si="26"/>
        <v>1.7229485795240422E-3</v>
      </c>
    </row>
    <row r="827" spans="1:4" x14ac:dyDescent="0.3">
      <c r="A827" s="1">
        <v>45415</v>
      </c>
      <c r="B827">
        <v>73878.149999999994</v>
      </c>
      <c r="C827">
        <f t="shared" si="25"/>
        <v>-9.8237380465188949E-3</v>
      </c>
      <c r="D827" s="2">
        <f t="shared" si="26"/>
        <v>-9.8237380465188949E-3</v>
      </c>
    </row>
    <row r="828" spans="1:4" x14ac:dyDescent="0.3">
      <c r="A828" s="1">
        <v>45418</v>
      </c>
      <c r="B828">
        <v>73895.539999999994</v>
      </c>
      <c r="C828">
        <f t="shared" si="25"/>
        <v>2.3538759430223171E-4</v>
      </c>
      <c r="D828" s="2">
        <f t="shared" si="26"/>
        <v>2.3538759430223171E-4</v>
      </c>
    </row>
    <row r="829" spans="1:4" x14ac:dyDescent="0.3">
      <c r="A829" s="1">
        <v>45419</v>
      </c>
      <c r="B829">
        <v>73511.850000000006</v>
      </c>
      <c r="C829">
        <f t="shared" si="25"/>
        <v>-5.1923296047364674E-3</v>
      </c>
      <c r="D829" s="2">
        <f t="shared" si="26"/>
        <v>-5.1923296047364674E-3</v>
      </c>
    </row>
    <row r="830" spans="1:4" x14ac:dyDescent="0.3">
      <c r="A830" s="1">
        <v>45420</v>
      </c>
      <c r="B830">
        <v>73466.39</v>
      </c>
      <c r="C830">
        <f t="shared" si="25"/>
        <v>-6.1840369953968508E-4</v>
      </c>
      <c r="D830" s="2">
        <f t="shared" si="26"/>
        <v>-6.1840369953968508E-4</v>
      </c>
    </row>
    <row r="831" spans="1:4" x14ac:dyDescent="0.3">
      <c r="A831" s="1">
        <v>45421</v>
      </c>
      <c r="B831">
        <v>72404.17</v>
      </c>
      <c r="C831">
        <f t="shared" si="25"/>
        <v>-1.4458584394850505E-2</v>
      </c>
      <c r="D831" s="2">
        <f t="shared" si="26"/>
        <v>-1.4458584394850505E-2</v>
      </c>
    </row>
    <row r="832" spans="1:4" x14ac:dyDescent="0.3">
      <c r="A832" s="1">
        <v>45422</v>
      </c>
      <c r="B832">
        <v>72664.47</v>
      </c>
      <c r="C832">
        <f t="shared" si="25"/>
        <v>3.5950968017450227E-3</v>
      </c>
      <c r="D832" s="2">
        <f t="shared" si="26"/>
        <v>3.5950968017450227E-3</v>
      </c>
    </row>
    <row r="833" spans="1:4" x14ac:dyDescent="0.3">
      <c r="A833" s="1">
        <v>45425</v>
      </c>
      <c r="B833">
        <v>72776.13</v>
      </c>
      <c r="C833">
        <f t="shared" si="25"/>
        <v>1.5366519565890109E-3</v>
      </c>
      <c r="D833" s="2">
        <f t="shared" si="26"/>
        <v>1.5366519565890109E-3</v>
      </c>
    </row>
    <row r="834" spans="1:4" x14ac:dyDescent="0.3">
      <c r="A834" s="1">
        <v>45426</v>
      </c>
      <c r="B834">
        <v>73104.61</v>
      </c>
      <c r="C834">
        <f t="shared" si="25"/>
        <v>4.5135678415435931E-3</v>
      </c>
      <c r="D834" s="2">
        <f t="shared" si="26"/>
        <v>4.5135678415435931E-3</v>
      </c>
    </row>
    <row r="835" spans="1:4" x14ac:dyDescent="0.3">
      <c r="A835" s="1">
        <v>45427</v>
      </c>
      <c r="B835">
        <v>72987.03</v>
      </c>
      <c r="C835">
        <f t="shared" si="25"/>
        <v>-1.6083801007898372E-3</v>
      </c>
      <c r="D835" s="2">
        <f t="shared" si="26"/>
        <v>-1.6083801007898372E-3</v>
      </c>
    </row>
    <row r="836" spans="1:4" x14ac:dyDescent="0.3">
      <c r="A836" s="1">
        <v>45428</v>
      </c>
      <c r="B836">
        <v>73663.72</v>
      </c>
      <c r="C836">
        <f t="shared" ref="C836:C899" si="27">(B836-B835)/B835</f>
        <v>9.2713732837190702E-3</v>
      </c>
      <c r="D836" s="2">
        <f t="shared" ref="D836:D899" si="28">(B836-B835)/B835</f>
        <v>9.2713732837190702E-3</v>
      </c>
    </row>
    <row r="837" spans="1:4" x14ac:dyDescent="0.3">
      <c r="A837" s="1">
        <v>45429</v>
      </c>
      <c r="B837">
        <v>73917.03</v>
      </c>
      <c r="C837">
        <f t="shared" si="27"/>
        <v>3.4387348344612199E-3</v>
      </c>
      <c r="D837" s="2">
        <f t="shared" si="28"/>
        <v>3.4387348344612199E-3</v>
      </c>
    </row>
    <row r="838" spans="1:4" x14ac:dyDescent="0.3">
      <c r="A838" s="1">
        <v>45430</v>
      </c>
      <c r="B838">
        <v>74005.94</v>
      </c>
      <c r="C838">
        <f t="shared" si="27"/>
        <v>1.2028351247338198E-3</v>
      </c>
      <c r="D838" s="2">
        <f t="shared" si="28"/>
        <v>1.2028351247338198E-3</v>
      </c>
    </row>
    <row r="839" spans="1:4" x14ac:dyDescent="0.3">
      <c r="A839" s="1">
        <v>45433</v>
      </c>
      <c r="B839">
        <v>73953.31</v>
      </c>
      <c r="C839">
        <f t="shared" si="27"/>
        <v>-7.1115913128060601E-4</v>
      </c>
      <c r="D839" s="2">
        <f t="shared" si="28"/>
        <v>-7.1115913128060601E-4</v>
      </c>
    </row>
    <row r="840" spans="1:4" x14ac:dyDescent="0.3">
      <c r="A840" s="1">
        <v>45434</v>
      </c>
      <c r="B840">
        <v>74221.06</v>
      </c>
      <c r="C840">
        <f t="shared" si="27"/>
        <v>3.6205276004549359E-3</v>
      </c>
      <c r="D840" s="2">
        <f t="shared" si="28"/>
        <v>3.6205276004549359E-3</v>
      </c>
    </row>
    <row r="841" spans="1:4" x14ac:dyDescent="0.3">
      <c r="A841" s="1">
        <v>45435</v>
      </c>
      <c r="B841">
        <v>75418.039999999994</v>
      </c>
      <c r="C841">
        <f t="shared" si="27"/>
        <v>1.6127228579058236E-2</v>
      </c>
      <c r="D841" s="2">
        <f t="shared" si="28"/>
        <v>1.6127228579058236E-2</v>
      </c>
    </row>
    <row r="842" spans="1:4" x14ac:dyDescent="0.3">
      <c r="A842" s="1">
        <v>45436</v>
      </c>
      <c r="B842">
        <v>75410.39</v>
      </c>
      <c r="C842">
        <f t="shared" si="27"/>
        <v>-1.0143461696954973E-4</v>
      </c>
      <c r="D842" s="2">
        <f t="shared" si="28"/>
        <v>-1.0143461696954973E-4</v>
      </c>
    </row>
    <row r="843" spans="1:4" x14ac:dyDescent="0.3">
      <c r="A843" s="1">
        <v>45439</v>
      </c>
      <c r="B843">
        <v>75390.5</v>
      </c>
      <c r="C843">
        <f t="shared" si="27"/>
        <v>-2.6375675818676204E-4</v>
      </c>
      <c r="D843" s="2">
        <f t="shared" si="28"/>
        <v>-2.6375675818676204E-4</v>
      </c>
    </row>
    <row r="844" spans="1:4" x14ac:dyDescent="0.3">
      <c r="A844" s="1">
        <v>45440</v>
      </c>
      <c r="B844">
        <v>75170.45</v>
      </c>
      <c r="C844">
        <f t="shared" si="27"/>
        <v>-2.918802766926906E-3</v>
      </c>
      <c r="D844" s="2">
        <f t="shared" si="28"/>
        <v>-2.918802766926906E-3</v>
      </c>
    </row>
    <row r="845" spans="1:4" x14ac:dyDescent="0.3">
      <c r="A845" s="1">
        <v>45441</v>
      </c>
      <c r="B845">
        <v>74502.899999999994</v>
      </c>
      <c r="C845">
        <f t="shared" si="27"/>
        <v>-8.8804842860459518E-3</v>
      </c>
      <c r="D845" s="2">
        <f t="shared" si="28"/>
        <v>-8.8804842860459518E-3</v>
      </c>
    </row>
    <row r="846" spans="1:4" x14ac:dyDescent="0.3">
      <c r="A846" s="1">
        <v>45442</v>
      </c>
      <c r="B846">
        <v>73885.600000000006</v>
      </c>
      <c r="C846">
        <f t="shared" si="27"/>
        <v>-8.2855835141986203E-3</v>
      </c>
      <c r="D846" s="2">
        <f t="shared" si="28"/>
        <v>-8.2855835141986203E-3</v>
      </c>
    </row>
    <row r="847" spans="1:4" x14ac:dyDescent="0.3">
      <c r="A847" s="1">
        <v>45443</v>
      </c>
      <c r="B847">
        <v>73961.31</v>
      </c>
      <c r="C847">
        <f t="shared" si="27"/>
        <v>1.0246922269020193E-3</v>
      </c>
      <c r="D847" s="2">
        <f t="shared" si="28"/>
        <v>1.0246922269020193E-3</v>
      </c>
    </row>
    <row r="848" spans="1:4" x14ac:dyDescent="0.3">
      <c r="A848" s="1">
        <v>45446</v>
      </c>
      <c r="B848">
        <v>76468.78</v>
      </c>
      <c r="C848">
        <f t="shared" si="27"/>
        <v>3.3902455216112334E-2</v>
      </c>
      <c r="D848" s="2">
        <f t="shared" si="28"/>
        <v>3.3902455216112334E-2</v>
      </c>
    </row>
    <row r="849" spans="1:4" x14ac:dyDescent="0.3">
      <c r="A849" s="1">
        <v>45447</v>
      </c>
      <c r="B849">
        <v>72079.05</v>
      </c>
      <c r="C849">
        <f t="shared" si="27"/>
        <v>-5.7405518958194388E-2</v>
      </c>
      <c r="D849" s="2">
        <f t="shared" si="28"/>
        <v>-5.7405518958194388E-2</v>
      </c>
    </row>
    <row r="850" spans="1:4" x14ac:dyDescent="0.3">
      <c r="A850" s="1">
        <v>45448</v>
      </c>
      <c r="B850">
        <v>74382.240000000005</v>
      </c>
      <c r="C850">
        <f t="shared" si="27"/>
        <v>3.1953667535851292E-2</v>
      </c>
      <c r="D850" s="2">
        <f t="shared" si="28"/>
        <v>3.1953667535851292E-2</v>
      </c>
    </row>
    <row r="851" spans="1:4" x14ac:dyDescent="0.3">
      <c r="A851" s="1">
        <v>45449</v>
      </c>
      <c r="B851">
        <v>75074.509999999995</v>
      </c>
      <c r="C851">
        <f t="shared" si="27"/>
        <v>9.3069259543674607E-3</v>
      </c>
      <c r="D851" s="2">
        <f t="shared" si="28"/>
        <v>9.3069259543674607E-3</v>
      </c>
    </row>
    <row r="852" spans="1:4" x14ac:dyDescent="0.3">
      <c r="A852" s="1">
        <v>45450</v>
      </c>
      <c r="B852">
        <v>76693.36</v>
      </c>
      <c r="C852">
        <f t="shared" si="27"/>
        <v>2.1563244302227294E-2</v>
      </c>
      <c r="D852" s="2">
        <f t="shared" si="28"/>
        <v>2.1563244302227294E-2</v>
      </c>
    </row>
    <row r="853" spans="1:4" x14ac:dyDescent="0.3">
      <c r="A853" s="1">
        <v>45453</v>
      </c>
      <c r="B853">
        <v>76490.080000000002</v>
      </c>
      <c r="C853">
        <f t="shared" si="27"/>
        <v>-2.6505554066218878E-3</v>
      </c>
      <c r="D853" s="2">
        <f t="shared" si="28"/>
        <v>-2.6505554066218878E-3</v>
      </c>
    </row>
    <row r="854" spans="1:4" x14ac:dyDescent="0.3">
      <c r="A854" s="1">
        <v>45454</v>
      </c>
      <c r="B854">
        <v>76456.59</v>
      </c>
      <c r="C854">
        <f t="shared" si="27"/>
        <v>-4.3783455318657316E-4</v>
      </c>
      <c r="D854" s="2">
        <f t="shared" si="28"/>
        <v>-4.3783455318657316E-4</v>
      </c>
    </row>
    <row r="855" spans="1:4" x14ac:dyDescent="0.3">
      <c r="A855" s="1">
        <v>45455</v>
      </c>
      <c r="B855">
        <v>76606.570000000007</v>
      </c>
      <c r="C855">
        <f t="shared" si="27"/>
        <v>1.9616360080930953E-3</v>
      </c>
      <c r="D855" s="2">
        <f t="shared" si="28"/>
        <v>1.9616360080930953E-3</v>
      </c>
    </row>
    <row r="856" spans="1:4" x14ac:dyDescent="0.3">
      <c r="A856" s="1">
        <v>45456</v>
      </c>
      <c r="B856">
        <v>76810.899999999994</v>
      </c>
      <c r="C856">
        <f t="shared" si="27"/>
        <v>2.6672647006645406E-3</v>
      </c>
      <c r="D856" s="2">
        <f t="shared" si="28"/>
        <v>2.6672647006645406E-3</v>
      </c>
    </row>
    <row r="857" spans="1:4" x14ac:dyDescent="0.3">
      <c r="A857" s="1">
        <v>45457</v>
      </c>
      <c r="B857">
        <v>76992.77</v>
      </c>
      <c r="C857">
        <f t="shared" si="27"/>
        <v>2.3677629086498128E-3</v>
      </c>
      <c r="D857" s="2">
        <f t="shared" si="28"/>
        <v>2.3677629086498128E-3</v>
      </c>
    </row>
    <row r="858" spans="1:4" x14ac:dyDescent="0.3">
      <c r="A858" s="1">
        <v>45461</v>
      </c>
      <c r="B858">
        <v>77301.14</v>
      </c>
      <c r="C858">
        <f t="shared" si="27"/>
        <v>4.0051812657213833E-3</v>
      </c>
      <c r="D858" s="2">
        <f t="shared" si="28"/>
        <v>4.0051812657213833E-3</v>
      </c>
    </row>
    <row r="859" spans="1:4" x14ac:dyDescent="0.3">
      <c r="A859" s="1">
        <v>45462</v>
      </c>
      <c r="B859">
        <v>77337.59</v>
      </c>
      <c r="C859">
        <f t="shared" si="27"/>
        <v>4.7153250262540878E-4</v>
      </c>
      <c r="D859" s="2">
        <f t="shared" si="28"/>
        <v>4.7153250262540878E-4</v>
      </c>
    </row>
    <row r="860" spans="1:4" x14ac:dyDescent="0.3">
      <c r="A860" s="1">
        <v>45463</v>
      </c>
      <c r="B860">
        <v>77478.929999999993</v>
      </c>
      <c r="C860">
        <f t="shared" si="27"/>
        <v>1.8275718185683898E-3</v>
      </c>
      <c r="D860" s="2">
        <f t="shared" si="28"/>
        <v>1.8275718185683898E-3</v>
      </c>
    </row>
    <row r="861" spans="1:4" x14ac:dyDescent="0.3">
      <c r="A861" s="1">
        <v>45464</v>
      </c>
      <c r="B861">
        <v>77209.899999999994</v>
      </c>
      <c r="C861">
        <f t="shared" si="27"/>
        <v>-3.4722988559599218E-3</v>
      </c>
      <c r="D861" s="2">
        <f t="shared" si="28"/>
        <v>-3.4722988559599218E-3</v>
      </c>
    </row>
    <row r="862" spans="1:4" x14ac:dyDescent="0.3">
      <c r="A862" s="1">
        <v>45467</v>
      </c>
      <c r="B862">
        <v>77341.08</v>
      </c>
      <c r="C862">
        <f t="shared" si="27"/>
        <v>1.6990049203535762E-3</v>
      </c>
      <c r="D862" s="2">
        <f t="shared" si="28"/>
        <v>1.6990049203535762E-3</v>
      </c>
    </row>
    <row r="863" spans="1:4" x14ac:dyDescent="0.3">
      <c r="A863" s="1">
        <v>45468</v>
      </c>
      <c r="B863">
        <v>78053.52</v>
      </c>
      <c r="C863">
        <f t="shared" si="27"/>
        <v>9.2116634523335111E-3</v>
      </c>
      <c r="D863" s="2">
        <f t="shared" si="28"/>
        <v>9.2116634523335111E-3</v>
      </c>
    </row>
    <row r="864" spans="1:4" x14ac:dyDescent="0.3">
      <c r="A864" s="1">
        <v>45469</v>
      </c>
      <c r="B864">
        <v>78674.25</v>
      </c>
      <c r="C864">
        <f t="shared" si="27"/>
        <v>7.952620202138173E-3</v>
      </c>
      <c r="D864" s="2">
        <f t="shared" si="28"/>
        <v>7.952620202138173E-3</v>
      </c>
    </row>
    <row r="865" spans="1:4" x14ac:dyDescent="0.3">
      <c r="A865" s="1">
        <v>45470</v>
      </c>
      <c r="B865">
        <v>79243.179999999993</v>
      </c>
      <c r="C865">
        <f t="shared" si="27"/>
        <v>7.2314639160842714E-3</v>
      </c>
      <c r="D865" s="2">
        <f t="shared" si="28"/>
        <v>7.2314639160842714E-3</v>
      </c>
    </row>
    <row r="866" spans="1:4" x14ac:dyDescent="0.3">
      <c r="A866" s="1">
        <v>45471</v>
      </c>
      <c r="B866">
        <v>79032.73</v>
      </c>
      <c r="C866">
        <f t="shared" si="27"/>
        <v>-2.6557490499497511E-3</v>
      </c>
      <c r="D866" s="2">
        <f t="shared" si="28"/>
        <v>-2.6557490499497511E-3</v>
      </c>
    </row>
    <row r="867" spans="1:4" x14ac:dyDescent="0.3">
      <c r="A867" s="1">
        <v>45474</v>
      </c>
      <c r="B867">
        <v>79476.19</v>
      </c>
      <c r="C867">
        <f t="shared" si="27"/>
        <v>5.6110930243711233E-3</v>
      </c>
      <c r="D867" s="2">
        <f t="shared" si="28"/>
        <v>5.6110930243711233E-3</v>
      </c>
    </row>
    <row r="868" spans="1:4" x14ac:dyDescent="0.3">
      <c r="A868" s="1">
        <v>45475</v>
      </c>
      <c r="B868">
        <v>79441.45</v>
      </c>
      <c r="C868">
        <f t="shared" si="27"/>
        <v>-4.3711204575867612E-4</v>
      </c>
      <c r="D868" s="2">
        <f t="shared" si="28"/>
        <v>-4.3711204575867612E-4</v>
      </c>
    </row>
    <row r="869" spans="1:4" x14ac:dyDescent="0.3">
      <c r="A869" s="1">
        <v>45476</v>
      </c>
      <c r="B869">
        <v>79986.8</v>
      </c>
      <c r="C869">
        <f t="shared" si="27"/>
        <v>6.8648042048578654E-3</v>
      </c>
      <c r="D869" s="2">
        <f t="shared" si="28"/>
        <v>6.8648042048578654E-3</v>
      </c>
    </row>
    <row r="870" spans="1:4" x14ac:dyDescent="0.3">
      <c r="A870" s="1">
        <v>45477</v>
      </c>
      <c r="B870">
        <v>80049.67</v>
      </c>
      <c r="C870">
        <f t="shared" si="27"/>
        <v>7.8600469077391949E-4</v>
      </c>
      <c r="D870" s="2">
        <f t="shared" si="28"/>
        <v>7.8600469077391949E-4</v>
      </c>
    </row>
    <row r="871" spans="1:4" x14ac:dyDescent="0.3">
      <c r="A871" s="1">
        <v>45478</v>
      </c>
      <c r="B871">
        <v>79996.600000000006</v>
      </c>
      <c r="C871">
        <f t="shared" si="27"/>
        <v>-6.6296338260972757E-4</v>
      </c>
      <c r="D871" s="2">
        <f t="shared" si="28"/>
        <v>-6.6296338260972757E-4</v>
      </c>
    </row>
    <row r="872" spans="1:4" x14ac:dyDescent="0.3">
      <c r="A872" s="1">
        <v>45481</v>
      </c>
      <c r="B872">
        <v>79960.38</v>
      </c>
      <c r="C872">
        <f t="shared" si="27"/>
        <v>-4.5276924269282894E-4</v>
      </c>
      <c r="D872" s="2">
        <f t="shared" si="28"/>
        <v>-4.5276924269282894E-4</v>
      </c>
    </row>
    <row r="873" spans="1:4" x14ac:dyDescent="0.3">
      <c r="A873" s="1">
        <v>45482</v>
      </c>
      <c r="B873">
        <v>80351.64</v>
      </c>
      <c r="C873">
        <f t="shared" si="27"/>
        <v>4.8931733440985992E-3</v>
      </c>
      <c r="D873" s="2">
        <f t="shared" si="28"/>
        <v>4.8931733440985992E-3</v>
      </c>
    </row>
    <row r="874" spans="1:4" x14ac:dyDescent="0.3">
      <c r="A874" s="1">
        <v>45483</v>
      </c>
      <c r="B874">
        <v>79924.77</v>
      </c>
      <c r="C874">
        <f t="shared" si="27"/>
        <v>-5.3125238016298775E-3</v>
      </c>
      <c r="D874" s="2">
        <f t="shared" si="28"/>
        <v>-5.3125238016298775E-3</v>
      </c>
    </row>
    <row r="875" spans="1:4" x14ac:dyDescent="0.3">
      <c r="A875" s="1">
        <v>45484</v>
      </c>
      <c r="B875">
        <v>79897.34</v>
      </c>
      <c r="C875">
        <f t="shared" si="27"/>
        <v>-3.4319773456974059E-4</v>
      </c>
      <c r="D875" s="2">
        <f t="shared" si="28"/>
        <v>-3.4319773456974059E-4</v>
      </c>
    </row>
    <row r="876" spans="1:4" x14ac:dyDescent="0.3">
      <c r="A876" s="1">
        <v>45485</v>
      </c>
      <c r="B876">
        <v>80519.34</v>
      </c>
      <c r="C876">
        <f t="shared" si="27"/>
        <v>7.7849900885311081E-3</v>
      </c>
      <c r="D876" s="2">
        <f t="shared" si="28"/>
        <v>7.7849900885311081E-3</v>
      </c>
    </row>
    <row r="877" spans="1:4" x14ac:dyDescent="0.3">
      <c r="A877" s="1">
        <v>45488</v>
      </c>
      <c r="B877">
        <v>80664.86</v>
      </c>
      <c r="C877">
        <f t="shared" si="27"/>
        <v>1.8072676701026621E-3</v>
      </c>
      <c r="D877" s="2">
        <f t="shared" si="28"/>
        <v>1.8072676701026621E-3</v>
      </c>
    </row>
    <row r="878" spans="1:4" x14ac:dyDescent="0.3">
      <c r="A878" s="1">
        <v>45489</v>
      </c>
      <c r="B878">
        <v>80716.55</v>
      </c>
      <c r="C878">
        <f t="shared" si="27"/>
        <v>6.4079947575688262E-4</v>
      </c>
      <c r="D878" s="2">
        <f t="shared" si="28"/>
        <v>6.4079947575688262E-4</v>
      </c>
    </row>
    <row r="879" spans="1:4" x14ac:dyDescent="0.3">
      <c r="A879" s="1">
        <v>45491</v>
      </c>
      <c r="B879">
        <v>81343.460000000006</v>
      </c>
      <c r="C879">
        <f t="shared" si="27"/>
        <v>7.7668086656330513E-3</v>
      </c>
      <c r="D879" s="2">
        <f t="shared" si="28"/>
        <v>7.7668086656330513E-3</v>
      </c>
    </row>
    <row r="880" spans="1:4" x14ac:dyDescent="0.3">
      <c r="A880" s="1">
        <v>45492</v>
      </c>
      <c r="B880">
        <v>80604.649999999994</v>
      </c>
      <c r="C880">
        <f t="shared" si="27"/>
        <v>-9.0825986502173894E-3</v>
      </c>
      <c r="D880" s="2">
        <f t="shared" si="28"/>
        <v>-9.0825986502173894E-3</v>
      </c>
    </row>
    <row r="881" spans="1:4" x14ac:dyDescent="0.3">
      <c r="A881" s="1">
        <v>45495</v>
      </c>
      <c r="B881">
        <v>80502.080000000002</v>
      </c>
      <c r="C881">
        <f t="shared" si="27"/>
        <v>-1.2725072312824686E-3</v>
      </c>
      <c r="D881" s="2">
        <f t="shared" si="28"/>
        <v>-1.2725072312824686E-3</v>
      </c>
    </row>
    <row r="882" spans="1:4" x14ac:dyDescent="0.3">
      <c r="A882" s="1">
        <v>45496</v>
      </c>
      <c r="B882">
        <v>80429.039999999994</v>
      </c>
      <c r="C882">
        <f t="shared" si="27"/>
        <v>-9.073057491186333E-4</v>
      </c>
      <c r="D882" s="2">
        <f t="shared" si="28"/>
        <v>-9.073057491186333E-4</v>
      </c>
    </row>
    <row r="883" spans="1:4" x14ac:dyDescent="0.3">
      <c r="A883" s="1">
        <v>45497</v>
      </c>
      <c r="B883">
        <v>80148.88</v>
      </c>
      <c r="C883">
        <f t="shared" si="27"/>
        <v>-3.4833189604151554E-3</v>
      </c>
      <c r="D883" s="2">
        <f t="shared" si="28"/>
        <v>-3.4833189604151554E-3</v>
      </c>
    </row>
    <row r="884" spans="1:4" x14ac:dyDescent="0.3">
      <c r="A884" s="1">
        <v>45498</v>
      </c>
      <c r="B884">
        <v>80039.8</v>
      </c>
      <c r="C884">
        <f t="shared" si="27"/>
        <v>-1.3609672399664441E-3</v>
      </c>
      <c r="D884" s="2">
        <f t="shared" si="28"/>
        <v>-1.3609672399664441E-3</v>
      </c>
    </row>
    <row r="885" spans="1:4" x14ac:dyDescent="0.3">
      <c r="A885" s="1">
        <v>45499</v>
      </c>
      <c r="B885">
        <v>81332.72</v>
      </c>
      <c r="C885">
        <f t="shared" si="27"/>
        <v>1.6153463651833191E-2</v>
      </c>
      <c r="D885" s="2">
        <f t="shared" si="28"/>
        <v>1.6153463651833191E-2</v>
      </c>
    </row>
    <row r="886" spans="1:4" x14ac:dyDescent="0.3">
      <c r="A886" s="1">
        <v>45502</v>
      </c>
      <c r="B886">
        <v>81355.839999999997</v>
      </c>
      <c r="C886">
        <f t="shared" si="27"/>
        <v>2.8426443871538222E-4</v>
      </c>
      <c r="D886" s="2">
        <f t="shared" si="28"/>
        <v>2.8426443871538222E-4</v>
      </c>
    </row>
    <row r="887" spans="1:4" x14ac:dyDescent="0.3">
      <c r="A887" s="1">
        <v>45503</v>
      </c>
      <c r="B887">
        <v>81455.399999999994</v>
      </c>
      <c r="C887">
        <f t="shared" si="27"/>
        <v>1.2237597202609878E-3</v>
      </c>
      <c r="D887" s="2">
        <f t="shared" si="28"/>
        <v>1.2237597202609878E-3</v>
      </c>
    </row>
    <row r="888" spans="1:4" x14ac:dyDescent="0.3">
      <c r="A888" s="1">
        <v>45504</v>
      </c>
      <c r="B888">
        <v>81741.34</v>
      </c>
      <c r="C888">
        <f t="shared" si="27"/>
        <v>3.5103872794191955E-3</v>
      </c>
      <c r="D888" s="2">
        <f t="shared" si="28"/>
        <v>3.5103872794191955E-3</v>
      </c>
    </row>
    <row r="889" spans="1:4" x14ac:dyDescent="0.3">
      <c r="A889" s="1">
        <v>45505</v>
      </c>
      <c r="B889">
        <v>81867.55</v>
      </c>
      <c r="C889">
        <f t="shared" si="27"/>
        <v>1.5440167729083767E-3</v>
      </c>
      <c r="D889" s="2">
        <f t="shared" si="28"/>
        <v>1.5440167729083767E-3</v>
      </c>
    </row>
    <row r="890" spans="1:4" x14ac:dyDescent="0.3">
      <c r="A890" s="1">
        <v>45506</v>
      </c>
      <c r="B890">
        <v>80981.95</v>
      </c>
      <c r="C890">
        <f t="shared" si="27"/>
        <v>-1.0817472857072257E-2</v>
      </c>
      <c r="D890" s="2">
        <f t="shared" si="28"/>
        <v>-1.0817472857072257E-2</v>
      </c>
    </row>
    <row r="891" spans="1:4" x14ac:dyDescent="0.3">
      <c r="A891" s="1">
        <v>45509</v>
      </c>
      <c r="B891">
        <v>78759.399999999994</v>
      </c>
      <c r="C891">
        <f t="shared" si="27"/>
        <v>-2.7445004720187682E-2</v>
      </c>
      <c r="D891" s="2">
        <f t="shared" si="28"/>
        <v>-2.7445004720187682E-2</v>
      </c>
    </row>
    <row r="892" spans="1:4" x14ac:dyDescent="0.3">
      <c r="A892" s="1">
        <v>45510</v>
      </c>
      <c r="B892">
        <v>78593.070000000007</v>
      </c>
      <c r="C892">
        <f t="shared" si="27"/>
        <v>-2.1118749000117727E-3</v>
      </c>
      <c r="D892" s="2">
        <f t="shared" si="28"/>
        <v>-2.1118749000117727E-3</v>
      </c>
    </row>
    <row r="893" spans="1:4" x14ac:dyDescent="0.3">
      <c r="A893" s="1">
        <v>45511</v>
      </c>
      <c r="B893">
        <v>79468.009999999995</v>
      </c>
      <c r="C893">
        <f t="shared" si="27"/>
        <v>1.1132533695400723E-2</v>
      </c>
      <c r="D893" s="2">
        <f t="shared" si="28"/>
        <v>1.1132533695400723E-2</v>
      </c>
    </row>
    <row r="894" spans="1:4" x14ac:dyDescent="0.3">
      <c r="A894" s="1">
        <v>45512</v>
      </c>
      <c r="B894">
        <v>78886.22</v>
      </c>
      <c r="C894">
        <f t="shared" si="27"/>
        <v>-7.3210591280691894E-3</v>
      </c>
      <c r="D894" s="2">
        <f t="shared" si="28"/>
        <v>-7.3210591280691894E-3</v>
      </c>
    </row>
    <row r="895" spans="1:4" x14ac:dyDescent="0.3">
      <c r="A895" s="1">
        <v>45513</v>
      </c>
      <c r="B895">
        <v>79705.91</v>
      </c>
      <c r="C895">
        <f t="shared" si="27"/>
        <v>1.0390788150325904E-2</v>
      </c>
      <c r="D895" s="2">
        <f t="shared" si="28"/>
        <v>1.0390788150325904E-2</v>
      </c>
    </row>
    <row r="896" spans="1:4" x14ac:dyDescent="0.3">
      <c r="A896" s="1">
        <v>45516</v>
      </c>
      <c r="B896">
        <v>79648.92</v>
      </c>
      <c r="C896">
        <f t="shared" si="27"/>
        <v>-7.1500344202839205E-4</v>
      </c>
      <c r="D896" s="2">
        <f t="shared" si="28"/>
        <v>-7.1500344202839205E-4</v>
      </c>
    </row>
    <row r="897" spans="1:4" x14ac:dyDescent="0.3">
      <c r="A897" s="1">
        <v>45517</v>
      </c>
      <c r="B897">
        <v>78956.03</v>
      </c>
      <c r="C897">
        <f t="shared" si="27"/>
        <v>-8.6993018863281441E-3</v>
      </c>
      <c r="D897" s="2">
        <f t="shared" si="28"/>
        <v>-8.6993018863281441E-3</v>
      </c>
    </row>
    <row r="898" spans="1:4" x14ac:dyDescent="0.3">
      <c r="A898" s="1">
        <v>45518</v>
      </c>
      <c r="B898">
        <v>79105.88</v>
      </c>
      <c r="C898">
        <f t="shared" si="27"/>
        <v>1.8978917759670266E-3</v>
      </c>
      <c r="D898" s="2">
        <f t="shared" si="28"/>
        <v>1.8978917759670266E-3</v>
      </c>
    </row>
    <row r="899" spans="1:4" x14ac:dyDescent="0.3">
      <c r="A899" s="1">
        <v>45520</v>
      </c>
      <c r="B899">
        <v>80436.84</v>
      </c>
      <c r="C899">
        <f t="shared" si="27"/>
        <v>1.6825045116747223E-2</v>
      </c>
      <c r="D899" s="2">
        <f t="shared" si="28"/>
        <v>1.6825045116747223E-2</v>
      </c>
    </row>
    <row r="900" spans="1:4" x14ac:dyDescent="0.3">
      <c r="A900" s="1">
        <v>45523</v>
      </c>
      <c r="B900">
        <v>80424.679999999993</v>
      </c>
      <c r="C900">
        <f t="shared" ref="C900:C963" si="29">(B900-B899)/B899</f>
        <v>-1.5117451157956345E-4</v>
      </c>
      <c r="D900" s="2">
        <f t="shared" ref="D900:D963" si="30">(B900-B899)/B899</f>
        <v>-1.5117451157956345E-4</v>
      </c>
    </row>
    <row r="901" spans="1:4" x14ac:dyDescent="0.3">
      <c r="A901" s="1">
        <v>45524</v>
      </c>
      <c r="B901">
        <v>80802.86</v>
      </c>
      <c r="C901">
        <f t="shared" si="29"/>
        <v>4.7022879046582167E-3</v>
      </c>
      <c r="D901" s="2">
        <f t="shared" si="30"/>
        <v>4.7022879046582167E-3</v>
      </c>
    </row>
    <row r="902" spans="1:4" x14ac:dyDescent="0.3">
      <c r="A902" s="1">
        <v>45525</v>
      </c>
      <c r="B902">
        <v>80905.3</v>
      </c>
      <c r="C902">
        <f t="shared" si="29"/>
        <v>1.2677769078966057E-3</v>
      </c>
      <c r="D902" s="2">
        <f t="shared" si="30"/>
        <v>1.2677769078966057E-3</v>
      </c>
    </row>
    <row r="903" spans="1:4" x14ac:dyDescent="0.3">
      <c r="A903" s="1">
        <v>45526</v>
      </c>
      <c r="B903">
        <v>81053.19</v>
      </c>
      <c r="C903">
        <f t="shared" si="29"/>
        <v>1.827939578742053E-3</v>
      </c>
      <c r="D903" s="2">
        <f t="shared" si="30"/>
        <v>1.827939578742053E-3</v>
      </c>
    </row>
    <row r="904" spans="1:4" x14ac:dyDescent="0.3">
      <c r="A904" s="1">
        <v>45527</v>
      </c>
      <c r="B904">
        <v>81086.210000000006</v>
      </c>
      <c r="C904">
        <f t="shared" si="29"/>
        <v>4.0738680365330561E-4</v>
      </c>
      <c r="D904" s="2">
        <f t="shared" si="30"/>
        <v>4.0738680365330561E-4</v>
      </c>
    </row>
    <row r="905" spans="1:4" x14ac:dyDescent="0.3">
      <c r="A905" s="1">
        <v>45530</v>
      </c>
      <c r="B905">
        <v>81698.11</v>
      </c>
      <c r="C905">
        <f t="shared" si="29"/>
        <v>7.5462893135589161E-3</v>
      </c>
      <c r="D905" s="2">
        <f t="shared" si="30"/>
        <v>7.5462893135589161E-3</v>
      </c>
    </row>
    <row r="906" spans="1:4" x14ac:dyDescent="0.3">
      <c r="A906" s="1">
        <v>45531</v>
      </c>
      <c r="B906">
        <v>81711.759999999995</v>
      </c>
      <c r="C906">
        <f t="shared" si="29"/>
        <v>1.6707852849954765E-4</v>
      </c>
      <c r="D906" s="2">
        <f t="shared" si="30"/>
        <v>1.6707852849954765E-4</v>
      </c>
    </row>
    <row r="907" spans="1:4" x14ac:dyDescent="0.3">
      <c r="A907" s="1">
        <v>45532</v>
      </c>
      <c r="B907">
        <v>81785.56</v>
      </c>
      <c r="C907">
        <f t="shared" si="29"/>
        <v>9.0317476945794481E-4</v>
      </c>
      <c r="D907" s="2">
        <f t="shared" si="30"/>
        <v>9.0317476945794481E-4</v>
      </c>
    </row>
    <row r="908" spans="1:4" x14ac:dyDescent="0.3">
      <c r="A908" s="1">
        <v>45533</v>
      </c>
      <c r="B908">
        <v>82134.61</v>
      </c>
      <c r="C908">
        <f t="shared" si="29"/>
        <v>4.2678683131839278E-3</v>
      </c>
      <c r="D908" s="2">
        <f t="shared" si="30"/>
        <v>4.2678683131839278E-3</v>
      </c>
    </row>
    <row r="909" spans="1:4" x14ac:dyDescent="0.3">
      <c r="A909" s="1">
        <v>45534</v>
      </c>
      <c r="B909">
        <v>82365.77</v>
      </c>
      <c r="C909">
        <f t="shared" si="29"/>
        <v>2.8144043053227319E-3</v>
      </c>
      <c r="D909" s="2">
        <f t="shared" si="30"/>
        <v>2.8144043053227319E-3</v>
      </c>
    </row>
    <row r="910" spans="1:4" x14ac:dyDescent="0.3">
      <c r="A910" s="1">
        <v>45537</v>
      </c>
      <c r="B910">
        <v>82559.839999999997</v>
      </c>
      <c r="C910">
        <f t="shared" si="29"/>
        <v>2.3561972406740375E-3</v>
      </c>
      <c r="D910" s="2">
        <f t="shared" si="30"/>
        <v>2.3561972406740375E-3</v>
      </c>
    </row>
    <row r="911" spans="1:4" x14ac:dyDescent="0.3">
      <c r="A911" s="1">
        <v>45538</v>
      </c>
      <c r="B911">
        <v>82555.44</v>
      </c>
      <c r="C911">
        <f t="shared" si="29"/>
        <v>-5.3294676927597962E-5</v>
      </c>
      <c r="D911" s="2">
        <f t="shared" si="30"/>
        <v>-5.3294676927597962E-5</v>
      </c>
    </row>
    <row r="912" spans="1:4" x14ac:dyDescent="0.3">
      <c r="A912" s="1">
        <v>45539</v>
      </c>
      <c r="B912">
        <v>82352.639999999999</v>
      </c>
      <c r="C912">
        <f t="shared" si="29"/>
        <v>-2.4565310293301434E-3</v>
      </c>
      <c r="D912" s="2">
        <f t="shared" si="30"/>
        <v>-2.4565310293301434E-3</v>
      </c>
    </row>
    <row r="913" spans="1:4" x14ac:dyDescent="0.3">
      <c r="A913" s="1">
        <v>45540</v>
      </c>
      <c r="B913">
        <v>82201.16</v>
      </c>
      <c r="C913">
        <f t="shared" si="29"/>
        <v>-1.8394067269731234E-3</v>
      </c>
      <c r="D913" s="2">
        <f t="shared" si="30"/>
        <v>-1.8394067269731234E-3</v>
      </c>
    </row>
    <row r="914" spans="1:4" x14ac:dyDescent="0.3">
      <c r="A914" s="1">
        <v>45541</v>
      </c>
      <c r="B914">
        <v>81183.929999999993</v>
      </c>
      <c r="C914">
        <f t="shared" si="29"/>
        <v>-1.2374886193820264E-2</v>
      </c>
      <c r="D914" s="2">
        <f t="shared" si="30"/>
        <v>-1.2374886193820264E-2</v>
      </c>
    </row>
    <row r="915" spans="1:4" x14ac:dyDescent="0.3">
      <c r="A915" s="1">
        <v>45544</v>
      </c>
      <c r="B915">
        <v>81559.539999999994</v>
      </c>
      <c r="C915">
        <f t="shared" si="29"/>
        <v>4.6266545608225742E-3</v>
      </c>
      <c r="D915" s="2">
        <f t="shared" si="30"/>
        <v>4.6266545608225742E-3</v>
      </c>
    </row>
    <row r="916" spans="1:4" x14ac:dyDescent="0.3">
      <c r="A916" s="1">
        <v>45545</v>
      </c>
      <c r="B916">
        <v>81921.289999999994</v>
      </c>
      <c r="C916">
        <f t="shared" si="29"/>
        <v>4.435410008442912E-3</v>
      </c>
      <c r="D916" s="2">
        <f t="shared" si="30"/>
        <v>4.435410008442912E-3</v>
      </c>
    </row>
    <row r="917" spans="1:4" x14ac:dyDescent="0.3">
      <c r="A917" s="1">
        <v>45546</v>
      </c>
      <c r="B917">
        <v>81523.16</v>
      </c>
      <c r="C917">
        <f t="shared" si="29"/>
        <v>-4.8599088222364435E-3</v>
      </c>
      <c r="D917" s="2">
        <f t="shared" si="30"/>
        <v>-4.8599088222364435E-3</v>
      </c>
    </row>
    <row r="918" spans="1:4" x14ac:dyDescent="0.3">
      <c r="A918" s="1">
        <v>45547</v>
      </c>
      <c r="B918">
        <v>82962.710000000006</v>
      </c>
      <c r="C918">
        <f t="shared" si="29"/>
        <v>1.7658172229830182E-2</v>
      </c>
      <c r="D918" s="2">
        <f t="shared" si="30"/>
        <v>1.7658172229830182E-2</v>
      </c>
    </row>
    <row r="919" spans="1:4" x14ac:dyDescent="0.3">
      <c r="A919" s="1">
        <v>45548</v>
      </c>
      <c r="B919">
        <v>82890.94</v>
      </c>
      <c r="C919">
        <f t="shared" si="29"/>
        <v>-8.6508745917297141E-4</v>
      </c>
      <c r="D919" s="2">
        <f t="shared" si="30"/>
        <v>-8.6508745917297141E-4</v>
      </c>
    </row>
    <row r="920" spans="1:4" x14ac:dyDescent="0.3">
      <c r="A920" s="1">
        <v>45551</v>
      </c>
      <c r="B920">
        <v>82988.78</v>
      </c>
      <c r="C920">
        <f t="shared" si="29"/>
        <v>1.1803461270917727E-3</v>
      </c>
      <c r="D920" s="2">
        <f t="shared" si="30"/>
        <v>1.1803461270917727E-3</v>
      </c>
    </row>
    <row r="921" spans="1:4" x14ac:dyDescent="0.3">
      <c r="A921" s="1">
        <v>45552</v>
      </c>
      <c r="B921">
        <v>83079.66</v>
      </c>
      <c r="C921">
        <f t="shared" si="29"/>
        <v>1.0950877937957958E-3</v>
      </c>
      <c r="D921" s="2">
        <f t="shared" si="30"/>
        <v>1.0950877937957958E-3</v>
      </c>
    </row>
    <row r="922" spans="1:4" x14ac:dyDescent="0.3">
      <c r="A922" s="1">
        <v>45553</v>
      </c>
      <c r="B922">
        <v>82948.23</v>
      </c>
      <c r="C922">
        <f t="shared" si="29"/>
        <v>-1.5819756604686099E-3</v>
      </c>
      <c r="D922" s="2">
        <f t="shared" si="30"/>
        <v>-1.5819756604686099E-3</v>
      </c>
    </row>
    <row r="923" spans="1:4" x14ac:dyDescent="0.3">
      <c r="A923" s="1">
        <v>45554</v>
      </c>
      <c r="B923">
        <v>83184.800000000003</v>
      </c>
      <c r="C923">
        <f t="shared" si="29"/>
        <v>2.8520198682962495E-3</v>
      </c>
      <c r="D923" s="2">
        <f t="shared" si="30"/>
        <v>2.8520198682962495E-3</v>
      </c>
    </row>
    <row r="924" spans="1:4" x14ac:dyDescent="0.3">
      <c r="A924" s="1">
        <v>45555</v>
      </c>
      <c r="B924">
        <v>84544.31</v>
      </c>
      <c r="C924">
        <f t="shared" si="29"/>
        <v>1.6343250209172766E-2</v>
      </c>
      <c r="D924" s="2">
        <f t="shared" si="30"/>
        <v>1.6343250209172766E-2</v>
      </c>
    </row>
    <row r="925" spans="1:4" x14ac:dyDescent="0.3">
      <c r="A925" s="1">
        <v>45558</v>
      </c>
      <c r="B925">
        <v>84928.61</v>
      </c>
      <c r="C925">
        <f t="shared" si="29"/>
        <v>4.545545406899683E-3</v>
      </c>
      <c r="D925" s="2">
        <f t="shared" si="30"/>
        <v>4.545545406899683E-3</v>
      </c>
    </row>
    <row r="926" spans="1:4" x14ac:dyDescent="0.3">
      <c r="A926" s="1">
        <v>45559</v>
      </c>
      <c r="B926">
        <v>84914.04</v>
      </c>
      <c r="C926">
        <f t="shared" si="29"/>
        <v>-1.715558514381312E-4</v>
      </c>
      <c r="D926" s="2">
        <f t="shared" si="30"/>
        <v>-1.715558514381312E-4</v>
      </c>
    </row>
    <row r="927" spans="1:4" x14ac:dyDescent="0.3">
      <c r="A927" s="1">
        <v>45560</v>
      </c>
      <c r="B927">
        <v>85169.87</v>
      </c>
      <c r="C927">
        <f t="shared" si="29"/>
        <v>3.0128115444748803E-3</v>
      </c>
      <c r="D927" s="2">
        <f t="shared" si="30"/>
        <v>3.0128115444748803E-3</v>
      </c>
    </row>
    <row r="928" spans="1:4" x14ac:dyDescent="0.3">
      <c r="A928" s="1">
        <v>45561</v>
      </c>
      <c r="B928">
        <v>85836.12</v>
      </c>
      <c r="C928">
        <f t="shared" si="29"/>
        <v>7.8226020539892815E-3</v>
      </c>
      <c r="D928" s="2">
        <f t="shared" si="30"/>
        <v>7.8226020539892815E-3</v>
      </c>
    </row>
    <row r="929" spans="1:4" x14ac:dyDescent="0.3">
      <c r="A929" s="1">
        <v>45562</v>
      </c>
      <c r="B929">
        <v>85571.85</v>
      </c>
      <c r="C929">
        <f t="shared" si="29"/>
        <v>-3.0787738308766699E-3</v>
      </c>
      <c r="D929" s="2">
        <f t="shared" si="30"/>
        <v>-3.0787738308766699E-3</v>
      </c>
    </row>
    <row r="930" spans="1:4" x14ac:dyDescent="0.3">
      <c r="A930" s="1">
        <v>45565</v>
      </c>
      <c r="B930">
        <v>84299.78</v>
      </c>
      <c r="C930">
        <f t="shared" si="29"/>
        <v>-1.4865519443602152E-2</v>
      </c>
      <c r="D930" s="2">
        <f t="shared" si="30"/>
        <v>-1.4865519443602152E-2</v>
      </c>
    </row>
    <row r="931" spans="1:4" x14ac:dyDescent="0.3">
      <c r="A931" s="1">
        <v>45566</v>
      </c>
      <c r="B931">
        <v>84266.29</v>
      </c>
      <c r="C931">
        <f t="shared" si="29"/>
        <v>-3.9727268564645411E-4</v>
      </c>
      <c r="D931" s="2">
        <f t="shared" si="30"/>
        <v>-3.9727268564645411E-4</v>
      </c>
    </row>
    <row r="932" spans="1:4" x14ac:dyDescent="0.3">
      <c r="A932" s="1">
        <v>45568</v>
      </c>
      <c r="B932">
        <v>82497.100000000006</v>
      </c>
      <c r="C932">
        <f t="shared" si="29"/>
        <v>-2.0995228341012615E-2</v>
      </c>
      <c r="D932" s="2">
        <f t="shared" si="30"/>
        <v>-2.0995228341012615E-2</v>
      </c>
    </row>
    <row r="933" spans="1:4" x14ac:dyDescent="0.3">
      <c r="A933" s="1">
        <v>45569</v>
      </c>
      <c r="B933">
        <v>81688.45</v>
      </c>
      <c r="C933">
        <f t="shared" si="29"/>
        <v>-9.802162742690454E-3</v>
      </c>
      <c r="D933" s="2">
        <f t="shared" si="30"/>
        <v>-9.802162742690454E-3</v>
      </c>
    </row>
    <row r="934" spans="1:4" x14ac:dyDescent="0.3">
      <c r="A934" s="1">
        <v>45572</v>
      </c>
      <c r="B934">
        <v>81050</v>
      </c>
      <c r="C934">
        <f t="shared" si="29"/>
        <v>-7.8156703915914314E-3</v>
      </c>
      <c r="D934" s="2">
        <f t="shared" si="30"/>
        <v>-7.8156703915914314E-3</v>
      </c>
    </row>
    <row r="935" spans="1:4" x14ac:dyDescent="0.3">
      <c r="A935" s="1">
        <v>45573</v>
      </c>
      <c r="B935">
        <v>81634.81</v>
      </c>
      <c r="C935">
        <f t="shared" si="29"/>
        <v>7.2154225786551221E-3</v>
      </c>
      <c r="D935" s="2">
        <f t="shared" si="30"/>
        <v>7.2154225786551221E-3</v>
      </c>
    </row>
    <row r="936" spans="1:4" x14ac:dyDescent="0.3">
      <c r="A936" s="1">
        <v>45574</v>
      </c>
      <c r="B936">
        <v>81467.100000000006</v>
      </c>
      <c r="C936">
        <f t="shared" si="29"/>
        <v>-2.054393217795103E-3</v>
      </c>
      <c r="D936" s="2">
        <f t="shared" si="30"/>
        <v>-2.054393217795103E-3</v>
      </c>
    </row>
    <row r="937" spans="1:4" x14ac:dyDescent="0.3">
      <c r="A937" s="1">
        <v>45575</v>
      </c>
      <c r="B937">
        <v>81611.41</v>
      </c>
      <c r="C937">
        <f t="shared" si="29"/>
        <v>1.7713899230486622E-3</v>
      </c>
      <c r="D937" s="2">
        <f t="shared" si="30"/>
        <v>1.7713899230486622E-3</v>
      </c>
    </row>
    <row r="938" spans="1:4" x14ac:dyDescent="0.3">
      <c r="A938" s="1">
        <v>45576</v>
      </c>
      <c r="B938">
        <v>81381.36</v>
      </c>
      <c r="C938">
        <f t="shared" si="29"/>
        <v>-2.8188460412582371E-3</v>
      </c>
      <c r="D938" s="2">
        <f t="shared" si="30"/>
        <v>-2.8188460412582371E-3</v>
      </c>
    </row>
    <row r="939" spans="1:4" x14ac:dyDescent="0.3">
      <c r="A939" s="1">
        <v>45579</v>
      </c>
      <c r="B939">
        <v>81973.05</v>
      </c>
      <c r="C939">
        <f t="shared" si="29"/>
        <v>7.2705838290242674E-3</v>
      </c>
      <c r="D939" s="2">
        <f t="shared" si="30"/>
        <v>7.2705838290242674E-3</v>
      </c>
    </row>
    <row r="940" spans="1:4" x14ac:dyDescent="0.3">
      <c r="A940" s="1">
        <v>45580</v>
      </c>
      <c r="B940">
        <v>81820.12</v>
      </c>
      <c r="C940">
        <f t="shared" si="29"/>
        <v>-1.8656131496877029E-3</v>
      </c>
      <c r="D940" s="2">
        <f t="shared" si="30"/>
        <v>-1.8656131496877029E-3</v>
      </c>
    </row>
    <row r="941" spans="1:4" x14ac:dyDescent="0.3">
      <c r="A941" s="1">
        <v>45581</v>
      </c>
      <c r="B941">
        <v>81501.36</v>
      </c>
      <c r="C941">
        <f t="shared" si="29"/>
        <v>-3.8958632668834362E-3</v>
      </c>
      <c r="D941" s="2">
        <f t="shared" si="30"/>
        <v>-3.8958632668834362E-3</v>
      </c>
    </row>
    <row r="942" spans="1:4" x14ac:dyDescent="0.3">
      <c r="A942" s="1">
        <v>45582</v>
      </c>
      <c r="B942">
        <v>81006.61</v>
      </c>
      <c r="C942">
        <f t="shared" si="29"/>
        <v>-6.0704508489183495E-3</v>
      </c>
      <c r="D942" s="2">
        <f t="shared" si="30"/>
        <v>-6.0704508489183495E-3</v>
      </c>
    </row>
    <row r="943" spans="1:4" x14ac:dyDescent="0.3">
      <c r="A943" s="1">
        <v>45583</v>
      </c>
      <c r="B943">
        <v>81224.75</v>
      </c>
      <c r="C943">
        <f t="shared" si="29"/>
        <v>2.6928666685348199E-3</v>
      </c>
      <c r="D943" s="2">
        <f t="shared" si="30"/>
        <v>2.6928666685348199E-3</v>
      </c>
    </row>
    <row r="944" spans="1:4" x14ac:dyDescent="0.3">
      <c r="A944" s="1">
        <v>45586</v>
      </c>
      <c r="B944">
        <v>81151.27</v>
      </c>
      <c r="C944">
        <f t="shared" si="29"/>
        <v>-9.0465036826824241E-4</v>
      </c>
      <c r="D944" s="2">
        <f t="shared" si="30"/>
        <v>-9.0465036826824241E-4</v>
      </c>
    </row>
    <row r="945" spans="1:4" x14ac:dyDescent="0.3">
      <c r="A945" s="1">
        <v>45587</v>
      </c>
      <c r="B945">
        <v>80220.72</v>
      </c>
      <c r="C945">
        <f t="shared" si="29"/>
        <v>-1.1466856895770121E-2</v>
      </c>
      <c r="D945" s="2">
        <f t="shared" si="30"/>
        <v>-1.1466856895770121E-2</v>
      </c>
    </row>
    <row r="946" spans="1:4" x14ac:dyDescent="0.3">
      <c r="A946" s="1">
        <v>45588</v>
      </c>
      <c r="B946">
        <v>80081.98</v>
      </c>
      <c r="C946">
        <f t="shared" si="29"/>
        <v>-1.7294783691794993E-3</v>
      </c>
      <c r="D946" s="2">
        <f t="shared" si="30"/>
        <v>-1.7294783691794993E-3</v>
      </c>
    </row>
    <row r="947" spans="1:4" x14ac:dyDescent="0.3">
      <c r="A947" s="1">
        <v>45589</v>
      </c>
      <c r="B947">
        <v>80065.16</v>
      </c>
      <c r="C947">
        <f t="shared" si="29"/>
        <v>-2.1003476687255277E-4</v>
      </c>
      <c r="D947" s="2">
        <f t="shared" si="30"/>
        <v>-2.1003476687255277E-4</v>
      </c>
    </row>
    <row r="948" spans="1:4" x14ac:dyDescent="0.3">
      <c r="A948" s="1">
        <v>45590</v>
      </c>
      <c r="B948">
        <v>79402.289999999994</v>
      </c>
      <c r="C948">
        <f t="shared" si="29"/>
        <v>-8.2791316472734192E-3</v>
      </c>
      <c r="D948" s="2">
        <f t="shared" si="30"/>
        <v>-8.2791316472734192E-3</v>
      </c>
    </row>
    <row r="949" spans="1:4" x14ac:dyDescent="0.3">
      <c r="A949" s="1">
        <v>45593</v>
      </c>
      <c r="B949">
        <v>80005.039999999994</v>
      </c>
      <c r="C949">
        <f t="shared" si="29"/>
        <v>7.5910908866734204E-3</v>
      </c>
      <c r="D949" s="2">
        <f t="shared" si="30"/>
        <v>7.5910908866734204E-3</v>
      </c>
    </row>
    <row r="950" spans="1:4" x14ac:dyDescent="0.3">
      <c r="A950" s="1">
        <v>45594</v>
      </c>
      <c r="B950">
        <v>80369.03</v>
      </c>
      <c r="C950">
        <f t="shared" si="29"/>
        <v>4.5495883759323818E-3</v>
      </c>
      <c r="D950" s="2">
        <f t="shared" si="30"/>
        <v>4.5495883759323818E-3</v>
      </c>
    </row>
    <row r="951" spans="1:4" x14ac:dyDescent="0.3">
      <c r="A951" s="1">
        <v>45595</v>
      </c>
      <c r="B951">
        <v>79942.179999999993</v>
      </c>
      <c r="C951">
        <f t="shared" si="29"/>
        <v>-5.3111254422257654E-3</v>
      </c>
      <c r="D951" s="2">
        <f t="shared" si="30"/>
        <v>-5.3111254422257654E-3</v>
      </c>
    </row>
    <row r="952" spans="1:4" x14ac:dyDescent="0.3">
      <c r="A952" s="1">
        <v>45596</v>
      </c>
      <c r="B952">
        <v>79389.06</v>
      </c>
      <c r="C952">
        <f t="shared" si="29"/>
        <v>-6.9190007077614768E-3</v>
      </c>
      <c r="D952" s="2">
        <f t="shared" si="30"/>
        <v>-6.9190007077614768E-3</v>
      </c>
    </row>
    <row r="953" spans="1:4" x14ac:dyDescent="0.3">
      <c r="A953" s="1">
        <v>45597</v>
      </c>
      <c r="B953">
        <v>79724.12</v>
      </c>
      <c r="C953">
        <f t="shared" si="29"/>
        <v>4.2204807564165349E-3</v>
      </c>
      <c r="D953" s="2">
        <f t="shared" si="30"/>
        <v>4.2204807564165349E-3</v>
      </c>
    </row>
    <row r="954" spans="1:4" x14ac:dyDescent="0.3">
      <c r="A954" s="1">
        <v>45600</v>
      </c>
      <c r="B954">
        <v>78782.240000000005</v>
      </c>
      <c r="C954">
        <f t="shared" si="29"/>
        <v>-1.181424141150746E-2</v>
      </c>
      <c r="D954" s="2">
        <f t="shared" si="30"/>
        <v>-1.181424141150746E-2</v>
      </c>
    </row>
    <row r="955" spans="1:4" x14ac:dyDescent="0.3">
      <c r="A955" s="1">
        <v>45601</v>
      </c>
      <c r="B955">
        <v>79476.63</v>
      </c>
      <c r="C955">
        <f t="shared" si="29"/>
        <v>8.81404235269268E-3</v>
      </c>
      <c r="D955" s="2">
        <f t="shared" si="30"/>
        <v>8.81404235269268E-3</v>
      </c>
    </row>
    <row r="956" spans="1:4" x14ac:dyDescent="0.3">
      <c r="A956" s="1">
        <v>45602</v>
      </c>
      <c r="B956">
        <v>80378.13</v>
      </c>
      <c r="C956">
        <f t="shared" si="29"/>
        <v>1.1342957042843915E-2</v>
      </c>
      <c r="D956" s="2">
        <f t="shared" si="30"/>
        <v>1.1342957042843915E-2</v>
      </c>
    </row>
    <row r="957" spans="1:4" x14ac:dyDescent="0.3">
      <c r="A957" s="1">
        <v>45603</v>
      </c>
      <c r="B957">
        <v>79541.789999999994</v>
      </c>
      <c r="C957">
        <f t="shared" si="29"/>
        <v>-1.0405069140075926E-2</v>
      </c>
      <c r="D957" s="2">
        <f t="shared" si="30"/>
        <v>-1.0405069140075926E-2</v>
      </c>
    </row>
    <row r="958" spans="1:4" x14ac:dyDescent="0.3">
      <c r="A958" s="1">
        <v>45604</v>
      </c>
      <c r="B958">
        <v>79486.320000000007</v>
      </c>
      <c r="C958">
        <f t="shared" si="29"/>
        <v>-6.9736926966298615E-4</v>
      </c>
      <c r="D958" s="2">
        <f t="shared" si="30"/>
        <v>-6.9736926966298615E-4</v>
      </c>
    </row>
    <row r="959" spans="1:4" x14ac:dyDescent="0.3">
      <c r="A959" s="1">
        <v>45607</v>
      </c>
      <c r="B959">
        <v>79496.149999999994</v>
      </c>
      <c r="C959">
        <f t="shared" si="29"/>
        <v>1.2366907915710771E-4</v>
      </c>
      <c r="D959" s="2">
        <f t="shared" si="30"/>
        <v>1.2366907915710771E-4</v>
      </c>
    </row>
    <row r="960" spans="1:4" x14ac:dyDescent="0.3">
      <c r="A960" s="1">
        <v>45608</v>
      </c>
      <c r="B960">
        <v>78675.179999999993</v>
      </c>
      <c r="C960">
        <f t="shared" si="29"/>
        <v>-1.032716678732242E-2</v>
      </c>
      <c r="D960" s="2">
        <f t="shared" si="30"/>
        <v>-1.032716678732242E-2</v>
      </c>
    </row>
    <row r="961" spans="1:4" x14ac:dyDescent="0.3">
      <c r="A961" s="1">
        <v>45609</v>
      </c>
      <c r="B961">
        <v>77690.95</v>
      </c>
      <c r="C961">
        <f t="shared" si="29"/>
        <v>-1.2510044463832127E-2</v>
      </c>
      <c r="D961" s="2">
        <f t="shared" si="30"/>
        <v>-1.2510044463832127E-2</v>
      </c>
    </row>
    <row r="962" spans="1:4" x14ac:dyDescent="0.3">
      <c r="A962" s="1">
        <v>45610</v>
      </c>
      <c r="B962">
        <v>77580.31</v>
      </c>
      <c r="C962">
        <f t="shared" si="29"/>
        <v>-1.424104094492337E-3</v>
      </c>
      <c r="D962" s="2">
        <f t="shared" si="30"/>
        <v>-1.424104094492337E-3</v>
      </c>
    </row>
    <row r="963" spans="1:4" x14ac:dyDescent="0.3">
      <c r="A963" s="1">
        <v>45614</v>
      </c>
      <c r="B963">
        <v>77339.009999999995</v>
      </c>
      <c r="C963">
        <f t="shared" si="29"/>
        <v>-3.1103252874344393E-3</v>
      </c>
      <c r="D963" s="2">
        <f t="shared" si="30"/>
        <v>-3.1103252874344393E-3</v>
      </c>
    </row>
    <row r="964" spans="1:4" x14ac:dyDescent="0.3">
      <c r="A964" s="1">
        <v>45615</v>
      </c>
      <c r="B964">
        <v>77578.38</v>
      </c>
      <c r="C964">
        <f t="shared" ref="C964:C1027" si="31">(B964-B963)/B963</f>
        <v>3.0950745296585763E-3</v>
      </c>
      <c r="D964" s="2">
        <f t="shared" ref="D964:D1027" si="32">(B964-B963)/B963</f>
        <v>3.0950745296585763E-3</v>
      </c>
    </row>
    <row r="965" spans="1:4" x14ac:dyDescent="0.3">
      <c r="A965" s="1">
        <v>45617</v>
      </c>
      <c r="B965">
        <v>77155.789999999994</v>
      </c>
      <c r="C965">
        <f t="shared" si="31"/>
        <v>-5.4472650756565303E-3</v>
      </c>
      <c r="D965" s="2">
        <f t="shared" si="32"/>
        <v>-5.4472650756565303E-3</v>
      </c>
    </row>
    <row r="966" spans="1:4" x14ac:dyDescent="0.3">
      <c r="A966" s="1">
        <v>45618</v>
      </c>
      <c r="B966">
        <v>79117.11</v>
      </c>
      <c r="C966">
        <f t="shared" si="31"/>
        <v>2.5420256859530661E-2</v>
      </c>
      <c r="D966" s="2">
        <f t="shared" si="32"/>
        <v>2.5420256859530661E-2</v>
      </c>
    </row>
    <row r="967" spans="1:4" x14ac:dyDescent="0.3">
      <c r="A967" s="1">
        <v>45621</v>
      </c>
      <c r="B967">
        <v>80109.850000000006</v>
      </c>
      <c r="C967">
        <f t="shared" si="31"/>
        <v>1.2547728297962416E-2</v>
      </c>
      <c r="D967" s="2">
        <f t="shared" si="32"/>
        <v>1.2547728297962416E-2</v>
      </c>
    </row>
    <row r="968" spans="1:4" x14ac:dyDescent="0.3">
      <c r="A968" s="1">
        <v>45622</v>
      </c>
      <c r="B968">
        <v>80004.06</v>
      </c>
      <c r="C968">
        <f t="shared" si="31"/>
        <v>-1.3205617037106939E-3</v>
      </c>
      <c r="D968" s="2">
        <f t="shared" si="32"/>
        <v>-1.3205617037106939E-3</v>
      </c>
    </row>
    <row r="969" spans="1:4" x14ac:dyDescent="0.3">
      <c r="A969" s="1">
        <v>45623</v>
      </c>
      <c r="B969">
        <v>80234.080000000002</v>
      </c>
      <c r="C969">
        <f t="shared" si="31"/>
        <v>2.8751040884675613E-3</v>
      </c>
      <c r="D969" s="2">
        <f t="shared" si="32"/>
        <v>2.8751040884675613E-3</v>
      </c>
    </row>
    <row r="970" spans="1:4" x14ac:dyDescent="0.3">
      <c r="A970" s="1">
        <v>45624</v>
      </c>
      <c r="B970">
        <v>79043.740000000005</v>
      </c>
      <c r="C970">
        <f t="shared" si="31"/>
        <v>-1.4835840331190892E-2</v>
      </c>
      <c r="D970" s="2">
        <f t="shared" si="32"/>
        <v>-1.4835840331190892E-2</v>
      </c>
    </row>
    <row r="971" spans="1:4" x14ac:dyDescent="0.3">
      <c r="A971" s="1">
        <v>45625</v>
      </c>
      <c r="B971">
        <v>79802.789999999994</v>
      </c>
      <c r="C971">
        <f t="shared" si="31"/>
        <v>9.6029109958611306E-3</v>
      </c>
      <c r="D971" s="2">
        <f t="shared" si="32"/>
        <v>9.6029109958611306E-3</v>
      </c>
    </row>
    <row r="972" spans="1:4" x14ac:dyDescent="0.3">
      <c r="A972" s="1">
        <v>45628</v>
      </c>
      <c r="B972">
        <v>80248.08</v>
      </c>
      <c r="C972">
        <f t="shared" si="31"/>
        <v>5.5798801019363879E-3</v>
      </c>
      <c r="D972" s="2">
        <f t="shared" si="32"/>
        <v>5.5798801019363879E-3</v>
      </c>
    </row>
    <row r="973" spans="1:4" x14ac:dyDescent="0.3">
      <c r="A973" s="1">
        <v>45629</v>
      </c>
      <c r="B973">
        <v>80845.75</v>
      </c>
      <c r="C973">
        <f t="shared" si="31"/>
        <v>7.4477794359690376E-3</v>
      </c>
      <c r="D973" s="2">
        <f t="shared" si="32"/>
        <v>7.4477794359690376E-3</v>
      </c>
    </row>
    <row r="974" spans="1:4" x14ac:dyDescent="0.3">
      <c r="A974" s="1">
        <v>45630</v>
      </c>
      <c r="B974">
        <v>80956.33</v>
      </c>
      <c r="C974">
        <f t="shared" si="31"/>
        <v>1.3677898961912253E-3</v>
      </c>
      <c r="D974" s="2">
        <f t="shared" si="32"/>
        <v>1.3677898961912253E-3</v>
      </c>
    </row>
    <row r="975" spans="1:4" x14ac:dyDescent="0.3">
      <c r="A975" s="1">
        <v>45631</v>
      </c>
      <c r="B975">
        <v>81765.86</v>
      </c>
      <c r="C975">
        <f t="shared" si="31"/>
        <v>9.9995886671245936E-3</v>
      </c>
      <c r="D975" s="2">
        <f t="shared" si="32"/>
        <v>9.9995886671245936E-3</v>
      </c>
    </row>
    <row r="976" spans="1:4" x14ac:dyDescent="0.3">
      <c r="A976" s="1">
        <v>45632</v>
      </c>
      <c r="B976">
        <v>81709.119999999995</v>
      </c>
      <c r="C976">
        <f t="shared" si="31"/>
        <v>-6.9393265110897432E-4</v>
      </c>
      <c r="D976" s="2">
        <f t="shared" si="32"/>
        <v>-6.9393265110897432E-4</v>
      </c>
    </row>
    <row r="977" spans="1:4" x14ac:dyDescent="0.3">
      <c r="A977" s="1">
        <v>45635</v>
      </c>
      <c r="B977">
        <v>81508.460000000006</v>
      </c>
      <c r="C977">
        <f t="shared" si="31"/>
        <v>-2.4557846174330226E-3</v>
      </c>
      <c r="D977" s="2">
        <f t="shared" si="32"/>
        <v>-2.4557846174330226E-3</v>
      </c>
    </row>
    <row r="978" spans="1:4" x14ac:dyDescent="0.3">
      <c r="A978" s="1">
        <v>45636</v>
      </c>
      <c r="B978">
        <v>81510.05</v>
      </c>
      <c r="C978">
        <f t="shared" si="31"/>
        <v>1.9507177537110963E-5</v>
      </c>
      <c r="D978" s="2">
        <f t="shared" si="32"/>
        <v>1.9507177537110963E-5</v>
      </c>
    </row>
    <row r="979" spans="1:4" x14ac:dyDescent="0.3">
      <c r="A979" s="1">
        <v>45637</v>
      </c>
      <c r="B979">
        <v>81526.14</v>
      </c>
      <c r="C979">
        <f t="shared" si="31"/>
        <v>1.973989710470857E-4</v>
      </c>
      <c r="D979" s="2">
        <f t="shared" si="32"/>
        <v>1.973989710470857E-4</v>
      </c>
    </row>
    <row r="980" spans="1:4" x14ac:dyDescent="0.3">
      <c r="A980" s="1">
        <v>45638</v>
      </c>
      <c r="B980">
        <v>81289.960000000006</v>
      </c>
      <c r="C980">
        <f t="shared" si="31"/>
        <v>-2.8969849424981117E-3</v>
      </c>
      <c r="D980" s="2">
        <f t="shared" si="32"/>
        <v>-2.8969849424981117E-3</v>
      </c>
    </row>
    <row r="981" spans="1:4" x14ac:dyDescent="0.3">
      <c r="A981" s="1">
        <v>45639</v>
      </c>
      <c r="B981">
        <v>82133.119999999995</v>
      </c>
      <c r="C981">
        <f t="shared" si="31"/>
        <v>1.0372252612745644E-2</v>
      </c>
      <c r="D981" s="2">
        <f t="shared" si="32"/>
        <v>1.0372252612745644E-2</v>
      </c>
    </row>
    <row r="982" spans="1:4" x14ac:dyDescent="0.3">
      <c r="A982" s="1">
        <v>45642</v>
      </c>
      <c r="B982">
        <v>81748.570000000007</v>
      </c>
      <c r="C982">
        <f t="shared" si="31"/>
        <v>-4.6820332650213264E-3</v>
      </c>
      <c r="D982" s="2">
        <f t="shared" si="32"/>
        <v>-4.6820332650213264E-3</v>
      </c>
    </row>
    <row r="983" spans="1:4" x14ac:dyDescent="0.3">
      <c r="A983" s="1">
        <v>45643</v>
      </c>
      <c r="B983">
        <v>80684.45</v>
      </c>
      <c r="C983">
        <f t="shared" si="31"/>
        <v>-1.3016986107524692E-2</v>
      </c>
      <c r="D983" s="2">
        <f t="shared" si="32"/>
        <v>-1.3016986107524692E-2</v>
      </c>
    </row>
    <row r="984" spans="1:4" x14ac:dyDescent="0.3">
      <c r="A984" s="1">
        <v>45644</v>
      </c>
      <c r="B984">
        <v>80182.2</v>
      </c>
      <c r="C984">
        <f t="shared" si="31"/>
        <v>-6.2248673691151146E-3</v>
      </c>
      <c r="D984" s="2">
        <f t="shared" si="32"/>
        <v>-6.2248673691151146E-3</v>
      </c>
    </row>
    <row r="985" spans="1:4" x14ac:dyDescent="0.3">
      <c r="A985" s="1">
        <v>45645</v>
      </c>
      <c r="B985">
        <v>79218.05</v>
      </c>
      <c r="C985">
        <f t="shared" si="31"/>
        <v>-1.2024489225788195E-2</v>
      </c>
      <c r="D985" s="2">
        <f t="shared" si="32"/>
        <v>-1.2024489225788195E-2</v>
      </c>
    </row>
    <row r="986" spans="1:4" x14ac:dyDescent="0.3">
      <c r="A986" s="1">
        <v>45646</v>
      </c>
      <c r="B986">
        <v>78041.59</v>
      </c>
      <c r="C986">
        <f t="shared" si="31"/>
        <v>-1.4850908347276995E-2</v>
      </c>
      <c r="D986" s="2">
        <f t="shared" si="32"/>
        <v>-1.4850908347276995E-2</v>
      </c>
    </row>
    <row r="987" spans="1:4" x14ac:dyDescent="0.3">
      <c r="A987" s="1">
        <v>45649</v>
      </c>
      <c r="B987">
        <v>78540.17</v>
      </c>
      <c r="C987">
        <f t="shared" si="31"/>
        <v>6.3886448238689364E-3</v>
      </c>
      <c r="D987" s="2">
        <f t="shared" si="32"/>
        <v>6.3886448238689364E-3</v>
      </c>
    </row>
    <row r="988" spans="1:4" x14ac:dyDescent="0.3">
      <c r="A988" s="1">
        <v>45650</v>
      </c>
      <c r="B988">
        <v>78472.87</v>
      </c>
      <c r="C988">
        <f t="shared" si="31"/>
        <v>-8.5688635509705306E-4</v>
      </c>
      <c r="D988" s="2">
        <f t="shared" si="32"/>
        <v>-8.5688635509705306E-4</v>
      </c>
    </row>
    <row r="989" spans="1:4" x14ac:dyDescent="0.3">
      <c r="A989" s="1">
        <v>45652</v>
      </c>
      <c r="B989">
        <v>78472.479999999996</v>
      </c>
      <c r="C989">
        <f t="shared" si="31"/>
        <v>-4.9698704787962765E-6</v>
      </c>
      <c r="D989" s="2">
        <f t="shared" si="32"/>
        <v>-4.9698704787962765E-6</v>
      </c>
    </row>
    <row r="990" spans="1:4" x14ac:dyDescent="0.3">
      <c r="A990" s="1">
        <v>45653</v>
      </c>
      <c r="B990">
        <v>78699.070000000007</v>
      </c>
      <c r="C990">
        <f t="shared" si="31"/>
        <v>2.8875090987313143E-3</v>
      </c>
      <c r="D990" s="2">
        <f t="shared" si="32"/>
        <v>2.8875090987313143E-3</v>
      </c>
    </row>
    <row r="991" spans="1:4" x14ac:dyDescent="0.3">
      <c r="A991" s="1">
        <v>45656</v>
      </c>
      <c r="B991">
        <v>78248.13</v>
      </c>
      <c r="C991">
        <f t="shared" si="31"/>
        <v>-5.7299279394280303E-3</v>
      </c>
      <c r="D991" s="2">
        <f t="shared" si="32"/>
        <v>-5.7299279394280303E-3</v>
      </c>
    </row>
    <row r="992" spans="1:4" x14ac:dyDescent="0.3">
      <c r="A992" s="1">
        <v>45657</v>
      </c>
      <c r="B992">
        <v>78139.009999999995</v>
      </c>
      <c r="C992">
        <f t="shared" si="31"/>
        <v>-1.3945381186746557E-3</v>
      </c>
      <c r="D992" s="2">
        <f t="shared" si="32"/>
        <v>-1.3945381186746557E-3</v>
      </c>
    </row>
    <row r="993" spans="1:4" x14ac:dyDescent="0.3">
      <c r="A993" s="1">
        <v>45658</v>
      </c>
      <c r="B993">
        <v>78507.41</v>
      </c>
      <c r="C993">
        <f t="shared" si="31"/>
        <v>4.7146745268465615E-3</v>
      </c>
      <c r="D993" s="2">
        <f t="shared" si="32"/>
        <v>4.7146745268465615E-3</v>
      </c>
    </row>
    <row r="994" spans="1:4" x14ac:dyDescent="0.3">
      <c r="A994" s="1">
        <v>45659</v>
      </c>
      <c r="B994">
        <v>79943.710000000006</v>
      </c>
      <c r="C994">
        <f t="shared" si="31"/>
        <v>1.829508832350988E-2</v>
      </c>
      <c r="D994" s="2">
        <f t="shared" si="32"/>
        <v>1.829508832350988E-2</v>
      </c>
    </row>
    <row r="995" spans="1:4" x14ac:dyDescent="0.3">
      <c r="A995" s="1">
        <v>45660</v>
      </c>
      <c r="B995">
        <v>79223.11</v>
      </c>
      <c r="C995">
        <f t="shared" si="31"/>
        <v>-9.0138423648340286E-3</v>
      </c>
      <c r="D995" s="2">
        <f t="shared" si="32"/>
        <v>-9.0138423648340286E-3</v>
      </c>
    </row>
    <row r="996" spans="1:4" x14ac:dyDescent="0.3">
      <c r="A996" s="1">
        <v>45663</v>
      </c>
      <c r="B996">
        <v>77964.990000000005</v>
      </c>
      <c r="C996">
        <f t="shared" si="31"/>
        <v>-1.5880719653646458E-2</v>
      </c>
      <c r="D996" s="2">
        <f t="shared" si="32"/>
        <v>-1.5880719653646458E-2</v>
      </c>
    </row>
    <row r="997" spans="1:4" x14ac:dyDescent="0.3">
      <c r="A997" s="1">
        <v>45664</v>
      </c>
      <c r="B997">
        <v>78199.11</v>
      </c>
      <c r="C997">
        <f t="shared" si="31"/>
        <v>3.0028862955025753E-3</v>
      </c>
      <c r="D997" s="2">
        <f t="shared" si="32"/>
        <v>3.0028862955025753E-3</v>
      </c>
    </row>
    <row r="998" spans="1:4" x14ac:dyDescent="0.3">
      <c r="A998" s="1">
        <v>45665</v>
      </c>
      <c r="B998">
        <v>78148.490000000005</v>
      </c>
      <c r="C998">
        <f t="shared" si="31"/>
        <v>-6.4732194522412517E-4</v>
      </c>
      <c r="D998" s="2">
        <f t="shared" si="32"/>
        <v>-6.4732194522412517E-4</v>
      </c>
    </row>
    <row r="999" spans="1:4" x14ac:dyDescent="0.3">
      <c r="A999" s="1">
        <v>45666</v>
      </c>
      <c r="B999">
        <v>77620.210000000006</v>
      </c>
      <c r="C999">
        <f t="shared" si="31"/>
        <v>-6.7599514718710346E-3</v>
      </c>
      <c r="D999" s="2">
        <f t="shared" si="32"/>
        <v>-6.7599514718710346E-3</v>
      </c>
    </row>
    <row r="1000" spans="1:4" x14ac:dyDescent="0.3">
      <c r="A1000" s="1">
        <v>45667</v>
      </c>
      <c r="B1000">
        <v>77378.91</v>
      </c>
      <c r="C1000">
        <f t="shared" si="31"/>
        <v>-3.1087264515259993E-3</v>
      </c>
      <c r="D1000" s="2">
        <f t="shared" si="32"/>
        <v>-3.1087264515259993E-3</v>
      </c>
    </row>
    <row r="1001" spans="1:4" x14ac:dyDescent="0.3">
      <c r="A1001" s="1">
        <v>45670</v>
      </c>
      <c r="B1001">
        <v>76330.009999999995</v>
      </c>
      <c r="C1001">
        <f t="shared" si="31"/>
        <v>-1.355537316304932E-2</v>
      </c>
      <c r="D1001" s="2">
        <f t="shared" si="32"/>
        <v>-1.355537316304932E-2</v>
      </c>
    </row>
    <row r="1002" spans="1:4" x14ac:dyDescent="0.3">
      <c r="A1002" s="1">
        <v>45671</v>
      </c>
      <c r="B1002">
        <v>76499.63</v>
      </c>
      <c r="C1002">
        <f t="shared" si="31"/>
        <v>2.2221928177398368E-3</v>
      </c>
      <c r="D1002" s="2">
        <f t="shared" si="32"/>
        <v>2.2221928177398368E-3</v>
      </c>
    </row>
    <row r="1003" spans="1:4" x14ac:dyDescent="0.3">
      <c r="A1003" s="1">
        <v>45672</v>
      </c>
      <c r="B1003">
        <v>76724.08</v>
      </c>
      <c r="C1003">
        <f t="shared" si="31"/>
        <v>2.9340011186981831E-3</v>
      </c>
      <c r="D1003" s="2">
        <f t="shared" si="32"/>
        <v>2.9340011186981831E-3</v>
      </c>
    </row>
    <row r="1004" spans="1:4" x14ac:dyDescent="0.3">
      <c r="A1004" s="1">
        <v>45673</v>
      </c>
      <c r="B1004">
        <v>77042.820000000007</v>
      </c>
      <c r="C1004">
        <f t="shared" si="31"/>
        <v>4.1543671817245017E-3</v>
      </c>
      <c r="D1004" s="2">
        <f t="shared" si="32"/>
        <v>4.1543671817245017E-3</v>
      </c>
    </row>
    <row r="1005" spans="1:4" x14ac:dyDescent="0.3">
      <c r="A1005" s="1">
        <v>45674</v>
      </c>
      <c r="B1005">
        <v>76619.33</v>
      </c>
      <c r="C1005">
        <f t="shared" si="31"/>
        <v>-5.4968133305609169E-3</v>
      </c>
      <c r="D1005" s="2">
        <f t="shared" si="32"/>
        <v>-5.4968133305609169E-3</v>
      </c>
    </row>
    <row r="1006" spans="1:4" x14ac:dyDescent="0.3">
      <c r="A1006" s="1">
        <v>45677</v>
      </c>
      <c r="B1006">
        <v>77073.440000000002</v>
      </c>
      <c r="C1006">
        <f t="shared" si="31"/>
        <v>5.9268333461020943E-3</v>
      </c>
      <c r="D1006" s="2">
        <f t="shared" si="32"/>
        <v>5.9268333461020943E-3</v>
      </c>
    </row>
    <row r="1007" spans="1:4" x14ac:dyDescent="0.3">
      <c r="A1007" s="1">
        <v>45678</v>
      </c>
      <c r="B1007">
        <v>75838.36</v>
      </c>
      <c r="C1007">
        <f t="shared" si="31"/>
        <v>-1.6024716166814428E-2</v>
      </c>
      <c r="D1007" s="2">
        <f t="shared" si="32"/>
        <v>-1.6024716166814428E-2</v>
      </c>
    </row>
    <row r="1008" spans="1:4" x14ac:dyDescent="0.3">
      <c r="A1008" s="1">
        <v>45679</v>
      </c>
      <c r="B1008">
        <v>76404.990000000005</v>
      </c>
      <c r="C1008">
        <f t="shared" si="31"/>
        <v>7.4715486991016773E-3</v>
      </c>
      <c r="D1008" s="2">
        <f t="shared" si="32"/>
        <v>7.4715486991016773E-3</v>
      </c>
    </row>
    <row r="1009" spans="1:4" x14ac:dyDescent="0.3">
      <c r="A1009" s="1">
        <v>45680</v>
      </c>
      <c r="B1009">
        <v>76520.38</v>
      </c>
      <c r="C1009">
        <f t="shared" si="31"/>
        <v>1.5102416740058393E-3</v>
      </c>
      <c r="D1009" s="2">
        <f t="shared" si="32"/>
        <v>1.5102416740058393E-3</v>
      </c>
    </row>
    <row r="1010" spans="1:4" x14ac:dyDescent="0.3">
      <c r="A1010" s="1">
        <v>45681</v>
      </c>
      <c r="B1010">
        <v>76190.460000000006</v>
      </c>
      <c r="C1010">
        <f t="shared" si="31"/>
        <v>-4.3115311241266477E-3</v>
      </c>
      <c r="D1010" s="2">
        <f t="shared" si="32"/>
        <v>-4.3115311241266477E-3</v>
      </c>
    </row>
    <row r="1011" spans="1:4" x14ac:dyDescent="0.3">
      <c r="A1011" s="1">
        <v>45684</v>
      </c>
      <c r="B1011">
        <v>75366.17</v>
      </c>
      <c r="C1011">
        <f t="shared" si="31"/>
        <v>-1.0818808548996924E-2</v>
      </c>
      <c r="D1011" s="2">
        <f t="shared" si="32"/>
        <v>-1.0818808548996924E-2</v>
      </c>
    </row>
    <row r="1012" spans="1:4" x14ac:dyDescent="0.3">
      <c r="A1012" s="1">
        <v>45685</v>
      </c>
      <c r="B1012">
        <v>75901.41</v>
      </c>
      <c r="C1012">
        <f t="shared" si="31"/>
        <v>7.1018601582116389E-3</v>
      </c>
      <c r="D1012" s="2">
        <f t="shared" si="32"/>
        <v>7.1018601582116389E-3</v>
      </c>
    </row>
    <row r="1013" spans="1:4" x14ac:dyDescent="0.3">
      <c r="A1013" s="1">
        <v>45686</v>
      </c>
      <c r="B1013">
        <v>76532.960000000006</v>
      </c>
      <c r="C1013">
        <f t="shared" si="31"/>
        <v>8.320662290726916E-3</v>
      </c>
      <c r="D1013" s="2">
        <f t="shared" si="32"/>
        <v>8.320662290726916E-3</v>
      </c>
    </row>
    <row r="1014" spans="1:4" x14ac:dyDescent="0.3">
      <c r="A1014" s="1">
        <v>45687</v>
      </c>
      <c r="B1014">
        <v>76759.81</v>
      </c>
      <c r="C1014">
        <f t="shared" si="31"/>
        <v>2.964082403189309E-3</v>
      </c>
      <c r="D1014" s="2">
        <f t="shared" si="32"/>
        <v>2.964082403189309E-3</v>
      </c>
    </row>
    <row r="1015" spans="1:4" x14ac:dyDescent="0.3">
      <c r="A1015" s="1">
        <v>45688</v>
      </c>
      <c r="B1015">
        <v>77500.570000000007</v>
      </c>
      <c r="C1015">
        <f t="shared" si="31"/>
        <v>9.6503626051186071E-3</v>
      </c>
      <c r="D1015" s="2">
        <f t="shared" si="32"/>
        <v>9.6503626051186071E-3</v>
      </c>
    </row>
    <row r="1016" spans="1:4" x14ac:dyDescent="0.3">
      <c r="A1016" s="1">
        <v>45689</v>
      </c>
      <c r="B1016">
        <v>77505.960000000006</v>
      </c>
      <c r="C1016">
        <f t="shared" si="31"/>
        <v>6.9547875583359157E-5</v>
      </c>
      <c r="D1016" s="2">
        <f t="shared" si="32"/>
        <v>6.9547875583359157E-5</v>
      </c>
    </row>
    <row r="1017" spans="1:4" x14ac:dyDescent="0.3">
      <c r="A1017" s="1">
        <v>45691</v>
      </c>
      <c r="B1017">
        <v>77186.740000000005</v>
      </c>
      <c r="C1017">
        <f t="shared" si="31"/>
        <v>-4.1186510043872901E-3</v>
      </c>
      <c r="D1017" s="2">
        <f t="shared" si="32"/>
        <v>-4.1186510043872901E-3</v>
      </c>
    </row>
    <row r="1018" spans="1:4" x14ac:dyDescent="0.3">
      <c r="A1018" s="1">
        <v>45692</v>
      </c>
      <c r="B1018">
        <v>78583.81</v>
      </c>
      <c r="C1018">
        <f t="shared" si="31"/>
        <v>1.809987052180196E-2</v>
      </c>
      <c r="D1018" s="2">
        <f t="shared" si="32"/>
        <v>1.809987052180196E-2</v>
      </c>
    </row>
    <row r="1019" spans="1:4" x14ac:dyDescent="0.3">
      <c r="A1019" s="1">
        <v>45693</v>
      </c>
      <c r="B1019">
        <v>78271.28</v>
      </c>
      <c r="C1019">
        <f t="shared" si="31"/>
        <v>-3.9770278381768311E-3</v>
      </c>
      <c r="D1019" s="2">
        <f t="shared" si="32"/>
        <v>-3.9770278381768311E-3</v>
      </c>
    </row>
    <row r="1020" spans="1:4" x14ac:dyDescent="0.3">
      <c r="A1020" s="1">
        <v>45694</v>
      </c>
      <c r="B1020">
        <v>78058.16</v>
      </c>
      <c r="C1020">
        <f t="shared" si="31"/>
        <v>-2.7228378020647593E-3</v>
      </c>
      <c r="D1020" s="2">
        <f t="shared" si="32"/>
        <v>-2.7228378020647593E-3</v>
      </c>
    </row>
    <row r="1021" spans="1:4" x14ac:dyDescent="0.3">
      <c r="A1021" s="1">
        <v>45695</v>
      </c>
      <c r="B1021">
        <v>77860.19</v>
      </c>
      <c r="C1021">
        <f t="shared" si="31"/>
        <v>-2.5361858388668291E-3</v>
      </c>
      <c r="D1021" s="2">
        <f t="shared" si="32"/>
        <v>-2.5361858388668291E-3</v>
      </c>
    </row>
    <row r="1022" spans="1:4" x14ac:dyDescent="0.3">
      <c r="A1022" s="1">
        <v>45698</v>
      </c>
      <c r="B1022">
        <v>77311.8</v>
      </c>
      <c r="C1022">
        <f t="shared" si="31"/>
        <v>-7.0432656277874409E-3</v>
      </c>
      <c r="D1022" s="2">
        <f t="shared" si="32"/>
        <v>-7.0432656277874409E-3</v>
      </c>
    </row>
    <row r="1023" spans="1:4" x14ac:dyDescent="0.3">
      <c r="A1023" s="1">
        <v>45699</v>
      </c>
      <c r="B1023">
        <v>76293.600000000006</v>
      </c>
      <c r="C1023">
        <f t="shared" si="31"/>
        <v>-1.3170046487082141E-2</v>
      </c>
      <c r="D1023" s="2">
        <f t="shared" si="32"/>
        <v>-1.3170046487082141E-2</v>
      </c>
    </row>
    <row r="1024" spans="1:4" x14ac:dyDescent="0.3">
      <c r="A1024" s="1">
        <v>45700</v>
      </c>
      <c r="B1024">
        <v>76171.08</v>
      </c>
      <c r="C1024">
        <f t="shared" si="31"/>
        <v>-1.6059014124383182E-3</v>
      </c>
      <c r="D1024" s="2">
        <f t="shared" si="32"/>
        <v>-1.6059014124383182E-3</v>
      </c>
    </row>
    <row r="1025" spans="1:4" x14ac:dyDescent="0.3">
      <c r="A1025" s="1">
        <v>45701</v>
      </c>
      <c r="B1025">
        <v>76138.97</v>
      </c>
      <c r="C1025">
        <f t="shared" si="31"/>
        <v>-4.2155106636272694E-4</v>
      </c>
      <c r="D1025" s="2">
        <f t="shared" si="32"/>
        <v>-4.2155106636272694E-4</v>
      </c>
    </row>
    <row r="1026" spans="1:4" x14ac:dyDescent="0.3">
      <c r="A1026" s="1">
        <v>45702</v>
      </c>
      <c r="B1026">
        <v>75939.210000000006</v>
      </c>
      <c r="C1026">
        <f t="shared" si="31"/>
        <v>-2.6236236187591553E-3</v>
      </c>
      <c r="D1026" s="2">
        <f t="shared" si="32"/>
        <v>-2.6236236187591553E-3</v>
      </c>
    </row>
    <row r="1027" spans="1:4" x14ac:dyDescent="0.3">
      <c r="A1027" s="1">
        <v>45705</v>
      </c>
      <c r="B1027">
        <v>75996.86</v>
      </c>
      <c r="C1027">
        <f t="shared" si="31"/>
        <v>7.5915985957707719E-4</v>
      </c>
      <c r="D1027" s="2">
        <f t="shared" si="32"/>
        <v>7.5915985957707719E-4</v>
      </c>
    </row>
    <row r="1028" spans="1:4" x14ac:dyDescent="0.3">
      <c r="A1028" s="1">
        <v>45706</v>
      </c>
      <c r="B1028">
        <v>75967.39</v>
      </c>
      <c r="C1028">
        <f t="shared" ref="C1028:C1091" si="33">(B1028-B1027)/B1027</f>
        <v>-3.8777917929768628E-4</v>
      </c>
      <c r="D1028" s="2">
        <f t="shared" ref="D1028:D1091" si="34">(B1028-B1027)/B1027</f>
        <v>-3.8777917929768628E-4</v>
      </c>
    </row>
    <row r="1029" spans="1:4" x14ac:dyDescent="0.3">
      <c r="A1029" s="1">
        <v>45707</v>
      </c>
      <c r="B1029">
        <v>75939.179999999993</v>
      </c>
      <c r="C1029">
        <f t="shared" si="33"/>
        <v>-3.7134354622432602E-4</v>
      </c>
      <c r="D1029" s="2">
        <f t="shared" si="34"/>
        <v>-3.7134354622432602E-4</v>
      </c>
    </row>
    <row r="1030" spans="1:4" x14ac:dyDescent="0.3">
      <c r="A1030" s="1">
        <v>45708</v>
      </c>
      <c r="B1030">
        <v>75735.960000000006</v>
      </c>
      <c r="C1030">
        <f t="shared" si="33"/>
        <v>-2.6760889438098572E-3</v>
      </c>
      <c r="D1030" s="2">
        <f t="shared" si="34"/>
        <v>-2.6760889438098572E-3</v>
      </c>
    </row>
    <row r="1031" spans="1:4" x14ac:dyDescent="0.3">
      <c r="A1031" s="1">
        <v>45709</v>
      </c>
      <c r="B1031">
        <v>75311.06</v>
      </c>
      <c r="C1031">
        <f t="shared" si="33"/>
        <v>-5.6102807701917121E-3</v>
      </c>
      <c r="D1031" s="2">
        <f t="shared" si="34"/>
        <v>-5.6102807701917121E-3</v>
      </c>
    </row>
    <row r="1032" spans="1:4" x14ac:dyDescent="0.3">
      <c r="A1032" s="1">
        <v>45712</v>
      </c>
      <c r="B1032">
        <v>74454.41</v>
      </c>
      <c r="C1032">
        <f t="shared" si="33"/>
        <v>-1.1374823299525915E-2</v>
      </c>
      <c r="D1032" s="2">
        <f t="shared" si="34"/>
        <v>-1.1374823299525915E-2</v>
      </c>
    </row>
    <row r="1033" spans="1:4" x14ac:dyDescent="0.3">
      <c r="A1033" s="1">
        <v>45713</v>
      </c>
      <c r="B1033">
        <v>74602.12</v>
      </c>
      <c r="C1033">
        <f t="shared" si="33"/>
        <v>1.9838986031853836E-3</v>
      </c>
      <c r="D1033" s="2">
        <f t="shared" si="34"/>
        <v>1.9838986031853836E-3</v>
      </c>
    </row>
    <row r="1034" spans="1:4" x14ac:dyDescent="0.3">
      <c r="A1034" s="1">
        <v>45715</v>
      </c>
      <c r="B1034">
        <v>74612.429999999993</v>
      </c>
      <c r="C1034">
        <f t="shared" si="33"/>
        <v>1.3819982595665743E-4</v>
      </c>
      <c r="D1034" s="2">
        <f t="shared" si="34"/>
        <v>1.3819982595665743E-4</v>
      </c>
    </row>
    <row r="1035" spans="1:4" x14ac:dyDescent="0.3">
      <c r="A1035" s="1">
        <v>45716</v>
      </c>
      <c r="B1035">
        <v>73198.100000000006</v>
      </c>
      <c r="C1035">
        <f t="shared" si="33"/>
        <v>-1.8955688750520353E-2</v>
      </c>
      <c r="D1035" s="2">
        <f t="shared" si="34"/>
        <v>-1.8955688750520353E-2</v>
      </c>
    </row>
    <row r="1036" spans="1:4" x14ac:dyDescent="0.3">
      <c r="A1036" s="1">
        <v>45719</v>
      </c>
      <c r="B1036">
        <v>73085.94</v>
      </c>
      <c r="C1036">
        <f t="shared" si="33"/>
        <v>-1.5322802094590363E-3</v>
      </c>
      <c r="D1036" s="2">
        <f t="shared" si="34"/>
        <v>-1.5322802094590363E-3</v>
      </c>
    </row>
    <row r="1037" spans="1:4" x14ac:dyDescent="0.3">
      <c r="A1037" s="1">
        <v>45720</v>
      </c>
      <c r="B1037">
        <v>72989.929999999993</v>
      </c>
      <c r="C1037">
        <f t="shared" si="33"/>
        <v>-1.313658960943915E-3</v>
      </c>
      <c r="D1037" s="2">
        <f t="shared" si="34"/>
        <v>-1.313658960943915E-3</v>
      </c>
    </row>
    <row r="1038" spans="1:4" x14ac:dyDescent="0.3">
      <c r="A1038" s="1">
        <v>45721</v>
      </c>
      <c r="B1038">
        <v>73730.23</v>
      </c>
      <c r="C1038">
        <f t="shared" si="33"/>
        <v>1.0142494998967707E-2</v>
      </c>
      <c r="D1038" s="2">
        <f t="shared" si="34"/>
        <v>1.0142494998967707E-2</v>
      </c>
    </row>
    <row r="1039" spans="1:4" x14ac:dyDescent="0.3">
      <c r="A1039" s="1">
        <v>45722</v>
      </c>
      <c r="B1039">
        <v>74340.09</v>
      </c>
      <c r="C1039">
        <f t="shared" si="33"/>
        <v>8.2715054598364954E-3</v>
      </c>
      <c r="D1039" s="2">
        <f t="shared" si="34"/>
        <v>8.2715054598364954E-3</v>
      </c>
    </row>
    <row r="1040" spans="1:4" x14ac:dyDescent="0.3">
      <c r="A1040" s="1">
        <v>45723</v>
      </c>
      <c r="B1040">
        <v>74332.58</v>
      </c>
      <c r="C1040">
        <f t="shared" si="33"/>
        <v>-1.01022207532904E-4</v>
      </c>
      <c r="D1040" s="2">
        <f t="shared" si="34"/>
        <v>-1.01022207532904E-4</v>
      </c>
    </row>
    <row r="1041" spans="1:4" x14ac:dyDescent="0.3">
      <c r="A1041" s="1">
        <v>45726</v>
      </c>
      <c r="B1041">
        <v>74115.17</v>
      </c>
      <c r="C1041">
        <f t="shared" si="33"/>
        <v>-2.9248278480311523E-3</v>
      </c>
      <c r="D1041" s="2">
        <f t="shared" si="34"/>
        <v>-2.9248278480311523E-3</v>
      </c>
    </row>
    <row r="1042" spans="1:4" x14ac:dyDescent="0.3">
      <c r="A1042" s="1">
        <v>45727</v>
      </c>
      <c r="B1042">
        <v>74102.320000000007</v>
      </c>
      <c r="C1042">
        <f t="shared" si="33"/>
        <v>-1.7337881030282017E-4</v>
      </c>
      <c r="D1042" s="2">
        <f t="shared" si="34"/>
        <v>-1.7337881030282017E-4</v>
      </c>
    </row>
    <row r="1043" spans="1:4" x14ac:dyDescent="0.3">
      <c r="A1043" s="1">
        <v>45728</v>
      </c>
      <c r="B1043">
        <v>74029.759999999995</v>
      </c>
      <c r="C1043">
        <f t="shared" si="33"/>
        <v>-9.791866165595384E-4</v>
      </c>
      <c r="D1043" s="2">
        <f t="shared" si="34"/>
        <v>-9.791866165595384E-4</v>
      </c>
    </row>
    <row r="1044" spans="1:4" x14ac:dyDescent="0.3">
      <c r="A1044" s="1">
        <v>45729</v>
      </c>
      <c r="B1044">
        <v>73828.91</v>
      </c>
      <c r="C1044">
        <f t="shared" si="33"/>
        <v>-2.7130980837975333E-3</v>
      </c>
      <c r="D1044" s="2">
        <f t="shared" si="34"/>
        <v>-2.7130980837975333E-3</v>
      </c>
    </row>
    <row r="1045" spans="1:4" x14ac:dyDescent="0.3">
      <c r="A1045" s="1">
        <v>45733</v>
      </c>
      <c r="B1045">
        <v>74169.95</v>
      </c>
      <c r="C1045">
        <f t="shared" si="33"/>
        <v>4.6193286613603474E-3</v>
      </c>
      <c r="D1045" s="2">
        <f t="shared" si="34"/>
        <v>4.6193286613603474E-3</v>
      </c>
    </row>
    <row r="1046" spans="1:4" x14ac:dyDescent="0.3">
      <c r="A1046" s="1">
        <v>45734</v>
      </c>
      <c r="B1046">
        <v>75301.259999999995</v>
      </c>
      <c r="C1046">
        <f t="shared" si="33"/>
        <v>1.5252942734894626E-2</v>
      </c>
      <c r="D1046" s="2">
        <f t="shared" si="34"/>
        <v>1.5252942734894626E-2</v>
      </c>
    </row>
    <row r="1047" spans="1:4" x14ac:dyDescent="0.3">
      <c r="A1047" s="1">
        <v>45735</v>
      </c>
      <c r="B1047">
        <v>75449.05</v>
      </c>
      <c r="C1047">
        <f t="shared" si="33"/>
        <v>1.9626497617703628E-3</v>
      </c>
      <c r="D1047" s="2">
        <f t="shared" si="34"/>
        <v>1.9626497617703628E-3</v>
      </c>
    </row>
    <row r="1048" spans="1:4" x14ac:dyDescent="0.3">
      <c r="A1048" s="1">
        <v>45736</v>
      </c>
      <c r="B1048">
        <v>76348.06</v>
      </c>
      <c r="C1048">
        <f t="shared" si="33"/>
        <v>1.1915458180056538E-2</v>
      </c>
      <c r="D1048" s="2">
        <f t="shared" si="34"/>
        <v>1.1915458180056538E-2</v>
      </c>
    </row>
    <row r="1049" spans="1:4" x14ac:dyDescent="0.3">
      <c r="A1049" s="1">
        <v>45737</v>
      </c>
      <c r="B1049">
        <v>76905.509999999995</v>
      </c>
      <c r="C1049">
        <f t="shared" si="33"/>
        <v>7.3014297940248527E-3</v>
      </c>
      <c r="D1049" s="2">
        <f t="shared" si="34"/>
        <v>7.3014297940248527E-3</v>
      </c>
    </row>
    <row r="1050" spans="1:4" x14ac:dyDescent="0.3">
      <c r="A1050" s="1">
        <v>45740</v>
      </c>
      <c r="B1050">
        <v>77984.38</v>
      </c>
      <c r="C1050">
        <f t="shared" si="33"/>
        <v>1.4028513691671896E-2</v>
      </c>
      <c r="D1050" s="2">
        <f t="shared" si="34"/>
        <v>1.4028513691671896E-2</v>
      </c>
    </row>
    <row r="1051" spans="1:4" x14ac:dyDescent="0.3">
      <c r="A1051" s="1">
        <v>45741</v>
      </c>
      <c r="B1051">
        <v>78017.19</v>
      </c>
      <c r="C1051">
        <f t="shared" si="33"/>
        <v>4.2072527857498735E-4</v>
      </c>
      <c r="D1051" s="2">
        <f t="shared" si="34"/>
        <v>4.2072527857498735E-4</v>
      </c>
    </row>
    <row r="1052" spans="1:4" x14ac:dyDescent="0.3">
      <c r="A1052" s="1">
        <v>45742</v>
      </c>
      <c r="B1052">
        <v>77288.5</v>
      </c>
      <c r="C1052">
        <f t="shared" si="33"/>
        <v>-9.3401210681902571E-3</v>
      </c>
      <c r="D1052" s="2">
        <f t="shared" si="34"/>
        <v>-9.3401210681902571E-3</v>
      </c>
    </row>
    <row r="1053" spans="1:4" x14ac:dyDescent="0.3">
      <c r="A1053" s="1">
        <v>45743</v>
      </c>
      <c r="B1053">
        <v>77606.429999999993</v>
      </c>
      <c r="C1053">
        <f t="shared" si="33"/>
        <v>4.1135485874352982E-3</v>
      </c>
      <c r="D1053" s="2">
        <f t="shared" si="34"/>
        <v>4.1135485874352982E-3</v>
      </c>
    </row>
    <row r="1054" spans="1:4" x14ac:dyDescent="0.3">
      <c r="A1054" s="1">
        <v>45744</v>
      </c>
      <c r="B1054">
        <v>77414.92</v>
      </c>
      <c r="C1054">
        <f t="shared" si="33"/>
        <v>-2.4677078948225654E-3</v>
      </c>
      <c r="D1054" s="2">
        <f t="shared" si="34"/>
        <v>-2.4677078948225654E-3</v>
      </c>
    </row>
    <row r="1055" spans="1:4" x14ac:dyDescent="0.3">
      <c r="A1055" s="1">
        <v>45748</v>
      </c>
      <c r="B1055">
        <v>76024.509999999995</v>
      </c>
      <c r="C1055">
        <f t="shared" si="33"/>
        <v>-1.7960491336812122E-2</v>
      </c>
      <c r="D1055" s="2">
        <f t="shared" si="34"/>
        <v>-1.7960491336812122E-2</v>
      </c>
    </row>
    <row r="1056" spans="1:4" x14ac:dyDescent="0.3">
      <c r="A1056" s="1">
        <v>45749</v>
      </c>
      <c r="B1056">
        <v>76617.440000000002</v>
      </c>
      <c r="C1056">
        <f t="shared" si="33"/>
        <v>7.7991952858362072E-3</v>
      </c>
      <c r="D1056" s="2">
        <f t="shared" si="34"/>
        <v>7.7991952858362072E-3</v>
      </c>
    </row>
    <row r="1057" spans="1:4" x14ac:dyDescent="0.3">
      <c r="A1057" s="1">
        <v>45750</v>
      </c>
      <c r="B1057">
        <v>76295.360000000001</v>
      </c>
      <c r="C1057">
        <f t="shared" si="33"/>
        <v>-4.2037426465828375E-3</v>
      </c>
      <c r="D1057" s="2">
        <f t="shared" si="34"/>
        <v>-4.2037426465828375E-3</v>
      </c>
    </row>
    <row r="1058" spans="1:4" x14ac:dyDescent="0.3">
      <c r="A1058" s="1">
        <v>45751</v>
      </c>
      <c r="B1058">
        <v>75364.69</v>
      </c>
      <c r="C1058">
        <f t="shared" si="33"/>
        <v>-1.2198251636796763E-2</v>
      </c>
      <c r="D1058" s="2">
        <f t="shared" si="34"/>
        <v>-1.2198251636796763E-2</v>
      </c>
    </row>
    <row r="1059" spans="1:4" x14ac:dyDescent="0.3">
      <c r="A1059" s="1">
        <v>45754</v>
      </c>
      <c r="B1059">
        <v>73137.899999999994</v>
      </c>
      <c r="C1059">
        <f t="shared" si="33"/>
        <v>-2.9546860738099076E-2</v>
      </c>
      <c r="D1059" s="2">
        <f t="shared" si="34"/>
        <v>-2.9546860738099076E-2</v>
      </c>
    </row>
    <row r="1060" spans="1:4" x14ac:dyDescent="0.3">
      <c r="A1060" s="1">
        <v>45755</v>
      </c>
      <c r="B1060">
        <v>74227.08</v>
      </c>
      <c r="C1060">
        <f t="shared" si="33"/>
        <v>1.4892142104162242E-2</v>
      </c>
      <c r="D1060" s="2">
        <f t="shared" si="34"/>
        <v>1.4892142104162242E-2</v>
      </c>
    </row>
    <row r="1061" spans="1:4" x14ac:dyDescent="0.3">
      <c r="A1061" s="1">
        <v>45756</v>
      </c>
      <c r="B1061">
        <v>73847.149999999994</v>
      </c>
      <c r="C1061">
        <f t="shared" si="33"/>
        <v>-5.1184823651962003E-3</v>
      </c>
      <c r="D1061" s="2">
        <f t="shared" si="34"/>
        <v>-5.1184823651962003E-3</v>
      </c>
    </row>
    <row r="1062" spans="1:4" x14ac:dyDescent="0.3">
      <c r="A1062" s="1">
        <v>45758</v>
      </c>
      <c r="B1062">
        <v>75157.259999999995</v>
      </c>
      <c r="C1062">
        <f t="shared" si="33"/>
        <v>1.7740833600213422E-2</v>
      </c>
      <c r="D1062" s="2">
        <f t="shared" si="34"/>
        <v>1.7740833600213422E-2</v>
      </c>
    </row>
    <row r="1063" spans="1:4" x14ac:dyDescent="0.3">
      <c r="A1063" s="1">
        <v>45762</v>
      </c>
      <c r="B1063">
        <v>76734.89</v>
      </c>
      <c r="C1063">
        <f t="shared" si="33"/>
        <v>2.099105262751735E-2</v>
      </c>
      <c r="D1063" s="2">
        <f t="shared" si="34"/>
        <v>2.099105262751735E-2</v>
      </c>
    </row>
    <row r="1064" spans="1:4" x14ac:dyDescent="0.3">
      <c r="A1064" s="1">
        <v>45763</v>
      </c>
      <c r="B1064">
        <v>77044.289999999994</v>
      </c>
      <c r="C1064">
        <f t="shared" si="33"/>
        <v>4.0320641627295505E-3</v>
      </c>
      <c r="D1064" s="2">
        <f t="shared" si="34"/>
        <v>4.0320641627295505E-3</v>
      </c>
    </row>
    <row r="1065" spans="1:4" x14ac:dyDescent="0.3">
      <c r="A1065" s="1">
        <v>45764</v>
      </c>
      <c r="B1065">
        <v>78553.2</v>
      </c>
      <c r="C1065">
        <f t="shared" si="33"/>
        <v>1.9584968594038618E-2</v>
      </c>
      <c r="D1065" s="2">
        <f t="shared" si="34"/>
        <v>1.9584968594038618E-2</v>
      </c>
    </row>
    <row r="1066" spans="1:4" x14ac:dyDescent="0.3">
      <c r="A1066" s="1">
        <v>45768</v>
      </c>
      <c r="B1066">
        <v>79408.5</v>
      </c>
      <c r="C1066">
        <f t="shared" si="33"/>
        <v>1.0888162417317219E-2</v>
      </c>
      <c r="D1066" s="2">
        <f t="shared" si="34"/>
        <v>1.0888162417317219E-2</v>
      </c>
    </row>
    <row r="1067" spans="1:4" x14ac:dyDescent="0.3">
      <c r="A1067" s="1">
        <v>45769</v>
      </c>
      <c r="B1067">
        <v>79595.59</v>
      </c>
      <c r="C1067">
        <f t="shared" si="33"/>
        <v>2.3560450077762017E-3</v>
      </c>
      <c r="D1067" s="2">
        <f t="shared" si="34"/>
        <v>2.3560450077762017E-3</v>
      </c>
    </row>
    <row r="1068" spans="1:4" x14ac:dyDescent="0.3">
      <c r="A1068" s="1">
        <v>45770</v>
      </c>
      <c r="B1068">
        <v>80116.490000000005</v>
      </c>
      <c r="C1068">
        <f t="shared" si="33"/>
        <v>6.5443324184167586E-3</v>
      </c>
      <c r="D1068" s="2">
        <f t="shared" si="34"/>
        <v>6.5443324184167586E-3</v>
      </c>
    </row>
    <row r="1069" spans="1:4" x14ac:dyDescent="0.3">
      <c r="A1069" s="1">
        <v>45771</v>
      </c>
      <c r="B1069">
        <v>79801.429999999993</v>
      </c>
      <c r="C1069">
        <f t="shared" si="33"/>
        <v>-3.9325237538490789E-3</v>
      </c>
      <c r="D1069" s="2">
        <f t="shared" si="34"/>
        <v>-3.9325237538490789E-3</v>
      </c>
    </row>
    <row r="1070" spans="1:4" x14ac:dyDescent="0.3">
      <c r="A1070" s="1">
        <v>45772</v>
      </c>
      <c r="B1070">
        <v>79212.53</v>
      </c>
      <c r="C1070">
        <f t="shared" si="33"/>
        <v>-7.3795670077590617E-3</v>
      </c>
      <c r="D1070" s="2">
        <f t="shared" si="34"/>
        <v>-7.3795670077590617E-3</v>
      </c>
    </row>
    <row r="1071" spans="1:4" x14ac:dyDescent="0.3">
      <c r="A1071" s="1">
        <v>45775</v>
      </c>
      <c r="B1071">
        <v>80218.37</v>
      </c>
      <c r="C1071">
        <f t="shared" si="33"/>
        <v>1.2697991088026056E-2</v>
      </c>
      <c r="D1071" s="2">
        <f t="shared" si="34"/>
        <v>1.2697991088026056E-2</v>
      </c>
    </row>
    <row r="1072" spans="1:4" x14ac:dyDescent="0.3">
      <c r="A1072" s="1">
        <v>45776</v>
      </c>
      <c r="B1072">
        <v>80288.38</v>
      </c>
      <c r="C1072">
        <f t="shared" si="33"/>
        <v>8.7274273959953713E-4</v>
      </c>
      <c r="D1072" s="2">
        <f t="shared" si="34"/>
        <v>8.7274273959953713E-4</v>
      </c>
    </row>
    <row r="1073" spans="1:4" x14ac:dyDescent="0.3">
      <c r="A1073" s="1">
        <v>45777</v>
      </c>
      <c r="B1073">
        <v>80242.240000000005</v>
      </c>
      <c r="C1073">
        <f t="shared" si="33"/>
        <v>-5.7467842793688722E-4</v>
      </c>
      <c r="D1073" s="2">
        <f t="shared" si="34"/>
        <v>-5.7467842793688722E-4</v>
      </c>
    </row>
    <row r="1074" spans="1:4" x14ac:dyDescent="0.3">
      <c r="A1074" s="1">
        <v>45779</v>
      </c>
      <c r="B1074">
        <v>80501.990000000005</v>
      </c>
      <c r="C1074">
        <f t="shared" si="33"/>
        <v>3.2370731425244359E-3</v>
      </c>
      <c r="D1074" s="2">
        <f t="shared" si="34"/>
        <v>3.2370731425244359E-3</v>
      </c>
    </row>
    <row r="1075" spans="1:4" x14ac:dyDescent="0.3">
      <c r="A1075" s="1">
        <v>45782</v>
      </c>
      <c r="B1075">
        <v>80796.84</v>
      </c>
      <c r="C1075">
        <f t="shared" si="33"/>
        <v>3.6626423769150459E-3</v>
      </c>
      <c r="D1075" s="2">
        <f t="shared" si="34"/>
        <v>3.6626423769150459E-3</v>
      </c>
    </row>
    <row r="1076" spans="1:4" x14ac:dyDescent="0.3">
      <c r="A1076" s="1">
        <v>45783</v>
      </c>
      <c r="B1076">
        <v>80641.070000000007</v>
      </c>
      <c r="C1076">
        <f t="shared" si="33"/>
        <v>-1.9279219335804412E-3</v>
      </c>
      <c r="D1076" s="2">
        <f t="shared" si="34"/>
        <v>-1.9279219335804412E-3</v>
      </c>
    </row>
    <row r="1077" spans="1:4" x14ac:dyDescent="0.3">
      <c r="A1077" s="1">
        <v>45784</v>
      </c>
      <c r="B1077">
        <v>80746.78</v>
      </c>
      <c r="C1077">
        <f t="shared" si="33"/>
        <v>1.3108705030822612E-3</v>
      </c>
      <c r="D1077" s="2">
        <f t="shared" si="34"/>
        <v>1.3108705030822612E-3</v>
      </c>
    </row>
    <row r="1078" spans="1:4" x14ac:dyDescent="0.3">
      <c r="A1078" s="1">
        <v>45785</v>
      </c>
      <c r="B1078">
        <v>80334.81</v>
      </c>
      <c r="C1078">
        <f t="shared" si="33"/>
        <v>-5.101999113772725E-3</v>
      </c>
      <c r="D1078" s="2">
        <f t="shared" si="34"/>
        <v>-5.101999113772725E-3</v>
      </c>
    </row>
    <row r="1079" spans="1:4" x14ac:dyDescent="0.3">
      <c r="A1079" s="1">
        <v>45786</v>
      </c>
      <c r="B1079">
        <v>79454.47</v>
      </c>
      <c r="C1079">
        <f t="shared" si="33"/>
        <v>-1.0958387777353262E-2</v>
      </c>
      <c r="D1079" s="2">
        <f t="shared" si="34"/>
        <v>-1.0958387777353262E-2</v>
      </c>
    </row>
    <row r="1080" spans="1:4" x14ac:dyDescent="0.3">
      <c r="A1080" s="1">
        <v>45789</v>
      </c>
      <c r="B1080">
        <v>82429.899999999994</v>
      </c>
      <c r="C1080">
        <f t="shared" si="33"/>
        <v>3.7448239224300316E-2</v>
      </c>
      <c r="D1080" s="2">
        <f t="shared" si="34"/>
        <v>3.7448239224300316E-2</v>
      </c>
    </row>
    <row r="1081" spans="1:4" x14ac:dyDescent="0.3">
      <c r="A1081" s="1">
        <v>45790</v>
      </c>
      <c r="B1081">
        <v>81148.22</v>
      </c>
      <c r="C1081">
        <f t="shared" si="33"/>
        <v>-1.5548726857608624E-2</v>
      </c>
      <c r="D1081" s="2">
        <f t="shared" si="34"/>
        <v>-1.5548726857608624E-2</v>
      </c>
    </row>
    <row r="1082" spans="1:4" x14ac:dyDescent="0.3">
      <c r="A1082" s="1">
        <v>45791</v>
      </c>
      <c r="B1082">
        <v>81330.559999999998</v>
      </c>
      <c r="C1082">
        <f t="shared" si="33"/>
        <v>2.2469993796536327E-3</v>
      </c>
      <c r="D1082" s="2">
        <f t="shared" si="34"/>
        <v>2.2469993796536327E-3</v>
      </c>
    </row>
    <row r="1083" spans="1:4" x14ac:dyDescent="0.3">
      <c r="A1083" s="1">
        <v>45792</v>
      </c>
      <c r="B1083">
        <v>82530.740000000005</v>
      </c>
      <c r="C1083">
        <f t="shared" si="33"/>
        <v>1.4756814658598289E-2</v>
      </c>
      <c r="D1083" s="2">
        <f t="shared" si="34"/>
        <v>1.4756814658598289E-2</v>
      </c>
    </row>
    <row r="1084" spans="1:4" x14ac:dyDescent="0.3">
      <c r="A1084" s="1">
        <v>45793</v>
      </c>
      <c r="B1084">
        <v>82330.59</v>
      </c>
      <c r="C1084">
        <f t="shared" si="33"/>
        <v>-2.4251569778728351E-3</v>
      </c>
      <c r="D1084" s="2">
        <f t="shared" si="34"/>
        <v>-2.4251569778728351E-3</v>
      </c>
    </row>
    <row r="1085" spans="1:4" x14ac:dyDescent="0.3">
      <c r="A1085" s="1">
        <v>45796</v>
      </c>
      <c r="B1085">
        <v>82059.42</v>
      </c>
      <c r="C1085">
        <f t="shared" si="33"/>
        <v>-3.2936724976706504E-3</v>
      </c>
      <c r="D1085" s="2">
        <f t="shared" si="34"/>
        <v>-3.2936724976706504E-3</v>
      </c>
    </row>
    <row r="1086" spans="1:4" x14ac:dyDescent="0.3">
      <c r="A1086" s="1">
        <v>45797</v>
      </c>
      <c r="B1086">
        <v>81186.44</v>
      </c>
      <c r="C1086">
        <f t="shared" si="33"/>
        <v>-1.0638388621318502E-2</v>
      </c>
      <c r="D1086" s="2">
        <f t="shared" si="34"/>
        <v>-1.0638388621318502E-2</v>
      </c>
    </row>
    <row r="1087" spans="1:4" x14ac:dyDescent="0.3">
      <c r="A1087" s="1">
        <v>45798</v>
      </c>
      <c r="B1087">
        <v>81596.63</v>
      </c>
      <c r="C1087">
        <f t="shared" si="33"/>
        <v>5.0524447186008192E-3</v>
      </c>
      <c r="D1087" s="2">
        <f t="shared" si="34"/>
        <v>5.0524447186008192E-3</v>
      </c>
    </row>
    <row r="1088" spans="1:4" x14ac:dyDescent="0.3">
      <c r="A1088" s="1">
        <v>45799</v>
      </c>
      <c r="B1088">
        <v>80951.990000000005</v>
      </c>
      <c r="C1088">
        <f t="shared" si="33"/>
        <v>-7.9003262757297629E-3</v>
      </c>
      <c r="D1088" s="2">
        <f t="shared" si="34"/>
        <v>-7.9003262757297629E-3</v>
      </c>
    </row>
    <row r="1089" spans="1:4" x14ac:dyDescent="0.3">
      <c r="A1089" s="1">
        <v>45800</v>
      </c>
      <c r="B1089">
        <v>81721.08</v>
      </c>
      <c r="C1089">
        <f t="shared" si="33"/>
        <v>9.5005694115734094E-3</v>
      </c>
      <c r="D1089" s="2">
        <f t="shared" si="34"/>
        <v>9.5005694115734094E-3</v>
      </c>
    </row>
    <row r="1090" spans="1:4" x14ac:dyDescent="0.3">
      <c r="A1090" s="1">
        <v>45803</v>
      </c>
      <c r="B1090">
        <v>82176.45</v>
      </c>
      <c r="C1090">
        <f t="shared" si="33"/>
        <v>5.5722464754503409E-3</v>
      </c>
      <c r="D1090" s="2">
        <f t="shared" si="34"/>
        <v>5.5722464754503409E-3</v>
      </c>
    </row>
    <row r="1091" spans="1:4" x14ac:dyDescent="0.3">
      <c r="A1091" s="1">
        <v>45804</v>
      </c>
      <c r="B1091">
        <v>81551.63</v>
      </c>
      <c r="C1091">
        <f t="shared" si="33"/>
        <v>-7.6033948898984131E-3</v>
      </c>
      <c r="D1091" s="2">
        <f t="shared" si="34"/>
        <v>-7.6033948898984131E-3</v>
      </c>
    </row>
    <row r="1092" spans="1:4" x14ac:dyDescent="0.3">
      <c r="A1092" s="1">
        <v>45805</v>
      </c>
      <c r="B1092">
        <v>81312.320000000007</v>
      </c>
      <c r="C1092">
        <f t="shared" ref="C1092:C1155" si="35">(B1092-B1091)/B1091</f>
        <v>-2.9344600469665373E-3</v>
      </c>
      <c r="D1092" s="2">
        <f t="shared" ref="D1092:D1155" si="36">(B1092-B1091)/B1091</f>
        <v>-2.9344600469665373E-3</v>
      </c>
    </row>
    <row r="1093" spans="1:4" x14ac:dyDescent="0.3">
      <c r="A1093" s="1">
        <v>45806</v>
      </c>
      <c r="B1093">
        <v>81633.02</v>
      </c>
      <c r="C1093">
        <f t="shared" si="35"/>
        <v>3.9440517746879818E-3</v>
      </c>
      <c r="D1093" s="2">
        <f t="shared" si="36"/>
        <v>3.9440517746879818E-3</v>
      </c>
    </row>
    <row r="1094" spans="1:4" x14ac:dyDescent="0.3">
      <c r="A1094" s="1">
        <v>45807</v>
      </c>
      <c r="B1094">
        <v>81451.009999999995</v>
      </c>
      <c r="C1094">
        <f t="shared" si="35"/>
        <v>-2.229612477892026E-3</v>
      </c>
      <c r="D1094" s="2">
        <f t="shared" si="36"/>
        <v>-2.229612477892026E-3</v>
      </c>
    </row>
    <row r="1095" spans="1:4" x14ac:dyDescent="0.3">
      <c r="A1095" s="1">
        <v>45810</v>
      </c>
      <c r="B1095">
        <v>81373.75</v>
      </c>
      <c r="C1095">
        <f t="shared" si="35"/>
        <v>-9.4854563497732893E-4</v>
      </c>
      <c r="D1095" s="2">
        <f t="shared" si="36"/>
        <v>-9.4854563497732893E-4</v>
      </c>
    </row>
    <row r="1096" spans="1:4" x14ac:dyDescent="0.3">
      <c r="A1096" s="1">
        <v>45811</v>
      </c>
      <c r="B1096">
        <v>80737.509999999995</v>
      </c>
      <c r="C1096">
        <f t="shared" si="35"/>
        <v>-7.8187376150171926E-3</v>
      </c>
      <c r="D1096" s="2">
        <f t="shared" si="36"/>
        <v>-7.8187376150171926E-3</v>
      </c>
    </row>
    <row r="1097" spans="1:4" x14ac:dyDescent="0.3">
      <c r="A1097" s="1">
        <v>45812</v>
      </c>
      <c r="B1097">
        <v>80998.25</v>
      </c>
      <c r="C1097">
        <f t="shared" si="35"/>
        <v>3.2294778474095281E-3</v>
      </c>
      <c r="D1097" s="2">
        <f t="shared" si="36"/>
        <v>3.2294778474095281E-3</v>
      </c>
    </row>
    <row r="1098" spans="1:4" x14ac:dyDescent="0.3">
      <c r="A1098" s="1">
        <v>45813</v>
      </c>
      <c r="B1098">
        <v>81442.039999999994</v>
      </c>
      <c r="C1098">
        <f t="shared" si="35"/>
        <v>5.479007262502506E-3</v>
      </c>
      <c r="D1098" s="2">
        <f t="shared" si="36"/>
        <v>5.479007262502506E-3</v>
      </c>
    </row>
    <row r="1099" spans="1:4" x14ac:dyDescent="0.3">
      <c r="A1099" s="1">
        <v>45814</v>
      </c>
      <c r="B1099">
        <v>82188.990000000005</v>
      </c>
      <c r="C1099">
        <f t="shared" si="35"/>
        <v>9.1715531683638045E-3</v>
      </c>
      <c r="D1099" s="2">
        <f t="shared" si="36"/>
        <v>9.1715531683638045E-3</v>
      </c>
    </row>
    <row r="1100" spans="1:4" x14ac:dyDescent="0.3">
      <c r="A1100" s="1">
        <v>45817</v>
      </c>
      <c r="B1100">
        <v>82445.210000000006</v>
      </c>
      <c r="C1100">
        <f t="shared" si="35"/>
        <v>3.1174491863204686E-3</v>
      </c>
      <c r="D1100" s="2">
        <f t="shared" si="36"/>
        <v>3.1174491863204686E-3</v>
      </c>
    </row>
    <row r="1101" spans="1:4" x14ac:dyDescent="0.3">
      <c r="A1101" s="1">
        <v>45818</v>
      </c>
      <c r="B1101">
        <v>82391.72</v>
      </c>
      <c r="C1101">
        <f t="shared" si="35"/>
        <v>-6.4879451456312904E-4</v>
      </c>
      <c r="D1101" s="2">
        <f t="shared" si="36"/>
        <v>-6.4879451456312904E-4</v>
      </c>
    </row>
    <row r="1102" spans="1:4" x14ac:dyDescent="0.3">
      <c r="A1102" s="1">
        <v>45819</v>
      </c>
      <c r="B1102">
        <v>82515.14</v>
      </c>
      <c r="C1102">
        <f t="shared" si="35"/>
        <v>1.4979660577543259E-3</v>
      </c>
      <c r="D1102" s="2">
        <f t="shared" si="36"/>
        <v>1.4979660577543259E-3</v>
      </c>
    </row>
    <row r="1103" spans="1:4" x14ac:dyDescent="0.3">
      <c r="A1103" s="1">
        <v>45820</v>
      </c>
      <c r="B1103">
        <v>81691.98</v>
      </c>
      <c r="C1103">
        <f t="shared" si="35"/>
        <v>-9.9758662470911825E-3</v>
      </c>
      <c r="D1103" s="2">
        <f t="shared" si="36"/>
        <v>-9.9758662470911825E-3</v>
      </c>
    </row>
    <row r="1104" spans="1:4" x14ac:dyDescent="0.3">
      <c r="A1104" s="1">
        <v>45821</v>
      </c>
      <c r="B1104">
        <v>81118.600000000006</v>
      </c>
      <c r="C1104">
        <f t="shared" si="35"/>
        <v>-7.0188040490632023E-3</v>
      </c>
      <c r="D1104" s="2">
        <f t="shared" si="36"/>
        <v>-7.0188040490632023E-3</v>
      </c>
    </row>
    <row r="1105" spans="1:4" x14ac:dyDescent="0.3">
      <c r="A1105" s="1">
        <v>45824</v>
      </c>
      <c r="B1105">
        <v>81796.149999999994</v>
      </c>
      <c r="C1105">
        <f t="shared" si="35"/>
        <v>8.3525849805098744E-3</v>
      </c>
      <c r="D1105" s="2">
        <f t="shared" si="36"/>
        <v>8.3525849805098744E-3</v>
      </c>
    </row>
    <row r="1106" spans="1:4" x14ac:dyDescent="0.3">
      <c r="A1106" s="1">
        <v>45825</v>
      </c>
      <c r="B1106">
        <v>81583.3</v>
      </c>
      <c r="C1106">
        <f t="shared" si="35"/>
        <v>-2.6022007148257136E-3</v>
      </c>
      <c r="D1106" s="2">
        <f t="shared" si="36"/>
        <v>-2.6022007148257136E-3</v>
      </c>
    </row>
    <row r="1107" spans="1:4" x14ac:dyDescent="0.3">
      <c r="A1107" s="1">
        <v>45826</v>
      </c>
      <c r="B1107">
        <v>81444.66</v>
      </c>
      <c r="C1107">
        <f t="shared" si="35"/>
        <v>-1.6993673950428509E-3</v>
      </c>
      <c r="D1107" s="2">
        <f t="shared" si="36"/>
        <v>-1.6993673950428509E-3</v>
      </c>
    </row>
    <row r="1108" spans="1:4" x14ac:dyDescent="0.3">
      <c r="A1108" s="1">
        <v>45827</v>
      </c>
      <c r="B1108">
        <v>81361.87</v>
      </c>
      <c r="C1108">
        <f t="shared" si="35"/>
        <v>-1.0165184555992763E-3</v>
      </c>
      <c r="D1108" s="2">
        <f t="shared" si="36"/>
        <v>-1.0165184555992763E-3</v>
      </c>
    </row>
    <row r="1109" spans="1:4" x14ac:dyDescent="0.3">
      <c r="A1109" s="1">
        <v>45828</v>
      </c>
      <c r="B1109">
        <v>82408.17</v>
      </c>
      <c r="C1109">
        <f t="shared" si="35"/>
        <v>1.2859832253118113E-2</v>
      </c>
      <c r="D1109" s="2">
        <f t="shared" si="36"/>
        <v>1.2859832253118113E-2</v>
      </c>
    </row>
    <row r="1110" spans="1:4" x14ac:dyDescent="0.3">
      <c r="A1110" s="1">
        <v>45831</v>
      </c>
      <c r="B1110">
        <v>81896.789999999994</v>
      </c>
      <c r="C1110">
        <f t="shared" si="35"/>
        <v>-6.2054526875187817E-3</v>
      </c>
      <c r="D1110" s="2">
        <f t="shared" si="36"/>
        <v>-6.2054526875187817E-3</v>
      </c>
    </row>
    <row r="1111" spans="1:4" x14ac:dyDescent="0.3">
      <c r="A1111" s="1">
        <v>45832</v>
      </c>
      <c r="B1111">
        <v>82055.11</v>
      </c>
      <c r="C1111">
        <f t="shared" si="35"/>
        <v>1.9331649018234658E-3</v>
      </c>
      <c r="D1111" s="2">
        <f t="shared" si="36"/>
        <v>1.9331649018234658E-3</v>
      </c>
    </row>
    <row r="1112" spans="1:4" x14ac:dyDescent="0.3">
      <c r="A1112" s="1">
        <v>45833</v>
      </c>
      <c r="B1112">
        <v>82755.509999999995</v>
      </c>
      <c r="C1112">
        <f t="shared" si="35"/>
        <v>8.5357267816714173E-3</v>
      </c>
      <c r="D1112" s="2">
        <f t="shared" si="36"/>
        <v>8.5357267816714173E-3</v>
      </c>
    </row>
    <row r="1113" spans="1:4" x14ac:dyDescent="0.3">
      <c r="A1113" s="1">
        <v>45834</v>
      </c>
      <c r="B1113">
        <v>83755.87</v>
      </c>
      <c r="C1113">
        <f t="shared" si="35"/>
        <v>1.2088137696208997E-2</v>
      </c>
      <c r="D1113" s="2">
        <f t="shared" si="36"/>
        <v>1.2088137696208997E-2</v>
      </c>
    </row>
    <row r="1114" spans="1:4" x14ac:dyDescent="0.3">
      <c r="A1114" s="1">
        <v>45835</v>
      </c>
      <c r="B1114">
        <v>84058.9</v>
      </c>
      <c r="C1114">
        <f t="shared" si="35"/>
        <v>3.6180150716600382E-3</v>
      </c>
      <c r="D1114" s="2">
        <f t="shared" si="36"/>
        <v>3.6180150716600382E-3</v>
      </c>
    </row>
    <row r="1115" spans="1:4" x14ac:dyDescent="0.3">
      <c r="A1115" s="1">
        <v>45838</v>
      </c>
      <c r="B1115">
        <v>83606.460000000006</v>
      </c>
      <c r="C1115">
        <f t="shared" si="35"/>
        <v>-5.3824163770878255E-3</v>
      </c>
      <c r="D1115" s="2">
        <f t="shared" si="36"/>
        <v>-5.3824163770878255E-3</v>
      </c>
    </row>
    <row r="1116" spans="1:4" x14ac:dyDescent="0.3">
      <c r="A1116" s="1">
        <v>45839</v>
      </c>
      <c r="B1116">
        <v>83697.289999999994</v>
      </c>
      <c r="C1116">
        <f t="shared" si="35"/>
        <v>1.0863993045511936E-3</v>
      </c>
      <c r="D1116" s="2">
        <f t="shared" si="36"/>
        <v>1.0863993045511936E-3</v>
      </c>
    </row>
    <row r="1117" spans="1:4" x14ac:dyDescent="0.3">
      <c r="A1117" s="1">
        <v>45840</v>
      </c>
      <c r="B1117">
        <v>83409.69</v>
      </c>
      <c r="C1117">
        <f t="shared" si="35"/>
        <v>-3.4361924979887794E-3</v>
      </c>
      <c r="D1117" s="2">
        <f t="shared" si="36"/>
        <v>-3.4361924979887794E-3</v>
      </c>
    </row>
    <row r="1118" spans="1:4" x14ac:dyDescent="0.3">
      <c r="A1118" s="1">
        <v>45841</v>
      </c>
      <c r="B1118">
        <v>83239.47</v>
      </c>
      <c r="C1118">
        <f t="shared" si="35"/>
        <v>-2.0407700831881902E-3</v>
      </c>
      <c r="D1118" s="2">
        <f t="shared" si="36"/>
        <v>-2.0407700831881902E-3</v>
      </c>
    </row>
    <row r="1119" spans="1:4" x14ac:dyDescent="0.3">
      <c r="A1119" s="1">
        <v>45842</v>
      </c>
      <c r="B1119">
        <v>83432.89</v>
      </c>
      <c r="C1119">
        <f t="shared" si="35"/>
        <v>2.3236572746078064E-3</v>
      </c>
      <c r="D1119" s="2">
        <f t="shared" si="36"/>
        <v>2.3236572746078064E-3</v>
      </c>
    </row>
    <row r="1120" spans="1:4" x14ac:dyDescent="0.3">
      <c r="A1120" s="1">
        <v>45845</v>
      </c>
      <c r="B1120">
        <v>83442.5</v>
      </c>
      <c r="C1120">
        <f t="shared" si="35"/>
        <v>1.1518239389766532E-4</v>
      </c>
      <c r="D1120" s="2">
        <f t="shared" si="36"/>
        <v>1.1518239389766532E-4</v>
      </c>
    </row>
    <row r="1121" spans="1:4" x14ac:dyDescent="0.3">
      <c r="A1121" s="1">
        <v>45846</v>
      </c>
      <c r="B1121">
        <v>83712.509999999995</v>
      </c>
      <c r="C1121">
        <f t="shared" si="35"/>
        <v>3.2358809958953141E-3</v>
      </c>
      <c r="D1121" s="2">
        <f t="shared" si="36"/>
        <v>3.2358809958953141E-3</v>
      </c>
    </row>
    <row r="1122" spans="1:4" x14ac:dyDescent="0.3">
      <c r="A1122" s="1">
        <v>45847</v>
      </c>
      <c r="B1122">
        <v>83536.08</v>
      </c>
      <c r="C1122">
        <f t="shared" si="35"/>
        <v>-2.1075703022163956E-3</v>
      </c>
      <c r="D1122" s="2">
        <f t="shared" si="36"/>
        <v>-2.1075703022163956E-3</v>
      </c>
    </row>
    <row r="1123" spans="1:4" x14ac:dyDescent="0.3">
      <c r="A1123" s="1">
        <v>45848</v>
      </c>
      <c r="B1123">
        <v>83190.28</v>
      </c>
      <c r="C1123">
        <f t="shared" si="35"/>
        <v>-4.1395286922728822E-3</v>
      </c>
      <c r="D1123" s="2">
        <f t="shared" si="36"/>
        <v>-4.1395286922728822E-3</v>
      </c>
    </row>
    <row r="1124" spans="1:4" x14ac:dyDescent="0.3">
      <c r="A1124" s="1">
        <v>45849</v>
      </c>
      <c r="B1124">
        <v>82500.47</v>
      </c>
      <c r="C1124">
        <f t="shared" si="35"/>
        <v>-8.291954300430263E-3</v>
      </c>
      <c r="D1124" s="2">
        <f t="shared" si="36"/>
        <v>-8.291954300430263E-3</v>
      </c>
    </row>
    <row r="1125" spans="1:4" x14ac:dyDescent="0.3">
      <c r="A1125" s="1">
        <v>45852</v>
      </c>
      <c r="B1125">
        <v>82253.460000000006</v>
      </c>
      <c r="C1125">
        <f t="shared" si="35"/>
        <v>-2.9940435490851719E-3</v>
      </c>
      <c r="D1125" s="2">
        <f t="shared" si="36"/>
        <v>-2.9940435490851719E-3</v>
      </c>
    </row>
    <row r="1126" spans="1:4" x14ac:dyDescent="0.3">
      <c r="A1126" s="1">
        <v>45853</v>
      </c>
      <c r="B1126">
        <v>82570.91</v>
      </c>
      <c r="C1126">
        <f t="shared" si="35"/>
        <v>3.8594121147000632E-3</v>
      </c>
      <c r="D1126" s="2">
        <f t="shared" si="36"/>
        <v>3.8594121147000632E-3</v>
      </c>
    </row>
    <row r="1127" spans="1:4" x14ac:dyDescent="0.3">
      <c r="A1127" s="1">
        <v>45854</v>
      </c>
      <c r="B1127">
        <v>82634.48</v>
      </c>
      <c r="C1127">
        <f t="shared" si="35"/>
        <v>7.6988372781639967E-4</v>
      </c>
      <c r="D1127" s="2">
        <f t="shared" si="36"/>
        <v>7.6988372781639967E-4</v>
      </c>
    </row>
    <row r="1128" spans="1:4" x14ac:dyDescent="0.3">
      <c r="A1128" s="1">
        <v>45855</v>
      </c>
      <c r="B1128">
        <v>82259.240000000005</v>
      </c>
      <c r="C1128">
        <f t="shared" si="35"/>
        <v>-4.5409615937559078E-3</v>
      </c>
      <c r="D1128" s="2">
        <f t="shared" si="36"/>
        <v>-4.5409615937559078E-3</v>
      </c>
    </row>
    <row r="1129" spans="1:4" x14ac:dyDescent="0.3">
      <c r="A1129" s="1">
        <v>45856</v>
      </c>
      <c r="B1129">
        <v>81757.73</v>
      </c>
      <c r="C1129">
        <f t="shared" si="35"/>
        <v>-6.0967011122399052E-3</v>
      </c>
      <c r="D1129" s="2">
        <f t="shared" si="36"/>
        <v>-6.0967011122399052E-3</v>
      </c>
    </row>
    <row r="1130" spans="1:4" x14ac:dyDescent="0.3">
      <c r="A1130" s="1">
        <v>45859</v>
      </c>
      <c r="B1130">
        <v>82200.34</v>
      </c>
      <c r="C1130">
        <f t="shared" si="35"/>
        <v>5.4136777036250961E-3</v>
      </c>
      <c r="D1130" s="2">
        <f t="shared" si="36"/>
        <v>5.4136777036250961E-3</v>
      </c>
    </row>
    <row r="1131" spans="1:4" x14ac:dyDescent="0.3">
      <c r="A1131" s="1">
        <v>45860</v>
      </c>
      <c r="B1131">
        <v>82186.81</v>
      </c>
      <c r="C1131">
        <f t="shared" si="35"/>
        <v>-1.64597859327575E-4</v>
      </c>
      <c r="D1131" s="2">
        <f t="shared" si="36"/>
        <v>-1.64597859327575E-4</v>
      </c>
    </row>
    <row r="1132" spans="1:4" x14ac:dyDescent="0.3">
      <c r="A1132" s="1">
        <v>45861</v>
      </c>
      <c r="B1132">
        <v>82726.64</v>
      </c>
      <c r="C1132">
        <f t="shared" si="35"/>
        <v>6.5683289082518444E-3</v>
      </c>
      <c r="D1132" s="2">
        <f t="shared" si="36"/>
        <v>6.5683289082518444E-3</v>
      </c>
    </row>
    <row r="1133" spans="1:4" x14ac:dyDescent="0.3">
      <c r="A1133" s="1">
        <v>45862</v>
      </c>
      <c r="B1133">
        <v>82184.17</v>
      </c>
      <c r="C1133">
        <f t="shared" si="35"/>
        <v>-6.5573798234764662E-3</v>
      </c>
      <c r="D1133" s="2">
        <f t="shared" si="36"/>
        <v>-6.5573798234764662E-3</v>
      </c>
    </row>
    <row r="1134" spans="1:4" x14ac:dyDescent="0.3">
      <c r="A1134" s="1">
        <v>45863</v>
      </c>
      <c r="B1134">
        <v>81463.09</v>
      </c>
      <c r="C1134">
        <f t="shared" si="35"/>
        <v>-8.7739524533739493E-3</v>
      </c>
      <c r="D1134" s="2">
        <f t="shared" si="36"/>
        <v>-8.7739524533739493E-3</v>
      </c>
    </row>
    <row r="1135" spans="1:4" x14ac:dyDescent="0.3">
      <c r="A1135" s="1">
        <v>45866</v>
      </c>
      <c r="B1135">
        <v>80891.02</v>
      </c>
      <c r="C1135">
        <f t="shared" si="35"/>
        <v>-7.0224441523147781E-3</v>
      </c>
      <c r="D1135" s="2">
        <f t="shared" si="36"/>
        <v>-7.0224441523147781E-3</v>
      </c>
    </row>
    <row r="1136" spans="1:4" x14ac:dyDescent="0.3">
      <c r="A1136" s="1">
        <v>45867</v>
      </c>
      <c r="B1136">
        <v>81337.95</v>
      </c>
      <c r="C1136">
        <f t="shared" si="35"/>
        <v>5.525087951666242E-3</v>
      </c>
      <c r="D1136" s="2">
        <f t="shared" si="36"/>
        <v>5.525087951666242E-3</v>
      </c>
    </row>
    <row r="1137" spans="1:4" x14ac:dyDescent="0.3">
      <c r="A1137" s="1">
        <v>45868</v>
      </c>
      <c r="B1137">
        <v>81481.86</v>
      </c>
      <c r="C1137">
        <f t="shared" si="35"/>
        <v>1.7692848172348025E-3</v>
      </c>
      <c r="D1137" s="2">
        <f t="shared" si="36"/>
        <v>1.7692848172348025E-3</v>
      </c>
    </row>
    <row r="1138" spans="1:4" x14ac:dyDescent="0.3">
      <c r="A1138" s="1">
        <v>45869</v>
      </c>
      <c r="B1138">
        <v>81185.58</v>
      </c>
      <c r="C1138">
        <f t="shared" si="35"/>
        <v>-3.6361467448091985E-3</v>
      </c>
      <c r="D1138" s="2">
        <f t="shared" si="36"/>
        <v>-3.6361467448091985E-3</v>
      </c>
    </row>
    <row r="1139" spans="1:4" x14ac:dyDescent="0.3">
      <c r="A1139" s="1">
        <v>45870</v>
      </c>
      <c r="B1139">
        <v>80599.91</v>
      </c>
      <c r="C1139">
        <f t="shared" si="35"/>
        <v>-7.2139658298924301E-3</v>
      </c>
      <c r="D1139" s="2">
        <f t="shared" si="36"/>
        <v>-7.2139658298924301E-3</v>
      </c>
    </row>
    <row r="1140" spans="1:4" x14ac:dyDescent="0.3">
      <c r="A1140" s="1">
        <v>45873</v>
      </c>
      <c r="B1140">
        <v>81018.720000000001</v>
      </c>
      <c r="C1140">
        <f t="shared" si="35"/>
        <v>5.1961596483171965E-3</v>
      </c>
      <c r="D1140" s="2">
        <f t="shared" si="36"/>
        <v>5.1961596483171965E-3</v>
      </c>
    </row>
    <row r="1141" spans="1:4" x14ac:dyDescent="0.3">
      <c r="A1141" s="1">
        <v>45874</v>
      </c>
      <c r="B1141">
        <v>80710.25</v>
      </c>
      <c r="C1141">
        <f t="shared" si="35"/>
        <v>-3.8073916744179761E-3</v>
      </c>
      <c r="D1141" s="2">
        <f t="shared" si="36"/>
        <v>-3.8073916744179761E-3</v>
      </c>
    </row>
    <row r="1142" spans="1:4" x14ac:dyDescent="0.3">
      <c r="A1142" s="1">
        <v>45875</v>
      </c>
      <c r="B1142">
        <v>80543.990000000005</v>
      </c>
      <c r="C1142">
        <f t="shared" si="35"/>
        <v>-2.0599614051498385E-3</v>
      </c>
      <c r="D1142" s="2">
        <f t="shared" si="36"/>
        <v>-2.0599614051498385E-3</v>
      </c>
    </row>
    <row r="1143" spans="1:4" x14ac:dyDescent="0.3">
      <c r="A1143" s="1">
        <v>45876</v>
      </c>
      <c r="B1143">
        <v>80623.259999999995</v>
      </c>
      <c r="C1143">
        <f t="shared" si="35"/>
        <v>9.8418268079330964E-4</v>
      </c>
      <c r="D1143" s="2">
        <f t="shared" si="36"/>
        <v>9.8418268079330964E-4</v>
      </c>
    </row>
    <row r="1144" spans="1:4" x14ac:dyDescent="0.3">
      <c r="A1144" s="1">
        <v>45877</v>
      </c>
      <c r="B1144">
        <v>79857.789999999994</v>
      </c>
      <c r="C1144">
        <f t="shared" si="35"/>
        <v>-9.4944064529268752E-3</v>
      </c>
      <c r="D1144" s="2">
        <f t="shared" si="36"/>
        <v>-9.4944064529268752E-3</v>
      </c>
    </row>
    <row r="1145" spans="1:4" x14ac:dyDescent="0.3">
      <c r="A1145" s="1">
        <v>45880</v>
      </c>
      <c r="B1145">
        <v>80604.08</v>
      </c>
      <c r="C1145">
        <f t="shared" si="35"/>
        <v>9.3452373275044083E-3</v>
      </c>
      <c r="D1145" s="2">
        <f t="shared" si="36"/>
        <v>9.3452373275044083E-3</v>
      </c>
    </row>
    <row r="1146" spans="1:4" x14ac:dyDescent="0.3">
      <c r="A1146" s="1">
        <v>45881</v>
      </c>
      <c r="B1146">
        <v>80235.59</v>
      </c>
      <c r="C1146">
        <f t="shared" si="35"/>
        <v>-4.5716048120641685E-3</v>
      </c>
      <c r="D1146" s="2">
        <f t="shared" si="36"/>
        <v>-4.5716048120641685E-3</v>
      </c>
    </row>
    <row r="1147" spans="1:4" x14ac:dyDescent="0.3">
      <c r="A1147" s="1">
        <v>45882</v>
      </c>
      <c r="B1147">
        <v>80539.91</v>
      </c>
      <c r="C1147">
        <f t="shared" si="35"/>
        <v>3.7928305880221857E-3</v>
      </c>
      <c r="D1147" s="2">
        <f t="shared" si="36"/>
        <v>3.7928305880221857E-3</v>
      </c>
    </row>
    <row r="1148" spans="1:4" x14ac:dyDescent="0.3">
      <c r="A1148" s="1">
        <v>45883</v>
      </c>
      <c r="B1148">
        <v>80597.66</v>
      </c>
      <c r="C1148">
        <f t="shared" si="35"/>
        <v>7.1703581491461808E-4</v>
      </c>
      <c r="D1148" s="2">
        <f t="shared" si="36"/>
        <v>7.1703581491461808E-4</v>
      </c>
    </row>
    <row r="1149" spans="1:4" x14ac:dyDescent="0.3">
      <c r="A1149" s="1">
        <v>45887</v>
      </c>
      <c r="B1149">
        <v>81273.75</v>
      </c>
      <c r="C1149">
        <f t="shared" si="35"/>
        <v>8.3884569353501887E-3</v>
      </c>
      <c r="D1149" s="2">
        <f t="shared" si="36"/>
        <v>8.3884569353501887E-3</v>
      </c>
    </row>
    <row r="1150" spans="1:4" x14ac:dyDescent="0.3">
      <c r="A1150" s="1">
        <v>45888</v>
      </c>
      <c r="B1150">
        <v>81644.39</v>
      </c>
      <c r="C1150">
        <f t="shared" si="35"/>
        <v>4.560390039834503E-3</v>
      </c>
      <c r="D1150" s="2">
        <f t="shared" si="36"/>
        <v>4.560390039834503E-3</v>
      </c>
    </row>
    <row r="1151" spans="1:4" x14ac:dyDescent="0.3">
      <c r="A1151" s="1">
        <v>45889</v>
      </c>
      <c r="B1151">
        <v>81857.84</v>
      </c>
      <c r="C1151">
        <f t="shared" si="35"/>
        <v>2.6143866100291407E-3</v>
      </c>
      <c r="D1151" s="2">
        <f t="shared" si="36"/>
        <v>2.6143866100291407E-3</v>
      </c>
    </row>
    <row r="1152" spans="1:4" x14ac:dyDescent="0.3">
      <c r="A1152" s="1">
        <v>45890</v>
      </c>
      <c r="B1152">
        <v>82000.710000000006</v>
      </c>
      <c r="C1152">
        <f t="shared" si="35"/>
        <v>1.7453429017918124E-3</v>
      </c>
      <c r="D1152" s="2">
        <f t="shared" si="36"/>
        <v>1.7453429017918124E-3</v>
      </c>
    </row>
    <row r="1153" spans="1:4" x14ac:dyDescent="0.3">
      <c r="A1153" s="1">
        <v>45891</v>
      </c>
      <c r="B1153">
        <v>81306.850000000006</v>
      </c>
      <c r="C1153">
        <f t="shared" si="35"/>
        <v>-8.4616340517051688E-3</v>
      </c>
      <c r="D1153" s="2">
        <f t="shared" si="36"/>
        <v>-8.4616340517051688E-3</v>
      </c>
    </row>
    <row r="1154" spans="1:4" x14ac:dyDescent="0.3">
      <c r="A1154" s="1">
        <v>45894</v>
      </c>
      <c r="B1154">
        <v>81635.91</v>
      </c>
      <c r="C1154">
        <f t="shared" si="35"/>
        <v>4.0471374798064083E-3</v>
      </c>
      <c r="D1154" s="2">
        <f t="shared" si="36"/>
        <v>4.0471374798064083E-3</v>
      </c>
    </row>
    <row r="1155" spans="1:4" x14ac:dyDescent="0.3">
      <c r="A1155" s="1">
        <v>45895</v>
      </c>
      <c r="B1155">
        <v>80786.539999999994</v>
      </c>
      <c r="C1155">
        <f t="shared" si="35"/>
        <v>-1.0404367391752108E-2</v>
      </c>
      <c r="D1155" s="2">
        <f t="shared" si="36"/>
        <v>-1.0404367391752108E-2</v>
      </c>
    </row>
    <row r="1156" spans="1:4" x14ac:dyDescent="0.3">
      <c r="A1156" s="1">
        <v>45897</v>
      </c>
      <c r="B1156">
        <v>80080.570000000007</v>
      </c>
      <c r="C1156">
        <f t="shared" ref="C1156:C1219" si="37">(B1156-B1155)/B1155</f>
        <v>-8.7387082055994311E-3</v>
      </c>
      <c r="D1156" s="2">
        <f t="shared" ref="D1156:D1219" si="38">(B1156-B1155)/B1155</f>
        <v>-8.7387082055994311E-3</v>
      </c>
    </row>
    <row r="1157" spans="1:4" x14ac:dyDescent="0.3">
      <c r="A1157" s="1">
        <v>45898</v>
      </c>
      <c r="B1157">
        <v>79809.649999999994</v>
      </c>
      <c r="C1157">
        <f t="shared" si="37"/>
        <v>-3.3830928026612793E-3</v>
      </c>
      <c r="D1157" s="2">
        <f t="shared" si="38"/>
        <v>-3.3830928026612793E-3</v>
      </c>
    </row>
    <row r="1158" spans="1:4" x14ac:dyDescent="0.3">
      <c r="A1158" s="1">
        <v>45901</v>
      </c>
      <c r="B1158">
        <v>80364.490000000005</v>
      </c>
      <c r="C1158">
        <f t="shared" si="37"/>
        <v>6.9520415137769818E-3</v>
      </c>
      <c r="D1158" s="2">
        <f t="shared" si="38"/>
        <v>6.9520415137769818E-3</v>
      </c>
    </row>
    <row r="1159" spans="1:4" x14ac:dyDescent="0.3">
      <c r="A1159" s="1">
        <v>45902</v>
      </c>
      <c r="B1159">
        <v>80157.88</v>
      </c>
      <c r="C1159">
        <f t="shared" si="37"/>
        <v>-2.5709116053620269E-3</v>
      </c>
      <c r="D1159" s="2">
        <f t="shared" si="38"/>
        <v>-2.5709116053620269E-3</v>
      </c>
    </row>
    <row r="1160" spans="1:4" x14ac:dyDescent="0.3">
      <c r="A1160" s="1">
        <v>45903</v>
      </c>
      <c r="B1160">
        <v>80567.710000000006</v>
      </c>
      <c r="C1160">
        <f t="shared" si="37"/>
        <v>5.1127849189624491E-3</v>
      </c>
      <c r="D1160" s="2">
        <f t="shared" si="38"/>
        <v>5.1127849189624491E-3</v>
      </c>
    </row>
    <row r="1161" spans="1:4" x14ac:dyDescent="0.3">
      <c r="A1161" s="1">
        <v>45904</v>
      </c>
      <c r="B1161">
        <v>80718.009999999995</v>
      </c>
      <c r="C1161">
        <f t="shared" si="37"/>
        <v>1.8655116299071718E-3</v>
      </c>
      <c r="D1161" s="2">
        <f t="shared" si="38"/>
        <v>1.8655116299071718E-3</v>
      </c>
    </row>
    <row r="1162" spans="1:4" x14ac:dyDescent="0.3">
      <c r="A1162" s="1">
        <v>45905</v>
      </c>
      <c r="B1162">
        <v>80710.759999999995</v>
      </c>
      <c r="C1162">
        <f t="shared" si="37"/>
        <v>-8.981886446407686E-5</v>
      </c>
      <c r="D1162" s="2">
        <f t="shared" si="38"/>
        <v>-8.981886446407686E-5</v>
      </c>
    </row>
    <row r="1163" spans="1:4" x14ac:dyDescent="0.3">
      <c r="A1163" s="1">
        <v>45908</v>
      </c>
      <c r="B1163">
        <v>80787.3</v>
      </c>
      <c r="C1163">
        <f t="shared" si="37"/>
        <v>9.4832461000253444E-4</v>
      </c>
      <c r="D1163" s="2">
        <f t="shared" si="38"/>
        <v>9.4832461000253444E-4</v>
      </c>
    </row>
    <row r="1164" spans="1:4" x14ac:dyDescent="0.3">
      <c r="A1164" s="1">
        <v>45909</v>
      </c>
      <c r="B1164">
        <v>81101.320000000007</v>
      </c>
      <c r="C1164">
        <f t="shared" si="37"/>
        <v>3.8869970898891791E-3</v>
      </c>
      <c r="D1164" s="2">
        <f t="shared" si="38"/>
        <v>3.8869970898891791E-3</v>
      </c>
    </row>
    <row r="1165" spans="1:4" x14ac:dyDescent="0.3">
      <c r="A1165" s="1">
        <v>45910</v>
      </c>
      <c r="B1165">
        <v>81425.149999999994</v>
      </c>
      <c r="C1165">
        <f t="shared" si="37"/>
        <v>3.9929066505944317E-3</v>
      </c>
      <c r="D1165" s="2">
        <f t="shared" si="38"/>
        <v>3.9929066505944317E-3</v>
      </c>
    </row>
    <row r="1166" spans="1:4" x14ac:dyDescent="0.3">
      <c r="A1166" s="1">
        <v>45911</v>
      </c>
      <c r="B1166">
        <v>81548.73</v>
      </c>
      <c r="C1166">
        <f t="shared" si="37"/>
        <v>1.5177128933751029E-3</v>
      </c>
      <c r="D1166" s="2">
        <f t="shared" si="38"/>
        <v>1.5177128933751029E-3</v>
      </c>
    </row>
    <row r="1167" spans="1:4" x14ac:dyDescent="0.3">
      <c r="A1167" s="1">
        <v>45912</v>
      </c>
      <c r="B1167">
        <v>81904.7</v>
      </c>
      <c r="C1167">
        <f t="shared" si="37"/>
        <v>4.3651200944515162E-3</v>
      </c>
      <c r="D1167" s="2">
        <f t="shared" si="38"/>
        <v>4.3651200944515162E-3</v>
      </c>
    </row>
    <row r="1168" spans="1:4" x14ac:dyDescent="0.3">
      <c r="A1168" s="1">
        <v>45915</v>
      </c>
      <c r="B1168">
        <v>81785.740000000005</v>
      </c>
      <c r="C1168">
        <f t="shared" si="37"/>
        <v>-1.4524197024101408E-3</v>
      </c>
      <c r="D1168" s="2">
        <f t="shared" si="38"/>
        <v>-1.4524197024101408E-3</v>
      </c>
    </row>
    <row r="1169" spans="1:4" x14ac:dyDescent="0.3">
      <c r="A1169" s="1">
        <v>45916</v>
      </c>
      <c r="B1169">
        <v>82380.69</v>
      </c>
      <c r="C1169">
        <f t="shared" si="37"/>
        <v>7.2744955294162163E-3</v>
      </c>
      <c r="D1169" s="2">
        <f t="shared" si="38"/>
        <v>7.2744955294162163E-3</v>
      </c>
    </row>
    <row r="1170" spans="1:4" x14ac:dyDescent="0.3">
      <c r="A1170" s="1">
        <v>45917</v>
      </c>
      <c r="B1170">
        <v>82693.710000000006</v>
      </c>
      <c r="C1170">
        <f t="shared" si="37"/>
        <v>3.7996768417453662E-3</v>
      </c>
      <c r="D1170" s="2">
        <f t="shared" si="38"/>
        <v>3.7996768417453662E-3</v>
      </c>
    </row>
    <row r="1171" spans="1:4" x14ac:dyDescent="0.3">
      <c r="A1171" s="1">
        <v>45918</v>
      </c>
      <c r="B1171">
        <v>83013.960000000006</v>
      </c>
      <c r="C1171">
        <f t="shared" si="37"/>
        <v>3.87272502346309E-3</v>
      </c>
      <c r="D1171" s="2">
        <f t="shared" si="38"/>
        <v>3.87272502346309E-3</v>
      </c>
    </row>
    <row r="1172" spans="1:4" x14ac:dyDescent="0.3">
      <c r="A1172" s="1">
        <v>45919</v>
      </c>
      <c r="B1172">
        <v>82626.23</v>
      </c>
      <c r="C1172">
        <f t="shared" si="37"/>
        <v>-4.670660211848832E-3</v>
      </c>
      <c r="D1172" s="2">
        <f t="shared" si="38"/>
        <v>-4.670660211848832E-3</v>
      </c>
    </row>
    <row r="1173" spans="1:4" x14ac:dyDescent="0.3">
      <c r="A1173" s="1">
        <v>45922</v>
      </c>
      <c r="B1173">
        <v>82159.97</v>
      </c>
      <c r="C1173">
        <f t="shared" si="37"/>
        <v>-5.6430022282269784E-3</v>
      </c>
      <c r="D1173" s="2">
        <f t="shared" si="38"/>
        <v>-5.6430022282269784E-3</v>
      </c>
    </row>
    <row r="1174" spans="1:4" x14ac:dyDescent="0.3">
      <c r="A1174" s="1">
        <v>45923</v>
      </c>
      <c r="B1174">
        <v>82102.100000000006</v>
      </c>
      <c r="C1174">
        <f t="shared" si="37"/>
        <v>-7.0435760869916753E-4</v>
      </c>
      <c r="D1174" s="2">
        <f t="shared" si="38"/>
        <v>-7.0435760869916753E-4</v>
      </c>
    </row>
    <row r="1175" spans="1:4" x14ac:dyDescent="0.3">
      <c r="A1175" s="1">
        <v>45924</v>
      </c>
      <c r="B1175">
        <v>81715.63</v>
      </c>
      <c r="C1175">
        <f t="shared" si="37"/>
        <v>-4.7071877576822171E-3</v>
      </c>
      <c r="D1175" s="2">
        <f t="shared" si="38"/>
        <v>-4.7071877576822171E-3</v>
      </c>
    </row>
    <row r="1176" spans="1:4" x14ac:dyDescent="0.3">
      <c r="A1176" s="1">
        <v>45925</v>
      </c>
      <c r="B1176">
        <v>81159.679999999993</v>
      </c>
      <c r="C1176">
        <f t="shared" si="37"/>
        <v>-6.8034719918332832E-3</v>
      </c>
      <c r="D1176" s="2">
        <f t="shared" si="38"/>
        <v>-6.8034719918332832E-3</v>
      </c>
    </row>
    <row r="1177" spans="1:4" x14ac:dyDescent="0.3">
      <c r="A1177" s="1">
        <v>45926</v>
      </c>
      <c r="B1177">
        <v>80426.460000000006</v>
      </c>
      <c r="C1177">
        <f t="shared" si="37"/>
        <v>-9.0342889474180604E-3</v>
      </c>
      <c r="D1177" s="2">
        <f t="shared" si="38"/>
        <v>-9.0342889474180604E-3</v>
      </c>
    </row>
    <row r="1178" spans="1:4" x14ac:dyDescent="0.3">
      <c r="A1178" s="1">
        <v>45929</v>
      </c>
      <c r="B1178">
        <v>80364.94</v>
      </c>
      <c r="C1178">
        <f t="shared" si="37"/>
        <v>-7.6492238996971984E-4</v>
      </c>
      <c r="D1178" s="2">
        <f t="shared" si="38"/>
        <v>-7.6492238996971984E-4</v>
      </c>
    </row>
    <row r="1179" spans="1:4" x14ac:dyDescent="0.3">
      <c r="A1179" s="1">
        <v>45930</v>
      </c>
      <c r="B1179">
        <v>80267.62</v>
      </c>
      <c r="C1179">
        <f t="shared" si="37"/>
        <v>-1.2109758310030092E-3</v>
      </c>
      <c r="D1179" s="2">
        <f t="shared" si="38"/>
        <v>-1.2109758310030092E-3</v>
      </c>
    </row>
    <row r="1180" spans="1:4" x14ac:dyDescent="0.3">
      <c r="A1180" s="1">
        <v>45931</v>
      </c>
      <c r="B1180">
        <v>80983.31</v>
      </c>
      <c r="C1180">
        <f t="shared" si="37"/>
        <v>8.9162977549353314E-3</v>
      </c>
      <c r="D1180" s="2">
        <f t="shared" si="38"/>
        <v>8.9162977549353314E-3</v>
      </c>
    </row>
    <row r="1181" spans="1:4" x14ac:dyDescent="0.3">
      <c r="A1181" s="1">
        <v>45933</v>
      </c>
      <c r="B1181">
        <v>81207.17</v>
      </c>
      <c r="C1181">
        <f t="shared" si="37"/>
        <v>2.7642732805068177E-3</v>
      </c>
      <c r="D1181" s="2">
        <f t="shared" si="38"/>
        <v>2.7642732805068177E-3</v>
      </c>
    </row>
    <row r="1182" spans="1:4" x14ac:dyDescent="0.3">
      <c r="A1182" s="1">
        <v>45936</v>
      </c>
      <c r="B1182">
        <v>81790.12</v>
      </c>
      <c r="C1182">
        <f t="shared" si="37"/>
        <v>7.1785533223235965E-3</v>
      </c>
      <c r="D1182" s="2">
        <f t="shared" si="38"/>
        <v>7.1785533223235965E-3</v>
      </c>
    </row>
    <row r="1183" spans="1:4" x14ac:dyDescent="0.3">
      <c r="A1183" s="1">
        <v>45937</v>
      </c>
      <c r="B1183">
        <v>81926.75</v>
      </c>
      <c r="C1183">
        <f t="shared" si="37"/>
        <v>1.6704951649417394E-3</v>
      </c>
      <c r="D1183" s="2">
        <f t="shared" si="38"/>
        <v>1.6704951649417394E-3</v>
      </c>
    </row>
    <row r="1184" spans="1:4" x14ac:dyDescent="0.3">
      <c r="A1184" s="1">
        <v>45938</v>
      </c>
      <c r="B1184">
        <v>81773.66</v>
      </c>
      <c r="C1184">
        <f t="shared" si="37"/>
        <v>-1.8686204444823761E-3</v>
      </c>
      <c r="D1184" s="2">
        <f t="shared" si="38"/>
        <v>-1.8686204444823761E-3</v>
      </c>
    </row>
    <row r="1185" spans="1:4" x14ac:dyDescent="0.3">
      <c r="A1185" s="1">
        <v>45939</v>
      </c>
      <c r="B1185">
        <v>82172.100000000006</v>
      </c>
      <c r="C1185">
        <f t="shared" si="37"/>
        <v>4.8724736058041469E-3</v>
      </c>
      <c r="D1185" s="2">
        <f t="shared" si="38"/>
        <v>4.8724736058041469E-3</v>
      </c>
    </row>
    <row r="1186" spans="1:4" x14ac:dyDescent="0.3">
      <c r="A1186" s="1">
        <v>45940</v>
      </c>
      <c r="B1186">
        <v>82500.820000000007</v>
      </c>
      <c r="C1186">
        <f t="shared" si="37"/>
        <v>4.0003845587492735E-3</v>
      </c>
      <c r="D1186" s="2">
        <f t="shared" si="38"/>
        <v>4.0003845587492735E-3</v>
      </c>
    </row>
    <row r="1187" spans="1:4" x14ac:dyDescent="0.3">
      <c r="A1187" s="1">
        <v>45943</v>
      </c>
      <c r="B1187">
        <v>82327.05</v>
      </c>
      <c r="C1187">
        <f t="shared" si="37"/>
        <v>-2.1062820951355883E-3</v>
      </c>
      <c r="D1187" s="2">
        <f t="shared" si="38"/>
        <v>-2.1062820951355883E-3</v>
      </c>
    </row>
    <row r="1188" spans="1:4" x14ac:dyDescent="0.3">
      <c r="A1188" s="1">
        <v>45944</v>
      </c>
      <c r="B1188">
        <v>82029.98</v>
      </c>
      <c r="C1188">
        <f t="shared" si="37"/>
        <v>-3.6084130307111328E-3</v>
      </c>
      <c r="D1188" s="2">
        <f t="shared" si="38"/>
        <v>-3.6084130307111328E-3</v>
      </c>
    </row>
    <row r="1189" spans="1:4" x14ac:dyDescent="0.3">
      <c r="A1189" s="1">
        <v>45945</v>
      </c>
      <c r="B1189">
        <v>82605.429999999993</v>
      </c>
      <c r="C1189">
        <f t="shared" si="37"/>
        <v>7.0151181312002892E-3</v>
      </c>
      <c r="D1189" s="2">
        <f t="shared" si="38"/>
        <v>7.0151181312002892E-3</v>
      </c>
    </row>
    <row r="1190" spans="1:4" x14ac:dyDescent="0.3">
      <c r="A1190" s="1">
        <v>45946</v>
      </c>
      <c r="B1190">
        <v>83467.66</v>
      </c>
      <c r="C1190">
        <f t="shared" si="37"/>
        <v>1.043793368063105E-2</v>
      </c>
      <c r="D1190" s="2">
        <f t="shared" si="38"/>
        <v>1.043793368063105E-2</v>
      </c>
    </row>
    <row r="1191" spans="1:4" x14ac:dyDescent="0.3">
      <c r="A1191" s="1">
        <v>45947</v>
      </c>
      <c r="B1191">
        <v>83952.19</v>
      </c>
      <c r="C1191">
        <f t="shared" si="37"/>
        <v>5.8050027998867923E-3</v>
      </c>
      <c r="D1191" s="2">
        <f t="shared" si="38"/>
        <v>5.8050027998867923E-3</v>
      </c>
    </row>
    <row r="1192" spans="1:4" x14ac:dyDescent="0.3">
      <c r="A1192" s="1">
        <v>45950</v>
      </c>
      <c r="B1192">
        <v>84363.37</v>
      </c>
      <c r="C1192">
        <f t="shared" si="37"/>
        <v>4.8977876574749632E-3</v>
      </c>
      <c r="D1192" s="2">
        <f t="shared" si="38"/>
        <v>4.8977876574749632E-3</v>
      </c>
    </row>
    <row r="1193" spans="1:4" x14ac:dyDescent="0.3">
      <c r="A1193" s="1">
        <v>45951</v>
      </c>
      <c r="B1193">
        <v>84426.34</v>
      </c>
      <c r="C1193">
        <f t="shared" si="37"/>
        <v>7.4641399460454426E-4</v>
      </c>
      <c r="D1193" s="2">
        <f t="shared" si="38"/>
        <v>7.4641399460454426E-4</v>
      </c>
    </row>
    <row r="1194" spans="1:4" x14ac:dyDescent="0.3">
      <c r="A1194" s="1">
        <v>45953</v>
      </c>
      <c r="B1194">
        <v>84556.4</v>
      </c>
      <c r="C1194">
        <f t="shared" si="37"/>
        <v>1.5405144887246998E-3</v>
      </c>
      <c r="D1194" s="2">
        <f t="shared" si="38"/>
        <v>1.5405144887246998E-3</v>
      </c>
    </row>
    <row r="1195" spans="1:4" x14ac:dyDescent="0.3">
      <c r="A1195" s="1">
        <v>45954</v>
      </c>
      <c r="B1195">
        <v>84211.88</v>
      </c>
      <c r="C1195">
        <f t="shared" si="37"/>
        <v>-4.074440255261453E-3</v>
      </c>
      <c r="D1195" s="2">
        <f t="shared" si="38"/>
        <v>-4.074440255261453E-3</v>
      </c>
    </row>
    <row r="1196" spans="1:4" x14ac:dyDescent="0.3">
      <c r="A1196" s="1">
        <v>45957</v>
      </c>
      <c r="B1196">
        <v>84778.84</v>
      </c>
      <c r="C1196">
        <f t="shared" si="37"/>
        <v>6.7325417743908794E-3</v>
      </c>
      <c r="D1196" s="2">
        <f t="shared" si="38"/>
        <v>6.7325417743908794E-3</v>
      </c>
    </row>
    <row r="1197" spans="1:4" x14ac:dyDescent="0.3">
      <c r="A1197" s="1">
        <v>45958</v>
      </c>
      <c r="B1197">
        <v>84628.160000000003</v>
      </c>
      <c r="C1197">
        <f t="shared" si="37"/>
        <v>-1.7773302866610705E-3</v>
      </c>
      <c r="D1197" s="2">
        <f t="shared" si="38"/>
        <v>-1.7773302866610705E-3</v>
      </c>
    </row>
    <row r="1198" spans="1:4" x14ac:dyDescent="0.3">
      <c r="A1198" s="1">
        <v>45959</v>
      </c>
      <c r="B1198">
        <v>84997.13</v>
      </c>
      <c r="C1198">
        <f t="shared" si="37"/>
        <v>4.3598962803870619E-3</v>
      </c>
      <c r="D1198" s="2">
        <f t="shared" si="38"/>
        <v>4.3598962803870619E-3</v>
      </c>
    </row>
    <row r="1199" spans="1:4" x14ac:dyDescent="0.3">
      <c r="A1199" s="1">
        <v>45960</v>
      </c>
      <c r="B1199">
        <v>84404.46</v>
      </c>
      <c r="C1199">
        <f t="shared" si="37"/>
        <v>-6.9728236706345049E-3</v>
      </c>
      <c r="D1199" s="2">
        <f t="shared" si="38"/>
        <v>-6.9728236706345049E-3</v>
      </c>
    </row>
    <row r="1200" spans="1:4" x14ac:dyDescent="0.3">
      <c r="A1200" s="1">
        <v>45961</v>
      </c>
      <c r="B1200">
        <v>83938.71</v>
      </c>
      <c r="C1200">
        <f t="shared" si="37"/>
        <v>-5.5180733340394568E-3</v>
      </c>
      <c r="D1200" s="2">
        <f t="shared" si="38"/>
        <v>-5.5180733340394568E-3</v>
      </c>
    </row>
    <row r="1201" spans="1:4" x14ac:dyDescent="0.3">
      <c r="A1201" s="1">
        <v>45964</v>
      </c>
      <c r="B1201">
        <v>83978.49</v>
      </c>
      <c r="C1201">
        <f t="shared" si="37"/>
        <v>4.7391721888505117E-4</v>
      </c>
      <c r="D1201" s="2">
        <f t="shared" si="38"/>
        <v>4.7391721888505117E-4</v>
      </c>
    </row>
    <row r="1202" spans="1:4" x14ac:dyDescent="0.3">
      <c r="A1202" s="1">
        <v>45965</v>
      </c>
      <c r="B1202">
        <v>83459.149999999994</v>
      </c>
      <c r="C1202">
        <f t="shared" si="37"/>
        <v>-6.184202645225117E-3</v>
      </c>
      <c r="D1202" s="2">
        <f t="shared" si="38"/>
        <v>-6.184202645225117E-3</v>
      </c>
    </row>
    <row r="1203" spans="1:4" x14ac:dyDescent="0.3">
      <c r="A1203" s="1">
        <v>45967</v>
      </c>
      <c r="B1203">
        <v>83311.009999999995</v>
      </c>
      <c r="C1203">
        <f t="shared" si="37"/>
        <v>-1.7750001048417031E-3</v>
      </c>
      <c r="D1203" s="2">
        <f t="shared" si="38"/>
        <v>-1.7750001048417031E-3</v>
      </c>
    </row>
    <row r="1204" spans="1:4" x14ac:dyDescent="0.3">
      <c r="A1204" s="1">
        <v>45968</v>
      </c>
      <c r="B1204">
        <v>83216.28</v>
      </c>
      <c r="C1204">
        <f t="shared" si="37"/>
        <v>-1.1370645968641591E-3</v>
      </c>
      <c r="D1204" s="2">
        <f t="shared" si="38"/>
        <v>-1.1370645968641591E-3</v>
      </c>
    </row>
    <row r="1205" spans="1:4" x14ac:dyDescent="0.3">
      <c r="A1205" s="1">
        <v>45971</v>
      </c>
      <c r="B1205">
        <v>83535.350000000006</v>
      </c>
      <c r="C1205">
        <f t="shared" si="37"/>
        <v>3.834225706796879E-3</v>
      </c>
      <c r="D1205" s="2">
        <f t="shared" si="38"/>
        <v>3.834225706796879E-3</v>
      </c>
    </row>
    <row r="1206" spans="1:4" x14ac:dyDescent="0.3">
      <c r="A1206" s="1">
        <v>45972</v>
      </c>
      <c r="B1206">
        <v>83871.320000000007</v>
      </c>
      <c r="C1206">
        <f t="shared" si="37"/>
        <v>4.0218901339373232E-3</v>
      </c>
      <c r="D1206" s="2">
        <f t="shared" si="38"/>
        <v>4.0218901339373232E-3</v>
      </c>
    </row>
    <row r="1207" spans="1:4" x14ac:dyDescent="0.3">
      <c r="A1207" s="1">
        <v>45973</v>
      </c>
      <c r="B1207">
        <v>84466.51</v>
      </c>
      <c r="C1207">
        <f t="shared" si="37"/>
        <v>7.0964663486873429E-3</v>
      </c>
      <c r="D1207" s="2">
        <f t="shared" si="38"/>
        <v>7.0964663486873429E-3</v>
      </c>
    </row>
    <row r="1208" spans="1:4" x14ac:dyDescent="0.3">
      <c r="A1208" s="1">
        <v>45974</v>
      </c>
      <c r="B1208">
        <v>84478.67</v>
      </c>
      <c r="C1208">
        <f t="shared" si="37"/>
        <v>1.4396238225071088E-4</v>
      </c>
      <c r="D1208" s="2">
        <f t="shared" si="38"/>
        <v>1.4396238225071088E-4</v>
      </c>
    </row>
    <row r="1209" spans="1:4" x14ac:dyDescent="0.3">
      <c r="A1209" s="1">
        <v>45975</v>
      </c>
      <c r="B1209">
        <v>84562.78</v>
      </c>
      <c r="C1209">
        <f t="shared" si="37"/>
        <v>9.9563593981771468E-4</v>
      </c>
      <c r="D1209" s="2">
        <f t="shared" si="38"/>
        <v>9.9563593981771468E-4</v>
      </c>
    </row>
    <row r="1210" spans="1:4" x14ac:dyDescent="0.3">
      <c r="A1210" s="1">
        <v>45978</v>
      </c>
      <c r="B1210">
        <v>84950.95</v>
      </c>
      <c r="C1210">
        <f t="shared" si="37"/>
        <v>4.5903173949579032E-3</v>
      </c>
      <c r="D1210" s="2">
        <f t="shared" si="38"/>
        <v>4.5903173949579032E-3</v>
      </c>
    </row>
    <row r="1211" spans="1:4" x14ac:dyDescent="0.3">
      <c r="A1211" s="1">
        <v>45979</v>
      </c>
      <c r="B1211">
        <v>84673.02</v>
      </c>
      <c r="C1211">
        <f t="shared" si="37"/>
        <v>-3.2716526419068067E-3</v>
      </c>
      <c r="D1211" s="2">
        <f t="shared" si="38"/>
        <v>-3.2716526419068067E-3</v>
      </c>
    </row>
    <row r="1212" spans="1:4" x14ac:dyDescent="0.3">
      <c r="A1212" s="1">
        <v>45980</v>
      </c>
      <c r="B1212">
        <v>85186.47</v>
      </c>
      <c r="C1212">
        <f t="shared" si="37"/>
        <v>6.0639150463748315E-3</v>
      </c>
      <c r="D1212" s="2">
        <f t="shared" si="38"/>
        <v>6.0639150463748315E-3</v>
      </c>
    </row>
    <row r="1213" spans="1:4" x14ac:dyDescent="0.3">
      <c r="A1213" s="1">
        <v>45981</v>
      </c>
      <c r="B1213">
        <v>85632.68</v>
      </c>
      <c r="C1213">
        <f t="shared" si="37"/>
        <v>5.2380383880209127E-3</v>
      </c>
      <c r="D1213" s="2">
        <f t="shared" si="38"/>
        <v>5.2380383880209127E-3</v>
      </c>
    </row>
    <row r="1214" spans="1:4" x14ac:dyDescent="0.3">
      <c r="A1214" s="1">
        <v>45982</v>
      </c>
      <c r="B1214">
        <v>85231.92</v>
      </c>
      <c r="C1214">
        <f t="shared" si="37"/>
        <v>-4.6799889948556418E-3</v>
      </c>
      <c r="D1214" s="2">
        <f t="shared" si="38"/>
        <v>-4.6799889948556418E-3</v>
      </c>
    </row>
    <row r="1215" spans="1:4" x14ac:dyDescent="0.3">
      <c r="A1215" s="1">
        <v>45985</v>
      </c>
      <c r="B1215">
        <v>84900.71</v>
      </c>
      <c r="C1215">
        <f t="shared" si="37"/>
        <v>-3.885985438319257E-3</v>
      </c>
      <c r="D1215" s="2">
        <f t="shared" si="38"/>
        <v>-3.885985438319257E-3</v>
      </c>
    </row>
    <row r="1216" spans="1:4" x14ac:dyDescent="0.3">
      <c r="A1216" s="1">
        <v>45986</v>
      </c>
      <c r="B1216">
        <v>84587.01</v>
      </c>
      <c r="C1216">
        <f t="shared" si="37"/>
        <v>-3.6949043182325759E-3</v>
      </c>
      <c r="D1216" s="2">
        <f t="shared" si="38"/>
        <v>-3.6949043182325759E-3</v>
      </c>
    </row>
    <row r="1217" spans="1:4" x14ac:dyDescent="0.3">
      <c r="A1217" s="1">
        <v>45987</v>
      </c>
      <c r="B1217">
        <v>85609.51</v>
      </c>
      <c r="C1217">
        <f t="shared" si="37"/>
        <v>1.2088144503511828E-2</v>
      </c>
      <c r="D1217" s="2">
        <f t="shared" si="38"/>
        <v>1.2088144503511828E-2</v>
      </c>
    </row>
    <row r="1218" spans="1:4" x14ac:dyDescent="0.3">
      <c r="A1218" s="1">
        <v>45988</v>
      </c>
      <c r="B1218">
        <v>85720.38</v>
      </c>
      <c r="C1218">
        <f t="shared" si="37"/>
        <v>1.2950664009174903E-3</v>
      </c>
      <c r="D1218" s="2">
        <f t="shared" si="38"/>
        <v>1.2950664009174903E-3</v>
      </c>
    </row>
    <row r="1219" spans="1:4" x14ac:dyDescent="0.3">
      <c r="A1219" s="1">
        <v>45989</v>
      </c>
      <c r="B1219">
        <v>85706.67</v>
      </c>
      <c r="C1219">
        <f t="shared" si="37"/>
        <v>-1.5993862836359804E-4</v>
      </c>
      <c r="D1219" s="2">
        <f t="shared" si="38"/>
        <v>-1.5993862836359804E-4</v>
      </c>
    </row>
    <row r="1220" spans="1:4" x14ac:dyDescent="0.3">
      <c r="A1220" s="1">
        <v>45992</v>
      </c>
      <c r="B1220">
        <v>85641.9</v>
      </c>
      <c r="C1220">
        <f t="shared" ref="C1220:C1241" si="39">(B1220-B1219)/B1219</f>
        <v>-7.557171454684224E-4</v>
      </c>
      <c r="D1220" s="2">
        <f t="shared" ref="D1220:D1241" si="40">(B1220-B1219)/B1219</f>
        <v>-7.557171454684224E-4</v>
      </c>
    </row>
    <row r="1221" spans="1:4" x14ac:dyDescent="0.3">
      <c r="A1221" s="1">
        <v>45993</v>
      </c>
      <c r="B1221">
        <v>85138.27</v>
      </c>
      <c r="C1221">
        <f t="shared" si="39"/>
        <v>-5.880649541871329E-3</v>
      </c>
      <c r="D1221" s="2">
        <f t="shared" si="40"/>
        <v>-5.880649541871329E-3</v>
      </c>
    </row>
    <row r="1222" spans="1:4" x14ac:dyDescent="0.3">
      <c r="A1222" s="1">
        <v>45994</v>
      </c>
      <c r="B1222">
        <v>85106.81</v>
      </c>
      <c r="C1222">
        <f t="shared" si="39"/>
        <v>-3.6951655230962996E-4</v>
      </c>
      <c r="D1222" s="2">
        <f t="shared" si="40"/>
        <v>-3.6951655230962996E-4</v>
      </c>
    </row>
    <row r="1223" spans="1:4" x14ac:dyDescent="0.3">
      <c r="A1223" s="1">
        <v>45995</v>
      </c>
      <c r="B1223">
        <v>85265.32</v>
      </c>
      <c r="C1223">
        <f t="shared" si="39"/>
        <v>1.8624831549908794E-3</v>
      </c>
      <c r="D1223" s="2">
        <f t="shared" si="40"/>
        <v>1.8624831549908794E-3</v>
      </c>
    </row>
    <row r="1224" spans="1:4" x14ac:dyDescent="0.3">
      <c r="A1224" s="1">
        <v>45996</v>
      </c>
      <c r="B1224">
        <v>85712.37</v>
      </c>
      <c r="C1224">
        <f t="shared" si="39"/>
        <v>5.2430460590541187E-3</v>
      </c>
      <c r="D1224" s="2">
        <f t="shared" si="40"/>
        <v>5.2430460590541187E-3</v>
      </c>
    </row>
    <row r="1225" spans="1:4" x14ac:dyDescent="0.3">
      <c r="A1225" s="1">
        <v>45999</v>
      </c>
      <c r="B1225">
        <v>85102.69</v>
      </c>
      <c r="C1225">
        <f t="shared" si="39"/>
        <v>-7.113092310946402E-3</v>
      </c>
      <c r="D1225" s="2">
        <f t="shared" si="40"/>
        <v>-7.113092310946402E-3</v>
      </c>
    </row>
    <row r="1226" spans="1:4" x14ac:dyDescent="0.3">
      <c r="A1226" s="1">
        <v>46000</v>
      </c>
      <c r="B1226">
        <v>84666.28</v>
      </c>
      <c r="C1226">
        <f t="shared" si="39"/>
        <v>-5.1280400184765427E-3</v>
      </c>
      <c r="D1226" s="2">
        <f t="shared" si="40"/>
        <v>-5.1280400184765427E-3</v>
      </c>
    </row>
    <row r="1227" spans="1:4" x14ac:dyDescent="0.3">
      <c r="A1227" s="1">
        <v>46001</v>
      </c>
      <c r="B1227">
        <v>84391.27</v>
      </c>
      <c r="C1227">
        <f t="shared" si="39"/>
        <v>-3.2481644404359655E-3</v>
      </c>
      <c r="D1227" s="2">
        <f t="shared" si="40"/>
        <v>-3.2481644404359655E-3</v>
      </c>
    </row>
    <row r="1228" spans="1:4" x14ac:dyDescent="0.3">
      <c r="A1228" s="1">
        <v>46002</v>
      </c>
      <c r="B1228">
        <v>84818.13</v>
      </c>
      <c r="C1228">
        <f t="shared" si="39"/>
        <v>5.0581061287500537E-3</v>
      </c>
      <c r="D1228" s="2">
        <f t="shared" si="40"/>
        <v>5.0581061287500537E-3</v>
      </c>
    </row>
    <row r="1229" spans="1:4" x14ac:dyDescent="0.3">
      <c r="A1229" s="1">
        <v>46003</v>
      </c>
      <c r="B1229">
        <v>85267.66</v>
      </c>
      <c r="C1229">
        <f t="shared" si="39"/>
        <v>5.2999282111029656E-3</v>
      </c>
      <c r="D1229" s="2">
        <f t="shared" si="40"/>
        <v>5.2999282111029656E-3</v>
      </c>
    </row>
    <row r="1230" spans="1:4" x14ac:dyDescent="0.3">
      <c r="A1230" s="1">
        <v>46006</v>
      </c>
      <c r="B1230">
        <v>85213.36</v>
      </c>
      <c r="C1230">
        <f t="shared" si="39"/>
        <v>-6.3681822627714788E-4</v>
      </c>
      <c r="D1230" s="2">
        <f t="shared" si="40"/>
        <v>-6.3681822627714788E-4</v>
      </c>
    </row>
    <row r="1231" spans="1:4" x14ac:dyDescent="0.3">
      <c r="A1231" s="1">
        <v>46007</v>
      </c>
      <c r="B1231">
        <v>84679.86</v>
      </c>
      <c r="C1231">
        <f t="shared" si="39"/>
        <v>-6.2607553557329507E-3</v>
      </c>
      <c r="D1231" s="2">
        <f t="shared" si="40"/>
        <v>-6.2607553557329507E-3</v>
      </c>
    </row>
    <row r="1232" spans="1:4" x14ac:dyDescent="0.3">
      <c r="A1232" s="1">
        <v>46008</v>
      </c>
      <c r="B1232">
        <v>84559.65</v>
      </c>
      <c r="C1232">
        <f t="shared" si="39"/>
        <v>-1.4195819407354523E-3</v>
      </c>
      <c r="D1232" s="2">
        <f t="shared" si="40"/>
        <v>-1.4195819407354523E-3</v>
      </c>
    </row>
    <row r="1233" spans="1:4" x14ac:dyDescent="0.3">
      <c r="A1233" s="1">
        <v>46009</v>
      </c>
      <c r="B1233">
        <v>84481.81</v>
      </c>
      <c r="C1233">
        <f t="shared" si="39"/>
        <v>-9.2053361148013873E-4</v>
      </c>
      <c r="D1233" s="2">
        <f t="shared" si="40"/>
        <v>-9.2053361148013873E-4</v>
      </c>
    </row>
    <row r="1234" spans="1:4" x14ac:dyDescent="0.3">
      <c r="A1234" s="1">
        <v>46010</v>
      </c>
      <c r="B1234">
        <v>84929.36</v>
      </c>
      <c r="C1234">
        <f t="shared" si="39"/>
        <v>5.2975900966137314E-3</v>
      </c>
      <c r="D1234" s="2">
        <f t="shared" si="40"/>
        <v>5.2975900966137314E-3</v>
      </c>
    </row>
    <row r="1235" spans="1:4" x14ac:dyDescent="0.3">
      <c r="A1235" s="1">
        <v>46013</v>
      </c>
      <c r="B1235">
        <v>85567.48</v>
      </c>
      <c r="C1235">
        <f t="shared" si="39"/>
        <v>7.5135383099554191E-3</v>
      </c>
      <c r="D1235" s="2">
        <f t="shared" si="40"/>
        <v>7.5135383099554191E-3</v>
      </c>
    </row>
    <row r="1236" spans="1:4" x14ac:dyDescent="0.3">
      <c r="A1236" s="1">
        <v>46014</v>
      </c>
      <c r="B1236">
        <v>85524.84</v>
      </c>
      <c r="C1236">
        <f t="shared" si="39"/>
        <v>-4.9832015620887072E-4</v>
      </c>
      <c r="D1236" s="2">
        <f t="shared" si="40"/>
        <v>-4.9832015620887072E-4</v>
      </c>
    </row>
    <row r="1237" spans="1:4" x14ac:dyDescent="0.3">
      <c r="A1237" s="1">
        <v>46015</v>
      </c>
      <c r="B1237">
        <v>85408.7</v>
      </c>
      <c r="C1237">
        <f t="shared" si="39"/>
        <v>-1.3579680476455661E-3</v>
      </c>
      <c r="D1237" s="2">
        <f t="shared" si="40"/>
        <v>-1.3579680476455661E-3</v>
      </c>
    </row>
    <row r="1238" spans="1:4" x14ac:dyDescent="0.3">
      <c r="A1238" s="1">
        <v>46017</v>
      </c>
      <c r="B1238">
        <v>85041.45</v>
      </c>
      <c r="C1238">
        <f t="shared" si="39"/>
        <v>-4.2999132406885947E-3</v>
      </c>
      <c r="D1238" s="2">
        <f t="shared" si="40"/>
        <v>-4.2999132406885947E-3</v>
      </c>
    </row>
    <row r="1239" spans="1:4" x14ac:dyDescent="0.3">
      <c r="A1239" s="1">
        <v>46020</v>
      </c>
      <c r="B1239">
        <v>84695.54</v>
      </c>
      <c r="C1239">
        <f t="shared" si="39"/>
        <v>-4.0675458849773081E-3</v>
      </c>
      <c r="D1239" s="2">
        <f t="shared" si="40"/>
        <v>-4.0675458849773081E-3</v>
      </c>
    </row>
    <row r="1240" spans="1:4" x14ac:dyDescent="0.3">
      <c r="A1240" s="1">
        <v>46021</v>
      </c>
      <c r="B1240">
        <v>84675.08</v>
      </c>
      <c r="C1240">
        <f t="shared" si="39"/>
        <v>-2.4157116183439945E-4</v>
      </c>
      <c r="D1240" s="2">
        <f t="shared" si="40"/>
        <v>-2.4157116183439945E-4</v>
      </c>
    </row>
    <row r="1241" spans="1:4" x14ac:dyDescent="0.3">
      <c r="A1241" s="1">
        <v>46022</v>
      </c>
      <c r="B1241">
        <v>85220.6</v>
      </c>
      <c r="C1241">
        <f t="shared" si="39"/>
        <v>6.4425094136315439E-3</v>
      </c>
      <c r="D1241" s="2">
        <f t="shared" si="40"/>
        <v>6.4425094136315439E-3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A7502-D7BE-4F98-89B9-3AF01E3944BB}">
  <dimension ref="A1:B7"/>
  <sheetViews>
    <sheetView workbookViewId="0">
      <selection activeCell="B2" sqref="B2"/>
    </sheetView>
  </sheetViews>
  <sheetFormatPr defaultColWidth="12" defaultRowHeight="14.4" x14ac:dyDescent="0.3"/>
  <cols>
    <col min="1" max="1" width="60.109375" customWidth="1"/>
    <col min="5" max="5" width="59.44140625" customWidth="1"/>
  </cols>
  <sheetData>
    <row r="1" spans="1:2" x14ac:dyDescent="0.3">
      <c r="A1" s="3" t="s">
        <v>22</v>
      </c>
      <c r="B1" s="5">
        <f>_xlfn.COVARIANCE.S('Stock Returns'!C3:C1241,'Market Returns '!C3:C1241)</f>
        <v>7.3291549940789237E-5</v>
      </c>
    </row>
    <row r="2" spans="1:2" x14ac:dyDescent="0.3">
      <c r="A2" s="3" t="s">
        <v>23</v>
      </c>
      <c r="B2">
        <f>CORREL('Stock Returns'!C3:C1241,'Market Returns '!C3:C1241)</f>
        <v>0.21279090872192671</v>
      </c>
    </row>
    <row r="5" spans="1:2" x14ac:dyDescent="0.3">
      <c r="B5" s="3"/>
    </row>
    <row r="6" spans="1:2" x14ac:dyDescent="0.3">
      <c r="A6" s="3"/>
      <c r="B6" s="2"/>
    </row>
    <row r="7" spans="1:2" x14ac:dyDescent="0.3">
      <c r="A7" s="3"/>
      <c r="B7" s="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82C8-53E2-471D-90C5-538DDA05C582}">
  <dimension ref="A1:M13"/>
  <sheetViews>
    <sheetView zoomScale="132" workbookViewId="0">
      <selection activeCell="B2" sqref="B2"/>
    </sheetView>
  </sheetViews>
  <sheetFormatPr defaultRowHeight="14.4" x14ac:dyDescent="0.3"/>
  <cols>
    <col min="1" max="1" width="10" customWidth="1"/>
  </cols>
  <sheetData>
    <row r="1" spans="1:13" x14ac:dyDescent="0.3">
      <c r="A1" s="3" t="s">
        <v>73</v>
      </c>
      <c r="B1">
        <f>_xlfn.COVARIANCE.S('Stock Returns'!C3:C1241,'Market Returns '!C3:C1241)/_xlfn.VAR.S('Market Returns '!C3:C1241)</f>
        <v>0.94038820872604001</v>
      </c>
      <c r="D1" t="s">
        <v>47</v>
      </c>
      <c r="E1" t="s">
        <v>38</v>
      </c>
      <c r="M1" t="s">
        <v>68</v>
      </c>
    </row>
    <row r="3" spans="1:13" x14ac:dyDescent="0.3">
      <c r="A3" t="s">
        <v>39</v>
      </c>
    </row>
    <row r="4" spans="1:13" x14ac:dyDescent="0.3">
      <c r="A4" s="6"/>
    </row>
    <row r="5" spans="1:13" x14ac:dyDescent="0.3">
      <c r="A5" s="7" t="s">
        <v>40</v>
      </c>
    </row>
    <row r="6" spans="1:13" x14ac:dyDescent="0.3">
      <c r="A6" s="7" t="s">
        <v>41</v>
      </c>
    </row>
    <row r="7" spans="1:13" x14ac:dyDescent="0.3">
      <c r="A7" s="7" t="s">
        <v>42</v>
      </c>
    </row>
    <row r="8" spans="1:13" x14ac:dyDescent="0.3">
      <c r="A8" s="7" t="s">
        <v>43</v>
      </c>
    </row>
    <row r="10" spans="1:13" x14ac:dyDescent="0.3">
      <c r="A10" t="s">
        <v>46</v>
      </c>
    </row>
    <row r="11" spans="1:13" x14ac:dyDescent="0.3">
      <c r="A11" s="6"/>
    </row>
    <row r="12" spans="1:13" x14ac:dyDescent="0.3">
      <c r="A12" s="7" t="s">
        <v>44</v>
      </c>
    </row>
    <row r="13" spans="1:13" x14ac:dyDescent="0.3">
      <c r="A13" t="s">
        <v>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157F0-8398-4E95-8D1D-E2682D8CE7CC}">
  <dimension ref="A1:N10"/>
  <sheetViews>
    <sheetView workbookViewId="0">
      <selection activeCell="B10" sqref="B10"/>
    </sheetView>
  </sheetViews>
  <sheetFormatPr defaultRowHeight="14.4" x14ac:dyDescent="0.3"/>
  <cols>
    <col min="8" max="8" width="18" customWidth="1"/>
  </cols>
  <sheetData>
    <row r="1" spans="1:14" x14ac:dyDescent="0.3">
      <c r="A1" t="s">
        <v>48</v>
      </c>
      <c r="D1" t="s">
        <v>74</v>
      </c>
    </row>
    <row r="2" spans="1:14" x14ac:dyDescent="0.3">
      <c r="N2" s="3"/>
    </row>
    <row r="3" spans="1:14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5" spans="1:14" x14ac:dyDescent="0.3">
      <c r="A5" s="3" t="s">
        <v>67</v>
      </c>
      <c r="B5" s="3" t="s">
        <v>37</v>
      </c>
      <c r="C5" s="3" t="s">
        <v>61</v>
      </c>
      <c r="G5" s="3" t="s">
        <v>80</v>
      </c>
      <c r="I5" s="3" t="s">
        <v>82</v>
      </c>
    </row>
    <row r="6" spans="1:14" x14ac:dyDescent="0.3">
      <c r="A6">
        <v>2021</v>
      </c>
      <c r="B6">
        <f>_xlfn.COVARIANCE.S('Stock Returns'!C3:C249,'Market Returns '!C3:C249)/_xlfn.VAR.S('Market Returns '!C3:C249)</f>
        <v>0.59135390870636806</v>
      </c>
      <c r="C6" t="s">
        <v>69</v>
      </c>
      <c r="G6">
        <f>'Market Returns '!H9</f>
        <v>0.23715467392650158</v>
      </c>
      <c r="I6">
        <f>'Stock Returns'!J10</f>
        <v>2.2291922431642353</v>
      </c>
    </row>
    <row r="7" spans="1:14" x14ac:dyDescent="0.3">
      <c r="A7">
        <v>2022</v>
      </c>
      <c r="B7">
        <f>CAPM!B19</f>
        <v>0.85889437147699732</v>
      </c>
      <c r="C7" t="s">
        <v>69</v>
      </c>
      <c r="G7">
        <f>'Market Returns '!H10</f>
        <v>6.1212275694364271E-2</v>
      </c>
      <c r="I7">
        <f>'Stock Returns'!J11</f>
        <v>1.5463539440931893</v>
      </c>
    </row>
    <row r="8" spans="1:14" x14ac:dyDescent="0.3">
      <c r="A8">
        <v>2023</v>
      </c>
      <c r="B8">
        <f>CAPM!B20</f>
        <v>0.73274518947967426</v>
      </c>
      <c r="C8" t="s">
        <v>69</v>
      </c>
      <c r="G8">
        <f>'Market Returns '!H11</f>
        <v>0.19819022139689579</v>
      </c>
      <c r="I8">
        <f>'Stock Returns'!J12</f>
        <v>1.7070753498880826</v>
      </c>
    </row>
    <row r="9" spans="1:14" x14ac:dyDescent="0.3">
      <c r="A9">
        <v>2024</v>
      </c>
      <c r="B9">
        <f>_xlfn.COVARIANCE.S('Stock Returns'!C744:C992,'Market Returns '!C744:C992)/_xlfn.VAR.S('Market Returns '!C744:C992)</f>
        <v>1.0117773369796181</v>
      </c>
      <c r="C9" t="s">
        <v>70</v>
      </c>
      <c r="G9">
        <f>'Market Returns '!H12</f>
        <v>9.3174434514059934E-2</v>
      </c>
      <c r="I9">
        <f>'Stock Returns'!J13</f>
        <v>1.6301374163037772</v>
      </c>
    </row>
    <row r="10" spans="1:14" x14ac:dyDescent="0.3">
      <c r="A10">
        <v>2025</v>
      </c>
      <c r="B10">
        <f>_xlfn.COVARIANCE.S('Stock Returns'!C993:C1241,'Market Returns '!C993:C1241)/_xlfn.VAR.S('Market Returns '!C993:C1241)</f>
        <v>1.7914054278162732</v>
      </c>
      <c r="C10" t="s">
        <v>71</v>
      </c>
      <c r="G10">
        <f>'Market Returns '!H13</f>
        <v>9.9174602756621821E-2</v>
      </c>
      <c r="I10">
        <f>'Stock Returns'!J14</f>
        <v>-0.512875275933109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3A1E7-6EEA-4776-B96A-5F69BB378867}">
  <dimension ref="A1:I22"/>
  <sheetViews>
    <sheetView workbookViewId="0">
      <selection activeCell="B22" sqref="B22"/>
    </sheetView>
  </sheetViews>
  <sheetFormatPr defaultColWidth="16.6640625" defaultRowHeight="14.4" x14ac:dyDescent="0.3"/>
  <cols>
    <col min="2" max="2" width="19.88671875" bestFit="1" customWidth="1"/>
    <col min="3" max="3" width="20.44140625" customWidth="1"/>
    <col min="4" max="4" width="20" customWidth="1"/>
    <col min="5" max="5" width="24.33203125" customWidth="1"/>
    <col min="6" max="6" width="26.44140625" customWidth="1"/>
  </cols>
  <sheetData>
    <row r="1" spans="1:6" x14ac:dyDescent="0.3">
      <c r="F1" t="s">
        <v>49</v>
      </c>
    </row>
    <row r="2" spans="1:6" x14ac:dyDescent="0.3">
      <c r="F2" t="s">
        <v>50</v>
      </c>
    </row>
    <row r="3" spans="1:6" x14ac:dyDescent="0.3">
      <c r="F3" t="s">
        <v>51</v>
      </c>
    </row>
    <row r="4" spans="1:6" x14ac:dyDescent="0.3">
      <c r="F4" t="s">
        <v>52</v>
      </c>
    </row>
    <row r="5" spans="1:6" x14ac:dyDescent="0.3">
      <c r="A5" s="16" t="s">
        <v>75</v>
      </c>
      <c r="D5" s="4">
        <v>6.7199999999999996E-2</v>
      </c>
    </row>
    <row r="6" spans="1:6" x14ac:dyDescent="0.3">
      <c r="D6" s="3"/>
    </row>
    <row r="7" spans="1:6" x14ac:dyDescent="0.3">
      <c r="A7" t="s">
        <v>48</v>
      </c>
      <c r="F7" s="3"/>
    </row>
    <row r="8" spans="1:6" x14ac:dyDescent="0.3">
      <c r="A8" s="3"/>
      <c r="B8" s="3"/>
      <c r="C8" s="3"/>
    </row>
    <row r="9" spans="1:6" x14ac:dyDescent="0.3">
      <c r="C9" s="12"/>
    </row>
    <row r="10" spans="1:6" x14ac:dyDescent="0.3">
      <c r="C10" s="12"/>
    </row>
    <row r="11" spans="1:6" x14ac:dyDescent="0.3">
      <c r="C11" s="12"/>
    </row>
    <row r="12" spans="1:6" x14ac:dyDescent="0.3">
      <c r="C12" s="12"/>
    </row>
    <row r="13" spans="1:6" x14ac:dyDescent="0.3">
      <c r="C13" s="12"/>
    </row>
    <row r="16" spans="1:6" x14ac:dyDescent="0.3">
      <c r="A16" s="3" t="s">
        <v>76</v>
      </c>
    </row>
    <row r="17" spans="1:9" ht="34.799999999999997" customHeight="1" x14ac:dyDescent="0.3">
      <c r="A17" s="8" t="s">
        <v>59</v>
      </c>
      <c r="B17" s="3" t="s">
        <v>37</v>
      </c>
      <c r="C17" s="9" t="s">
        <v>82</v>
      </c>
      <c r="D17" s="3"/>
      <c r="E17" s="3" t="s">
        <v>80</v>
      </c>
      <c r="F17" s="3" t="s">
        <v>83</v>
      </c>
      <c r="H17" s="9" t="s">
        <v>60</v>
      </c>
      <c r="I17" s="8" t="s">
        <v>61</v>
      </c>
    </row>
    <row r="18" spans="1:9" x14ac:dyDescent="0.3">
      <c r="A18" s="10" t="s">
        <v>62</v>
      </c>
      <c r="B18">
        <f>_xlfn.COVARIANCE.S('Stock Returns'!C3:C249,'Market Returns '!C3:C249)/_xlfn.VAR.S('Market Returns '!C3:C249)</f>
        <v>0.59135390870636806</v>
      </c>
      <c r="C18" s="13">
        <f>'Stock Returns'!J10</f>
        <v>2.2291922431642353</v>
      </c>
      <c r="D18" s="14"/>
      <c r="E18">
        <f>'Market Returns '!H9</f>
        <v>0.23715467392650158</v>
      </c>
      <c r="F18" s="15">
        <f>E18</f>
        <v>0.23715467392650158</v>
      </c>
      <c r="H18" s="11">
        <f>$D$5+B18*(CAPM!E18-CAPM!D5)</f>
        <v>0.16770336072935299</v>
      </c>
      <c r="I18" t="s">
        <v>84</v>
      </c>
    </row>
    <row r="19" spans="1:9" x14ac:dyDescent="0.3">
      <c r="A19" s="10" t="s">
        <v>63</v>
      </c>
      <c r="B19">
        <f>_xlfn.COVARIANCE.S('Stock Returns'!C250:C497,'Market Returns '!C250:C497)/_xlfn.VAR.S('Market Returns '!C250:C497)</f>
        <v>0.85889437147699732</v>
      </c>
      <c r="C19" s="13">
        <f>'Stock Returns'!J11</f>
        <v>1.5463539440931893</v>
      </c>
      <c r="D19" s="14"/>
      <c r="E19">
        <f>'Market Returns '!H10</f>
        <v>6.1212275694364271E-2</v>
      </c>
      <c r="F19" s="15">
        <f>E19</f>
        <v>6.1212275694364271E-2</v>
      </c>
      <c r="H19" s="11">
        <f>$D$5+B19*(CAPM!E19-CAPM!D5)</f>
        <v>6.2057177295933463E-2</v>
      </c>
      <c r="I19" t="s">
        <v>84</v>
      </c>
    </row>
    <row r="20" spans="1:9" ht="16.8" customHeight="1" x14ac:dyDescent="0.3">
      <c r="A20" s="10" t="s">
        <v>64</v>
      </c>
      <c r="B20">
        <f>_xlfn.COVARIANCE.S('Stock Returns'!C498:C743,'Market Returns '!C498:C743)/_xlfn.VAR.S('Market Returns '!C498:C743)</f>
        <v>0.73274518947967426</v>
      </c>
      <c r="C20" s="13">
        <f>'Stock Returns'!J12</f>
        <v>1.7070753498880826</v>
      </c>
      <c r="D20" s="14"/>
      <c r="E20">
        <f>'Market Returns '!H11</f>
        <v>0.19819022139689579</v>
      </c>
      <c r="F20" s="15">
        <f t="shared" ref="F20:F22" si="0">E20</f>
        <v>0.19819022139689579</v>
      </c>
      <c r="H20" s="11">
        <f>$D$5+B20*(CAPM!E20-CAPM!D5)</f>
        <v>0.1631824545974529</v>
      </c>
      <c r="I20" t="s">
        <v>84</v>
      </c>
    </row>
    <row r="21" spans="1:9" x14ac:dyDescent="0.3">
      <c r="A21" s="10" t="s">
        <v>65</v>
      </c>
      <c r="B21">
        <f>_xlfn.COVARIANCE.S('Stock Returns'!C744:C992,'Market Returns '!C744:C992)/_xlfn.VAR.S('Market Returns '!C744:C992)</f>
        <v>1.0117773369796181</v>
      </c>
      <c r="C21" s="13">
        <f>'Stock Returns'!J13</f>
        <v>1.6301374163037772</v>
      </c>
      <c r="D21" s="14"/>
      <c r="E21">
        <f>'Market Returns '!H12</f>
        <v>9.3174434514059934E-2</v>
      </c>
      <c r="F21" s="15">
        <f t="shared" si="0"/>
        <v>9.3174434514059934E-2</v>
      </c>
      <c r="H21" s="11">
        <f>$D$5+B21*(CAPM!E21-CAPM!D5)</f>
        <v>9.3480344182187036E-2</v>
      </c>
      <c r="I21" t="s">
        <v>84</v>
      </c>
    </row>
    <row r="22" spans="1:9" x14ac:dyDescent="0.3">
      <c r="A22" s="10" t="s">
        <v>66</v>
      </c>
      <c r="B22">
        <f>_xlfn.COVARIANCE.S('Stock Returns'!C993:C1241,'Market Returns '!C993:C1241)/_xlfn.VAR.S('Market Returns '!C993:C1241)</f>
        <v>1.7914054278162732</v>
      </c>
      <c r="C22" s="13">
        <f>'Stock Returns'!J14</f>
        <v>-0.512875275933109</v>
      </c>
      <c r="D22" s="14"/>
      <c r="E22">
        <f>'Market Returns '!H13</f>
        <v>9.9174602756621821E-2</v>
      </c>
      <c r="F22" s="15">
        <f t="shared" si="0"/>
        <v>9.9174602756621821E-2</v>
      </c>
      <c r="H22" s="11">
        <f>$D$5+B22*(CAPM!E22-CAPM!D5)</f>
        <v>0.1244794769304815</v>
      </c>
      <c r="I22" t="s">
        <v>85</v>
      </c>
    </row>
  </sheetData>
  <phoneticPr fontId="18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Company 01-01-21 to 31-12-25</vt:lpstr>
      <vt:lpstr>Market 01-01-21 to 31-12-25</vt:lpstr>
      <vt:lpstr>Stock Returns</vt:lpstr>
      <vt:lpstr>Market Returns </vt:lpstr>
      <vt:lpstr>Coveriance and Correlation</vt:lpstr>
      <vt:lpstr>Beta</vt:lpstr>
      <vt:lpstr>5 years Beta</vt:lpstr>
      <vt:lpstr>CAPM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Alhan Hussian</cp:lastModifiedBy>
  <dcterms:created xsi:type="dcterms:W3CDTF">2026-08-13T20:08:26Z</dcterms:created>
  <dcterms:modified xsi:type="dcterms:W3CDTF">2026-09-07T13:52:46Z</dcterms:modified>
</cp:coreProperties>
</file>